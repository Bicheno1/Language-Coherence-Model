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ocabulary" sheetId="2" state="visible" r:id="rId4"/>
    <sheet name="axis_guide" sheetId="3" state="visible" r:id="rId5"/>
    <sheet name="crowded_cells" sheetId="4" state="visible" r:id="rId6"/>
    <sheet name="connector_axes" sheetId="5" state="visible" r:id="rId7"/>
  </sheets>
  <definedNames>
    <definedName function="false" hidden="true" localSheetId="1" name="_xlnm._FilterDatabase" vbProcedure="false">vocabulary!$A$1:$AD$1331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<sst xmlns="http://schemas.openxmlformats.org/spreadsheetml/2006/main" count="11978" uniqueCount="3527">
  <si>
    <t xml:space="preserve">ANNOTATION SHEET — LCM BASE VOCABULARY</t>
  </si>
  <si>
    <t xml:space="preserve">What is asked</t>
  </si>
  <si>
    <t xml:space="preserve">Assign each word four integer weights from 0 to 10 (V, I, Lv, Gv) according to what each axis means. See the 'axis_guide' sheet.</t>
  </si>
  <si>
    <t xml:space="preserve">What to edit</t>
  </si>
  <si>
    <t xml:space="preserve">ONLY the YELLOW cells of the 'vocabulary' sheet: V_new, I_new, Lv_new, Gv_new, criterion and note. The green columns (new x, y, row, col) are formulas: do not touch them.</t>
  </si>
  <si>
    <t xml:space="preserve">Leave empty = no change (the tables' current value is kept). A row counts as assigned only if all four weights have a value.</t>
  </si>
  <si>
    <t xml:space="preserve">How it is sorted</t>
  </si>
  <si>
    <t xml:space="preserve">'rank' is the frequency in the Brown corpus (1 = the most frequent). 'priority': 1 = function word without a node, 2 = content word without a node, 3 = function word with a node (review), 4 = content word with a node (review). Use the filter in row 1.</t>
  </si>
  <si>
    <t xml:space="preserve">What it is NOT</t>
  </si>
  <si>
    <t xml:space="preserve">The 'current' values come from automatic rules and from Unique Host lists: they are a first pass, NOT a truth that must be respected. SentiWordNet and WordNet are not a valid source for these values.</t>
  </si>
  <si>
    <t xml:space="preserve">Left out of the sheet: proper names of people and places (Washington, Kennedy, London…), corpus tagging leftovers and a historically offensive term: they are not base vocabulary. If a word that is missing is needed, add it at the end.</t>
  </si>
  <si>
    <t xml:space="preserve">Words come as LEMMAS (base form); the frequent_forms column shows how they appear in the corpus. corpus_example helps choose the sense.</t>
  </si>
  <si>
    <t xml:space="preserve">Data source</t>
  </si>
  <si>
    <t xml:space="preserve">Frequencies and examples: Brown corpus (NLTK, universal tags), all genres. Current values: data/LCM_tables.json (v0.4i). Generated by tools/build_vocabulary_sheet.py.</t>
  </si>
  <si>
    <t xml:space="preserve">rank</t>
  </si>
  <si>
    <t xml:space="preserve">word</t>
  </si>
  <si>
    <t xml:space="preserve">class</t>
  </si>
  <si>
    <t xml:space="preserve">pos</t>
  </si>
  <si>
    <t xml:space="preserve">frequency</t>
  </si>
  <si>
    <t xml:space="preserve">frequent_forms</t>
  </si>
  <si>
    <t xml:space="preserve">priority</t>
  </si>
  <si>
    <t xml:space="preserve">in_tables</t>
  </si>
  <si>
    <t xml:space="preserve">table</t>
  </si>
  <si>
    <t xml:space="preserve">type</t>
  </si>
  <si>
    <t xml:space="preserve">category</t>
  </si>
  <si>
    <t xml:space="preserve">V</t>
  </si>
  <si>
    <t xml:space="preserve">I</t>
  </si>
  <si>
    <t xml:space="preserve">Lv</t>
  </si>
  <si>
    <t xml:space="preserve">Gv</t>
  </si>
  <si>
    <t xml:space="preserve">x</t>
  </si>
  <si>
    <t xml:space="preserve">y</t>
  </si>
  <si>
    <t xml:space="preserve">row</t>
  </si>
  <si>
    <t xml:space="preserve">col</t>
  </si>
  <si>
    <t xml:space="preserve">corpus_example</t>
  </si>
  <si>
    <t xml:space="preserve">V_new</t>
  </si>
  <si>
    <t xml:space="preserve">I_new</t>
  </si>
  <si>
    <t xml:space="preserve">Lv_new</t>
  </si>
  <si>
    <t xml:space="preserve">Gv_new</t>
  </si>
  <si>
    <t xml:space="preserve">x_new</t>
  </si>
  <si>
    <t xml:space="preserve">y_new</t>
  </si>
  <si>
    <t xml:space="preserve">row_new</t>
  </si>
  <si>
    <t xml:space="preserve">col_new</t>
  </si>
  <si>
    <t xml:space="preserve">criterion</t>
  </si>
  <si>
    <t xml:space="preserve">note</t>
  </si>
  <si>
    <t xml:space="preserve">the</t>
  </si>
  <si>
    <t xml:space="preserve">determiner</t>
  </si>
  <si>
    <t xml:space="preserve">DET</t>
  </si>
  <si>
    <t xml:space="preserve">no</t>
  </si>
  <si>
    <t xml:space="preserve">On other matters, the jury recommended that : ( 1 )</t>
  </si>
  <si>
    <t xml:space="preserve">be</t>
  </si>
  <si>
    <t xml:space="preserve">auxiliary/modal</t>
  </si>
  <si>
    <t xml:space="preserve">VERB</t>
  </si>
  <si>
    <t xml:space="preserve">is, was, be</t>
  </si>
  <si>
    <t xml:space="preserve">yes</t>
  </si>
  <si>
    <t xml:space="preserve">concepts</t>
  </si>
  <si>
    <t xml:space="preserve">action</t>
  </si>
  <si>
    <t xml:space="preserve">The couple was married Aug. 2, 1913.</t>
  </si>
  <si>
    <t xml:space="preserve">of</t>
  </si>
  <si>
    <t xml:space="preserve">preposition</t>
  </si>
  <si>
    <t xml:space="preserve">ADP</t>
  </si>
  <si>
    <t xml:space="preserve">The mayor's present term of office expires Jan. 1.</t>
  </si>
  <si>
    <t xml:space="preserve">and</t>
  </si>
  <si>
    <t xml:space="preserve">conjunction</t>
  </si>
  <si>
    <t xml:space="preserve">CONJ</t>
  </si>
  <si>
    <t xml:space="preserve">connectors</t>
  </si>
  <si>
    <t xml:space="preserve">"Dallas and Fort Worth can vote bonds.</t>
  </si>
  <si>
    <t xml:space="preserve">to</t>
  </si>
  <si>
    <t xml:space="preserve">particle</t>
  </si>
  <si>
    <t xml:space="preserve">PRT</t>
  </si>
  <si>
    <t xml:space="preserve">I'm willing to stake my political career on it".</t>
  </si>
  <si>
    <t xml:space="preserve">a</t>
  </si>
  <si>
    <t xml:space="preserve">"There wasn't a bit of trouble".</t>
  </si>
  <si>
    <t xml:space="preserve">in</t>
  </si>
  <si>
    <t xml:space="preserve">A normal year's work in college is 30 semester hours.</t>
  </si>
  <si>
    <t xml:space="preserve">have</t>
  </si>
  <si>
    <t xml:space="preserve">had, have, has</t>
  </si>
  <si>
    <t xml:space="preserve">Caldwell's resignation had been expected for some time.</t>
  </si>
  <si>
    <t xml:space="preserve">that</t>
  </si>
  <si>
    <t xml:space="preserve">he</t>
  </si>
  <si>
    <t xml:space="preserve">pronoun</t>
  </si>
  <si>
    <t xml:space="preserve">PRON</t>
  </si>
  <si>
    <t xml:space="preserve">subjects</t>
  </si>
  <si>
    <t xml:space="preserve">They (3rd person)</t>
  </si>
  <si>
    <t xml:space="preserve">He further proposed grants of an unspecified sum for experimental hospitals.</t>
  </si>
  <si>
    <t xml:space="preserve">for</t>
  </si>
  <si>
    <t xml:space="preserve">it</t>
  </si>
  <si>
    <t xml:space="preserve">World (That)</t>
  </si>
  <si>
    <t xml:space="preserve">with</t>
  </si>
  <si>
    <t xml:space="preserve">I'm not afraid to tangle with the Republican nominee".</t>
  </si>
  <si>
    <t xml:space="preserve">as</t>
  </si>
  <si>
    <t xml:space="preserve">And that's meant as a boost, not a knock.</t>
  </si>
  <si>
    <t xml:space="preserve">his</t>
  </si>
  <si>
    <t xml:space="preserve">Sheriff Felix Tabb said the ordinary apparently made good his promise.</t>
  </si>
  <si>
    <t xml:space="preserve">on</t>
  </si>
  <si>
    <t xml:space="preserve">at</t>
  </si>
  <si>
    <t xml:space="preserve">The Hartsfield home is at 637 E. Pelham Rd. Aj.</t>
  </si>
  <si>
    <t xml:space="preserve">by</t>
  </si>
  <si>
    <t xml:space="preserve">Other recommendations made by the committee are :</t>
  </si>
  <si>
    <t xml:space="preserve">i</t>
  </si>
  <si>
    <t xml:space="preserve">Imposition (I)</t>
  </si>
  <si>
    <t xml:space="preserve">"That was before I studied law.</t>
  </si>
  <si>
    <t xml:space="preserve">this</t>
  </si>
  <si>
    <t xml:space="preserve">This (near)</t>
  </si>
  <si>
    <t xml:space="preserve">"This is a poor boy's bill", said Chapman.</t>
  </si>
  <si>
    <t xml:space="preserve">will</t>
  </si>
  <si>
    <t xml:space="preserve">would, will, willed</t>
  </si>
  <si>
    <t xml:space="preserve">This would help the little peanut districts".</t>
  </si>
  <si>
    <t xml:space="preserve">not</t>
  </si>
  <si>
    <t xml:space="preserve">adverb</t>
  </si>
  <si>
    <t xml:space="preserve">ADV</t>
  </si>
  <si>
    <t xml:space="preserve">"This is not a program of socialized medicine.</t>
  </si>
  <si>
    <t xml:space="preserve">but</t>
  </si>
  <si>
    <t xml:space="preserve">But thus far there has been no response in kind.</t>
  </si>
  <si>
    <t xml:space="preserve">from</t>
  </si>
  <si>
    <t xml:space="preserve">Strenuous efforts were made to remove pin pricking from administration statements.</t>
  </si>
  <si>
    <t xml:space="preserve">much</t>
  </si>
  <si>
    <t xml:space="preserve">more, most, much</t>
  </si>
  <si>
    <t xml:space="preserve">quality</t>
  </si>
  <si>
    <t xml:space="preserve">He did not say by how much.</t>
  </si>
  <si>
    <t xml:space="preserve">or</t>
  </si>
  <si>
    <t xml:space="preserve">He selects queries or general interest to answer.</t>
  </si>
  <si>
    <t xml:space="preserve">an</t>
  </si>
  <si>
    <t xml:space="preserve">they</t>
  </si>
  <si>
    <t xml:space="preserve">They would still be paid by the patient.</t>
  </si>
  <si>
    <t xml:space="preserve">which</t>
  </si>
  <si>
    <t xml:space="preserve">They also will visit properties on which appeals have been made.</t>
  </si>
  <si>
    <t xml:space="preserve">one</t>
  </si>
  <si>
    <t xml:space="preserve">numeral</t>
  </si>
  <si>
    <t xml:space="preserve">NUM</t>
  </si>
  <si>
    <t xml:space="preserve">one, ones</t>
  </si>
  <si>
    <t xml:space="preserve">She served one four-year term on the national committee.</t>
  </si>
  <si>
    <t xml:space="preserve">can</t>
  </si>
  <si>
    <t xml:space="preserve">can, could, canned</t>
  </si>
  <si>
    <t xml:space="preserve">do</t>
  </si>
  <si>
    <t xml:space="preserve">do, did, does</t>
  </si>
  <si>
    <t xml:space="preserve">The plan does not cover doctor bills.</t>
  </si>
  <si>
    <t xml:space="preserve">you</t>
  </si>
  <si>
    <t xml:space="preserve">Adaptation (You)</t>
  </si>
  <si>
    <t xml:space="preserve">"You take out of circulation many millions of dollars".</t>
  </si>
  <si>
    <t xml:space="preserve">her</t>
  </si>
  <si>
    <t xml:space="preserve">The bride was given in marriage by her father.</t>
  </si>
  <si>
    <t xml:space="preserve">all</t>
  </si>
  <si>
    <t xml:space="preserve">The U. S. Government pays for all its overseas workers".</t>
  </si>
  <si>
    <t xml:space="preserve">she</t>
  </si>
  <si>
    <t xml:space="preserve">say</t>
  </si>
  <si>
    <t xml:space="preserve">verb</t>
  </si>
  <si>
    <t xml:space="preserve">said, say, says</t>
  </si>
  <si>
    <t xml:space="preserve">there</t>
  </si>
  <si>
    <t xml:space="preserve">their</t>
  </si>
  <si>
    <t xml:space="preserve">Their mother is Mrs. Camilla Alsop Wendell.</t>
  </si>
  <si>
    <t xml:space="preserve">we</t>
  </si>
  <si>
    <t xml:space="preserve">we, wes</t>
  </si>
  <si>
    <t xml:space="preserve">Context (We)</t>
  </si>
  <si>
    <t xml:space="preserve">800 in Southern New England, we have 60;;</t>
  </si>
  <si>
    <t xml:space="preserve">him</t>
  </si>
  <si>
    <t xml:space="preserve">Ritchie walked up to him at the magazine stand.</t>
  </si>
  <si>
    <t xml:space="preserve">when</t>
  </si>
  <si>
    <t xml:space="preserve">When he protested, the hotel owner said :</t>
  </si>
  <si>
    <t xml:space="preserve">make</t>
  </si>
  <si>
    <t xml:space="preserve">made, make, making</t>
  </si>
  <si>
    <t xml:space="preserve">who</t>
  </si>
  <si>
    <t xml:space="preserve">Those who backed a similar plan last year hailed the message.</t>
  </si>
  <si>
    <t xml:space="preserve">if</t>
  </si>
  <si>
    <t xml:space="preserve">But if they show self-restraint, they don't get the orders.</t>
  </si>
  <si>
    <t xml:space="preserve">no, nos</t>
  </si>
  <si>
    <t xml:space="preserve">out</t>
  </si>
  <si>
    <t xml:space="preserve">out, outs</t>
  </si>
  <si>
    <t xml:space="preserve">may</t>
  </si>
  <si>
    <t xml:space="preserve">may, might, mays</t>
  </si>
  <si>
    <t xml:space="preserve">Dallas, Tex., May 1 -- ( AP )</t>
  </si>
  <si>
    <t xml:space="preserve">man</t>
  </si>
  <si>
    <t xml:space="preserve">noun</t>
  </si>
  <si>
    <t xml:space="preserve">NOUN</t>
  </si>
  <si>
    <t xml:space="preserve">man, men, manned</t>
  </si>
  <si>
    <t xml:space="preserve">biological</t>
  </si>
  <si>
    <t xml:space="preserve">person</t>
  </si>
  <si>
    <t xml:space="preserve">The old man was almost too possessive.</t>
  </si>
  <si>
    <t xml:space="preserve">so</t>
  </si>
  <si>
    <t xml:space="preserve">"So I started practicing on it in spring training.</t>
  </si>
  <si>
    <t xml:space="preserve">time</t>
  </si>
  <si>
    <t xml:space="preserve">time, times, timed</t>
  </si>
  <si>
    <t xml:space="preserve">non_biological</t>
  </si>
  <si>
    <t xml:space="preserve">event</t>
  </si>
  <si>
    <t xml:space="preserve">what</t>
  </si>
  <si>
    <t xml:space="preserve">And what leadership a proud Mantle has given so far.</t>
  </si>
  <si>
    <t xml:space="preserve">up</t>
  </si>
  <si>
    <t xml:space="preserve">up, upped, ups</t>
  </si>
  <si>
    <t xml:space="preserve">And he caused the fumble that set up our touchdown.</t>
  </si>
  <si>
    <t xml:space="preserve">its</t>
  </si>
  <si>
    <t xml:space="preserve">about</t>
  </si>
  <si>
    <t xml:space="preserve">"Certain people must have known about it".</t>
  </si>
  <si>
    <t xml:space="preserve">go</t>
  </si>
  <si>
    <t xml:space="preserve">go, went, going</t>
  </si>
  <si>
    <t xml:space="preserve">"Everything went real smooth", the sheriff said.</t>
  </si>
  <si>
    <t xml:space="preserve">into</t>
  </si>
  <si>
    <t xml:space="preserve">Then Throneberry rapped into a fast double play.</t>
  </si>
  <si>
    <t xml:space="preserve">than</t>
  </si>
  <si>
    <t xml:space="preserve">The 22-year-old southpaw enlisted earlier last fall than did Hansen.</t>
  </si>
  <si>
    <t xml:space="preserve">them</t>
  </si>
  <si>
    <t xml:space="preserve">"I had developed the machines and therefore knew them.</t>
  </si>
  <si>
    <t xml:space="preserve">only</t>
  </si>
  <si>
    <t xml:space="preserve">It can only rebound to Mr. Hughes' discredit".</t>
  </si>
  <si>
    <t xml:space="preserve">new</t>
  </si>
  <si>
    <t xml:space="preserve">adjective</t>
  </si>
  <si>
    <t xml:space="preserve">ADJ</t>
  </si>
  <si>
    <t xml:space="preserve">new, newer, newest</t>
  </si>
  <si>
    <t xml:space="preserve">Day after day some new episode is reported.</t>
  </si>
  <si>
    <t xml:space="preserve">some</t>
  </si>
  <si>
    <t xml:space="preserve">year</t>
  </si>
  <si>
    <t xml:space="preserve">years, year</t>
  </si>
  <si>
    <t xml:space="preserve">It was defeated in Congress last year.</t>
  </si>
  <si>
    <t xml:space="preserve">take</t>
  </si>
  <si>
    <t xml:space="preserve">take, took, taken</t>
  </si>
  <si>
    <t xml:space="preserve">these</t>
  </si>
  <si>
    <t xml:space="preserve">Six of these were proposed by religious groups.</t>
  </si>
  <si>
    <t xml:space="preserve">come</t>
  </si>
  <si>
    <t xml:space="preserve">come, came, coming</t>
  </si>
  <si>
    <t xml:space="preserve">It could become an acute problem in the coming fiscal year.</t>
  </si>
  <si>
    <t xml:space="preserve">see</t>
  </si>
  <si>
    <t xml:space="preserve">see, saw, seen</t>
  </si>
  <si>
    <t xml:space="preserve">Don, who played drums, hasn't seen his chum since.</t>
  </si>
  <si>
    <t xml:space="preserve">state</t>
  </si>
  <si>
    <t xml:space="preserve">state, states, stated</t>
  </si>
  <si>
    <t xml:space="preserve">place</t>
  </si>
  <si>
    <t xml:space="preserve">division five, by the Air Force followed by 11 states.</t>
  </si>
  <si>
    <t xml:space="preserve">get</t>
  </si>
  <si>
    <t xml:space="preserve">get, got, getting</t>
  </si>
  <si>
    <t xml:space="preserve">Practice helps you to get your timing down.</t>
  </si>
  <si>
    <t xml:space="preserve">know</t>
  </si>
  <si>
    <t xml:space="preserve">know, knew, known</t>
  </si>
  <si>
    <t xml:space="preserve">two</t>
  </si>
  <si>
    <t xml:space="preserve">two, twos</t>
  </si>
  <si>
    <t xml:space="preserve">Two other cases also were under advisement.</t>
  </si>
  <si>
    <t xml:space="preserve">use</t>
  </si>
  <si>
    <t xml:space="preserve">used, use, using</t>
  </si>
  <si>
    <t xml:space="preserve">act</t>
  </si>
  <si>
    <t xml:space="preserve">Wexler has denied repeatedly that coercion was used in questioning.</t>
  </si>
  <si>
    <t xml:space="preserve">good</t>
  </si>
  <si>
    <t xml:space="preserve">good, best, better</t>
  </si>
  <si>
    <t xml:space="preserve">then</t>
  </si>
  <si>
    <t xml:space="preserve">Then three consecutive pinch-hitters failed to produce.</t>
  </si>
  <si>
    <t xml:space="preserve">like</t>
  </si>
  <si>
    <t xml:space="preserve">like, liked, likes</t>
  </si>
  <si>
    <t xml:space="preserve">"Being at the polls was just like being at church.</t>
  </si>
  <si>
    <t xml:space="preserve">first</t>
  </si>
  <si>
    <t xml:space="preserve">The first of 16 beliefs of the denomination, now reads :</t>
  </si>
  <si>
    <t xml:space="preserve">any</t>
  </si>
  <si>
    <t xml:space="preserve">Nor were there any rules to save him.</t>
  </si>
  <si>
    <t xml:space="preserve">my</t>
  </si>
  <si>
    <t xml:space="preserve">now</t>
  </si>
  <si>
    <t xml:space="preserve">East Providence now has no civil defense program.</t>
  </si>
  <si>
    <t xml:space="preserve">such</t>
  </si>
  <si>
    <t xml:space="preserve">I wasn't sure there were such people anywhere in the world.</t>
  </si>
  <si>
    <t xml:space="preserve">give</t>
  </si>
  <si>
    <t xml:space="preserve">give, given, gave</t>
  </si>
  <si>
    <t xml:space="preserve">our</t>
  </si>
  <si>
    <t xml:space="preserve">over</t>
  </si>
  <si>
    <t xml:space="preserve">The esplanade would feature pedestrian bridges over roads in the project.</t>
  </si>
  <si>
    <t xml:space="preserve">me</t>
  </si>
  <si>
    <t xml:space="preserve">Snapped Maureen, "Me Jane" ! !</t>
  </si>
  <si>
    <t xml:space="preserve">work</t>
  </si>
  <si>
    <t xml:space="preserve">work, working, works</t>
  </si>
  <si>
    <t xml:space="preserve">even</t>
  </si>
  <si>
    <t xml:space="preserve">My car gulped 20 gallons without even wiping its mouth.</t>
  </si>
  <si>
    <t xml:space="preserve">shall</t>
  </si>
  <si>
    <t xml:space="preserve">should, shall</t>
  </si>
  <si>
    <t xml:space="preserve">"Bill White ( sore ankles ) should be ready.</t>
  </si>
  <si>
    <t xml:space="preserve">well</t>
  </si>
  <si>
    <t xml:space="preserve">well, better, best</t>
  </si>
  <si>
    <t xml:space="preserve">When you're playing like that you'd better attack".</t>
  </si>
  <si>
    <t xml:space="preserve">day</t>
  </si>
  <si>
    <t xml:space="preserve">day, days</t>
  </si>
  <si>
    <t xml:space="preserve">after</t>
  </si>
  <si>
    <t xml:space="preserve">also</t>
  </si>
  <si>
    <t xml:space="preserve">find</t>
  </si>
  <si>
    <t xml:space="preserve">found, find, finds</t>
  </si>
  <si>
    <t xml:space="preserve">St. Louis University found a way to win a baseball game.</t>
  </si>
  <si>
    <t xml:space="preserve">way</t>
  </si>
  <si>
    <t xml:space="preserve">way, ways</t>
  </si>
  <si>
    <t xml:space="preserve">attribute</t>
  </si>
  <si>
    <t xml:space="preserve">"He almost brought it back all the way".</t>
  </si>
  <si>
    <t xml:space="preserve">many</t>
  </si>
  <si>
    <t xml:space="preserve">before</t>
  </si>
  <si>
    <t xml:space="preserve">must</t>
  </si>
  <si>
    <t xml:space="preserve">must, musts, musta</t>
  </si>
  <si>
    <t xml:space="preserve">look</t>
  </si>
  <si>
    <t xml:space="preserve">look, looked, looking</t>
  </si>
  <si>
    <t xml:space="preserve">"The windshield looks pretty clean".</t>
  </si>
  <si>
    <t xml:space="preserve">back</t>
  </si>
  <si>
    <t xml:space="preserve">back, backed, backs</t>
  </si>
  <si>
    <t xml:space="preserve">think</t>
  </si>
  <si>
    <t xml:space="preserve">think, thought, thinking</t>
  </si>
  <si>
    <t xml:space="preserve">One might think the problem would be similar.</t>
  </si>
  <si>
    <t xml:space="preserve">through</t>
  </si>
  <si>
    <t xml:space="preserve">Mr. Werner said yesterday that operations continued through the week.</t>
  </si>
  <si>
    <t xml:space="preserve">long</t>
  </si>
  <si>
    <t xml:space="preserve">long, longer, longed</t>
  </si>
  <si>
    <t xml:space="preserve">"Thirteen", said Long Jim.</t>
  </si>
  <si>
    <t xml:space="preserve">great</t>
  </si>
  <si>
    <t xml:space="preserve">great, greater, greatest</t>
  </si>
  <si>
    <t xml:space="preserve">"I've become the greatest beggar in the world".</t>
  </si>
  <si>
    <t xml:space="preserve">where</t>
  </si>
  <si>
    <t xml:space="preserve">"You must play it where it lies".</t>
  </si>
  <si>
    <t xml:space="preserve">your</t>
  </si>
  <si>
    <t xml:space="preserve">"Yes, your honor", replied Bellows.</t>
  </si>
  <si>
    <t xml:space="preserve">down</t>
  </si>
  <si>
    <t xml:space="preserve">down, downed, downs</t>
  </si>
  <si>
    <t xml:space="preserve">people</t>
  </si>
  <si>
    <t xml:space="preserve">people, peoples, peopled</t>
  </si>
  <si>
    <t xml:space="preserve">group</t>
  </si>
  <si>
    <t xml:space="preserve">because</t>
  </si>
  <si>
    <t xml:space="preserve">The new birth is necessary because god is holy.</t>
  </si>
  <si>
    <t xml:space="preserve">each</t>
  </si>
  <si>
    <t xml:space="preserve">The pace of the talks has slowed with each passing week.</t>
  </si>
  <si>
    <t xml:space="preserve">just</t>
  </si>
  <si>
    <t xml:space="preserve">those</t>
  </si>
  <si>
    <t xml:space="preserve">how</t>
  </si>
  <si>
    <t xml:space="preserve">too</t>
  </si>
  <si>
    <t xml:space="preserve">That, too, will fail".</t>
  </si>
  <si>
    <t xml:space="preserve">little</t>
  </si>
  <si>
    <t xml:space="preserve">little, littlest</t>
  </si>
  <si>
    <t xml:space="preserve">seem</t>
  </si>
  <si>
    <t xml:space="preserve">seemed, seems, seem</t>
  </si>
  <si>
    <t xml:space="preserve">Perhaps to some their work does not seem particularly vital.</t>
  </si>
  <si>
    <t xml:space="preserve">place, placed, places</t>
  </si>
  <si>
    <t xml:space="preserve">Five candidates seek the place vacated by Secretary Hugh G. Stout.</t>
  </si>
  <si>
    <t xml:space="preserve">own</t>
  </si>
  <si>
    <t xml:space="preserve">own, owned, owns</t>
  </si>
  <si>
    <t xml:space="preserve">Every person will choose his own doctor and hospital".</t>
  </si>
  <si>
    <t xml:space="preserve">very</t>
  </si>
  <si>
    <t xml:space="preserve">It is very chic to drive foreign cars.</t>
  </si>
  <si>
    <t xml:space="preserve">world</t>
  </si>
  <si>
    <t xml:space="preserve">world, worlds</t>
  </si>
  <si>
    <t xml:space="preserve">object</t>
  </si>
  <si>
    <t xml:space="preserve">More : On the free world side.</t>
  </si>
  <si>
    <t xml:space="preserve">still</t>
  </si>
  <si>
    <t xml:space="preserve">still, stills</t>
  </si>
  <si>
    <t xml:space="preserve">old</t>
  </si>
  <si>
    <t xml:space="preserve">old, older, oldest</t>
  </si>
  <si>
    <t xml:space="preserve">less</t>
  </si>
  <si>
    <t xml:space="preserve">less, least</t>
  </si>
  <si>
    <t xml:space="preserve">Bake slowly at least one-half hour longer.</t>
  </si>
  <si>
    <t xml:space="preserve">life</t>
  </si>
  <si>
    <t xml:space="preserve">life, lives</t>
  </si>
  <si>
    <t xml:space="preserve">Local authorities credited the men with saving the girl's life.</t>
  </si>
  <si>
    <t xml:space="preserve">hand</t>
  </si>
  <si>
    <t xml:space="preserve">hand, hands, handed</t>
  </si>
  <si>
    <t xml:space="preserve">body_part</t>
  </si>
  <si>
    <t xml:space="preserve">-- and His exaltation to the right hand of God.</t>
  </si>
  <si>
    <t xml:space="preserve">become</t>
  </si>
  <si>
    <t xml:space="preserve">become, became, becomes</t>
  </si>
  <si>
    <t xml:space="preserve">tell</t>
  </si>
  <si>
    <t xml:space="preserve">told, tell, telling</t>
  </si>
  <si>
    <t xml:space="preserve">"I've had it", he told a newsman.</t>
  </si>
  <si>
    <t xml:space="preserve">here</t>
  </si>
  <si>
    <t xml:space="preserve">Factories are located here and in Prattville, Ala..</t>
  </si>
  <si>
    <t xml:space="preserve">show</t>
  </si>
  <si>
    <t xml:space="preserve">show, shown, showed</t>
  </si>
  <si>
    <t xml:space="preserve">"The Pirates showed they could outclass the field last year.</t>
  </si>
  <si>
    <t xml:space="preserve">between</t>
  </si>
  <si>
    <t xml:space="preserve">With a small bomb, I tuck it between Cadillacs.</t>
  </si>
  <si>
    <t xml:space="preserve">both</t>
  </si>
  <si>
    <t xml:space="preserve">Both figures would go higher in later years.</t>
  </si>
  <si>
    <t xml:space="preserve">high</t>
  </si>
  <si>
    <t xml:space="preserve">high, higher, highest</t>
  </si>
  <si>
    <t xml:space="preserve">house</t>
  </si>
  <si>
    <t xml:space="preserve">house, houses, housing</t>
  </si>
  <si>
    <t xml:space="preserve">The housing bill is now in the House Rules Committee.</t>
  </si>
  <si>
    <t xml:space="preserve">under</t>
  </si>
  <si>
    <t xml:space="preserve">need</t>
  </si>
  <si>
    <t xml:space="preserve">need, needed, needs</t>
  </si>
  <si>
    <t xml:space="preserve">We needed it and we got it".</t>
  </si>
  <si>
    <t xml:space="preserve">call</t>
  </si>
  <si>
    <t xml:space="preserve">called, call, calls</t>
  </si>
  <si>
    <t xml:space="preserve">The contract called for overhauling of 102 joints.</t>
  </si>
  <si>
    <t xml:space="preserve">last</t>
  </si>
  <si>
    <t xml:space="preserve">last, lasting, lasted</t>
  </si>
  <si>
    <t xml:space="preserve">thing</t>
  </si>
  <si>
    <t xml:space="preserve">things, thing</t>
  </si>
  <si>
    <t xml:space="preserve">"Same thing", he said.</t>
  </si>
  <si>
    <t xml:space="preserve">never</t>
  </si>
  <si>
    <t xml:space="preserve">He said he had never talked to Liston".</t>
  </si>
  <si>
    <t xml:space="preserve">school</t>
  </si>
  <si>
    <t xml:space="preserve">school, schools, schooling</t>
  </si>
  <si>
    <t xml:space="preserve">Guests were juniors in the public high schools.</t>
  </si>
  <si>
    <t xml:space="preserve">right</t>
  </si>
  <si>
    <t xml:space="preserve">right, rights</t>
  </si>
  <si>
    <t xml:space="preserve">same</t>
  </si>
  <si>
    <t xml:space="preserve">another</t>
  </si>
  <si>
    <t xml:space="preserve">Another enlarged authority of the Beaumont Navigation District.</t>
  </si>
  <si>
    <t xml:space="preserve">leave</t>
  </si>
  <si>
    <t xml:space="preserve">left, leave, leaving</t>
  </si>
  <si>
    <t xml:space="preserve">The Bassis are leaving soon for their new post.</t>
  </si>
  <si>
    <t xml:space="preserve">while</t>
  </si>
  <si>
    <t xml:space="preserve">But he warmed up after a while.</t>
  </si>
  <si>
    <t xml:space="preserve">us</t>
  </si>
  <si>
    <t xml:space="preserve">High blood pressure can get the best of any of us.</t>
  </si>
  <si>
    <t xml:space="preserve">american</t>
  </si>
  <si>
    <t xml:space="preserve">american, americans</t>
  </si>
  <si>
    <t xml:space="preserve">Martin called for patience on the part of Americans.</t>
  </si>
  <si>
    <t xml:space="preserve">turn</t>
  </si>
  <si>
    <t xml:space="preserve">turned, turn, turning</t>
  </si>
  <si>
    <t xml:space="preserve">Both turned in top jobs for the second straight game.</t>
  </si>
  <si>
    <t xml:space="preserve">feel</t>
  </si>
  <si>
    <t xml:space="preserve">felt, feel, feels</t>
  </si>
  <si>
    <t xml:space="preserve">Player was the first to feel its teeth.</t>
  </si>
  <si>
    <t xml:space="preserve">want</t>
  </si>
  <si>
    <t xml:space="preserve">want, wanted, wants</t>
  </si>
  <si>
    <t xml:space="preserve">They were the suffragettes and they wanted to vote.</t>
  </si>
  <si>
    <t xml:space="preserve">off</t>
  </si>
  <si>
    <t xml:space="preserve">Take off or see the hostages killed.</t>
  </si>
  <si>
    <t xml:space="preserve">point</t>
  </si>
  <si>
    <t xml:space="preserve">point, points, pointed</t>
  </si>
  <si>
    <t xml:space="preserve">cognition</t>
  </si>
  <si>
    <t xml:space="preserve">Riverside residents would go to the Seekonk assembly point.</t>
  </si>
  <si>
    <t xml:space="preserve">few</t>
  </si>
  <si>
    <t xml:space="preserve">few, fewer</t>
  </si>
  <si>
    <t xml:space="preserve">A few of them said they "preferred contemporary art".</t>
  </si>
  <si>
    <t xml:space="preserve">small</t>
  </si>
  <si>
    <t xml:space="preserve">small, smaller, smallest</t>
  </si>
  <si>
    <t xml:space="preserve">A small reception will follow in the Oak Park Arms hotel.</t>
  </si>
  <si>
    <t xml:space="preserve">since</t>
  </si>
  <si>
    <t xml:space="preserve">Hengesbach has been living under a cloud ever since.</t>
  </si>
  <si>
    <t xml:space="preserve">against</t>
  </si>
  <si>
    <t xml:space="preserve">3 The Redbirds' disheartening 11-7 collapse against the Phillies Sunday.</t>
  </si>
  <si>
    <t xml:space="preserve">part</t>
  </si>
  <si>
    <t xml:space="preserve">part, parts, parted</t>
  </si>
  <si>
    <t xml:space="preserve">relation</t>
  </si>
  <si>
    <t xml:space="preserve">three</t>
  </si>
  <si>
    <t xml:space="preserve">three, threes</t>
  </si>
  <si>
    <t xml:space="preserve">He is married and the father of three children.</t>
  </si>
  <si>
    <t xml:space="preserve">number</t>
  </si>
  <si>
    <t xml:space="preserve">number, numbers, numbered</t>
  </si>
  <si>
    <t xml:space="preserve">The job also covers a number of other items.</t>
  </si>
  <si>
    <t xml:space="preserve">ask</t>
  </si>
  <si>
    <t xml:space="preserve">asked, ask, asking</t>
  </si>
  <si>
    <t xml:space="preserve">Asked Willie at one stage of his excavation project.</t>
  </si>
  <si>
    <t xml:space="preserve">home</t>
  </si>
  <si>
    <t xml:space="preserve">home, homes, homing</t>
  </si>
  <si>
    <t xml:space="preserve">himself</t>
  </si>
  <si>
    <t xml:space="preserve">In brief, Berman played himself and not Bolger.</t>
  </si>
  <si>
    <t xml:space="preserve">form</t>
  </si>
  <si>
    <t xml:space="preserve">form, forms, formed</t>
  </si>
  <si>
    <t xml:space="preserve">communication</t>
  </si>
  <si>
    <t xml:space="preserve">form into patties and barbecue 5 minutes on each side.</t>
  </si>
  <si>
    <t xml:space="preserve">during</t>
  </si>
  <si>
    <t xml:space="preserve">he now has 273 yards in 22 tries during three games.</t>
  </si>
  <si>
    <t xml:space="preserve">begin</t>
  </si>
  <si>
    <t xml:space="preserve">began, begin, beginning</t>
  </si>
  <si>
    <t xml:space="preserve">Skorich began his new job auspiciously today.</t>
  </si>
  <si>
    <t xml:space="preserve">without</t>
  </si>
  <si>
    <t xml:space="preserve">Pohl received the verdict without visible emotion.</t>
  </si>
  <si>
    <t xml:space="preserve">again</t>
  </si>
  <si>
    <t xml:space="preserve">He tried again and once more sliced out of bounds.</t>
  </si>
  <si>
    <t xml:space="preserve">child</t>
  </si>
  <si>
    <t xml:space="preserve">children, child</t>
  </si>
  <si>
    <t xml:space="preserve">far</t>
  </si>
  <si>
    <t xml:space="preserve">far, further, farther</t>
  </si>
  <si>
    <t xml:space="preserve">end</t>
  </si>
  <si>
    <t xml:space="preserve">end, ends, ended</t>
  </si>
  <si>
    <t xml:space="preserve">Finalists from the county's east end failed to place.</t>
  </si>
  <si>
    <t xml:space="preserve">around</t>
  </si>
  <si>
    <t xml:space="preserve">A few of these people are still around".</t>
  </si>
  <si>
    <t xml:space="preserve">area</t>
  </si>
  <si>
    <t xml:space="preserve">area, areas</t>
  </si>
  <si>
    <t xml:space="preserve">Family Service has helped hundreds of families in this area.</t>
  </si>
  <si>
    <t xml:space="preserve">problem</t>
  </si>
  <si>
    <t xml:space="preserve">problem, problems</t>
  </si>
  <si>
    <t xml:space="preserve">write</t>
  </si>
  <si>
    <t xml:space="preserve">wrote, written, write</t>
  </si>
  <si>
    <t xml:space="preserve">I'll write what you tell me to".</t>
  </si>
  <si>
    <t xml:space="preserve">word, words, worded</t>
  </si>
  <si>
    <t xml:space="preserve">This was the first word from Jensen on his sudden walkout.</t>
  </si>
  <si>
    <t xml:space="preserve">however</t>
  </si>
  <si>
    <t xml:space="preserve">( Some SEATO nations disagreed, however.</t>
  </si>
  <si>
    <t xml:space="preserve">system</t>
  </si>
  <si>
    <t xml:space="preserve">system, systems</t>
  </si>
  <si>
    <t xml:space="preserve">Heating is by individual gas-fired, forced warm air systems.</t>
  </si>
  <si>
    <t xml:space="preserve">program</t>
  </si>
  <si>
    <t xml:space="preserve">program, programs, programing</t>
  </si>
  <si>
    <t xml:space="preserve">head</t>
  </si>
  <si>
    <t xml:space="preserve">head, headed, heads</t>
  </si>
  <si>
    <t xml:space="preserve">Gen. Gursel has headed the military junta the last 17 months.</t>
  </si>
  <si>
    <t xml:space="preserve">follow</t>
  </si>
  <si>
    <t xml:space="preserve">following, followed, follow</t>
  </si>
  <si>
    <t xml:space="preserve">The jobs formula is understood to follow these lines :</t>
  </si>
  <si>
    <t xml:space="preserve">large</t>
  </si>
  <si>
    <t xml:space="preserve">large, larger, largest</t>
  </si>
  <si>
    <t xml:space="preserve">This is an area nearly as large as Western Europe;;</t>
  </si>
  <si>
    <t xml:space="preserve">eye</t>
  </si>
  <si>
    <t xml:space="preserve">eyes, eye, eyed</t>
  </si>
  <si>
    <t xml:space="preserve">Both have blue eyes and short blond hair.</t>
  </si>
  <si>
    <t xml:space="preserve">hold</t>
  </si>
  <si>
    <t xml:space="preserve">held, hold, holding</t>
  </si>
  <si>
    <t xml:space="preserve">The dinner will be held at the Hotel Pierre.</t>
  </si>
  <si>
    <t xml:space="preserve">early</t>
  </si>
  <si>
    <t xml:space="preserve">early, earlier, earliest</t>
  </si>
  <si>
    <t xml:space="preserve">Earlier, Mitchell said in a statement :</t>
  </si>
  <si>
    <t xml:space="preserve">fact</t>
  </si>
  <si>
    <t xml:space="preserve">fact, facts</t>
  </si>
  <si>
    <t xml:space="preserve">In fact he seemed delighted to get rid of them.</t>
  </si>
  <si>
    <t xml:space="preserve">face</t>
  </si>
  <si>
    <t xml:space="preserve">face, faces, faced</t>
  </si>
  <si>
    <t xml:space="preserve">In the thirties we would not face our enemy;;</t>
  </si>
  <si>
    <t xml:space="preserve">keep</t>
  </si>
  <si>
    <t xml:space="preserve">keep, kept, keeping</t>
  </si>
  <si>
    <t xml:space="preserve">We are keeping a number of surprises under our hats.</t>
  </si>
  <si>
    <t xml:space="preserve">course</t>
  </si>
  <si>
    <t xml:space="preserve">course, courses, coursing</t>
  </si>
  <si>
    <t xml:space="preserve">She says, "of course I've had the best.</t>
  </si>
  <si>
    <t xml:space="preserve">group, groups, grouped</t>
  </si>
  <si>
    <t xml:space="preserve">abstract</t>
  </si>
  <si>
    <t xml:space="preserve">stand</t>
  </si>
  <si>
    <t xml:space="preserve">stood, stand, standing</t>
  </si>
  <si>
    <t xml:space="preserve">open</t>
  </si>
  <si>
    <t xml:space="preserve">open, opened, opening</t>
  </si>
  <si>
    <t xml:space="preserve">Dumont spoke on the merit of having an open primary.</t>
  </si>
  <si>
    <t xml:space="preserve">run</t>
  </si>
  <si>
    <t xml:space="preserve">run, ran, running</t>
  </si>
  <si>
    <t xml:space="preserve">It would seem to represent esprit de corps run riot.</t>
  </si>
  <si>
    <t xml:space="preserve">interest</t>
  </si>
  <si>
    <t xml:space="preserve">interest, interested, interests</t>
  </si>
  <si>
    <t xml:space="preserve">He is not interested in being named a full-time director.</t>
  </si>
  <si>
    <t xml:space="preserve">line</t>
  </si>
  <si>
    <t xml:space="preserve">line, lines, lined</t>
  </si>
  <si>
    <t xml:space="preserve">Congressional reaction to the message was along expected lines.</t>
  </si>
  <si>
    <t xml:space="preserve">case</t>
  </si>
  <si>
    <t xml:space="preserve">case, cases, cased</t>
  </si>
  <si>
    <t xml:space="preserve">Karns' ruling pertained to eight of the 10 cases.</t>
  </si>
  <si>
    <t xml:space="preserve">put</t>
  </si>
  <si>
    <t xml:space="preserve">put, putting, puts</t>
  </si>
  <si>
    <t xml:space="preserve">they put much effort into public housing.</t>
  </si>
  <si>
    <t xml:space="preserve">change</t>
  </si>
  <si>
    <t xml:space="preserve">change, changes, changed</t>
  </si>
  <si>
    <t xml:space="preserve">Policies on nuclear test ban negotiations were reviewed and changed.</t>
  </si>
  <si>
    <t xml:space="preserve">general</t>
  </si>
  <si>
    <t xml:space="preserve">general, generals</t>
  </si>
  <si>
    <t xml:space="preserve">An assistant attorney general is directed to investigate.</t>
  </si>
  <si>
    <t xml:space="preserve">set</t>
  </si>
  <si>
    <t xml:space="preserve">set, sets, setting</t>
  </si>
  <si>
    <t xml:space="preserve">order</t>
  </si>
  <si>
    <t xml:space="preserve">order, ordered, orders</t>
  </si>
  <si>
    <t xml:space="preserve">Order of Elks, Lodge No. 142;;</t>
  </si>
  <si>
    <t xml:space="preserve">present</t>
  </si>
  <si>
    <t xml:space="preserve">present, presented, presents</t>
  </si>
  <si>
    <t xml:space="preserve">city</t>
  </si>
  <si>
    <t xml:space="preserve">city, cities</t>
  </si>
  <si>
    <t xml:space="preserve">Wagner said the city paid only $37,500 to the Hughes company.</t>
  </si>
  <si>
    <t xml:space="preserve">once</t>
  </si>
  <si>
    <t xml:space="preserve">water</t>
  </si>
  <si>
    <t xml:space="preserve">water, waters, watered</t>
  </si>
  <si>
    <t xml:space="preserve">substance</t>
  </si>
  <si>
    <t xml:space="preserve">Polls will be in the water office.</t>
  </si>
  <si>
    <t xml:space="preserve">force</t>
  </si>
  <si>
    <t xml:space="preserve">force, forces, forced</t>
  </si>
  <si>
    <t xml:space="preserve">unite</t>
  </si>
  <si>
    <t xml:space="preserve">united, unite, uniting</t>
  </si>
  <si>
    <t xml:space="preserve">United Nations, N. Y., June 18</t>
  </si>
  <si>
    <t xml:space="preserve">upon</t>
  </si>
  <si>
    <t xml:space="preserve">The success of the project depended upon Fiedler's flight.</t>
  </si>
  <si>
    <t xml:space="preserve">live</t>
  </si>
  <si>
    <t xml:space="preserve">live, living, lived</t>
  </si>
  <si>
    <t xml:space="preserve">The Beadles formerly lived in Lake Forest.</t>
  </si>
  <si>
    <t xml:space="preserve">move</t>
  </si>
  <si>
    <t xml:space="preserve">moved, move, moving</t>
  </si>
  <si>
    <t xml:space="preserve">Alusik then moved Cooke across with a line drive to left.</t>
  </si>
  <si>
    <t xml:space="preserve">war</t>
  </si>
  <si>
    <t xml:space="preserve">war, wars, warring</t>
  </si>
  <si>
    <t xml:space="preserve">As wars go, Laos is an extremely little one.</t>
  </si>
  <si>
    <t xml:space="preserve">every</t>
  </si>
  <si>
    <t xml:space="preserve">bring</t>
  </si>
  <si>
    <t xml:space="preserve">brought, bring, brings</t>
  </si>
  <si>
    <t xml:space="preserve">increase</t>
  </si>
  <si>
    <t xml:space="preserve">increase, increased, increasing</t>
  </si>
  <si>
    <t xml:space="preserve">quantity</t>
  </si>
  <si>
    <t xml:space="preserve">Many rate increases already have been put into effect.</t>
  </si>
  <si>
    <t xml:space="preserve">provide</t>
  </si>
  <si>
    <t xml:space="preserve">provide, provided, provides</t>
  </si>
  <si>
    <t xml:space="preserve">Only public understanding and support can provide that service.</t>
  </si>
  <si>
    <t xml:space="preserve">try</t>
  </si>
  <si>
    <t xml:space="preserve">tried, trying, try</t>
  </si>
  <si>
    <t xml:space="preserve">side</t>
  </si>
  <si>
    <t xml:space="preserve">side, sides, siding</t>
  </si>
  <si>
    <t xml:space="preserve">government</t>
  </si>
  <si>
    <t xml:space="preserve">government, governments</t>
  </si>
  <si>
    <t xml:space="preserve">The U. S. Government is paying for it.</t>
  </si>
  <si>
    <t xml:space="preserve">plan</t>
  </si>
  <si>
    <t xml:space="preserve">plan, plans, planning</t>
  </si>
  <si>
    <t xml:space="preserve">country</t>
  </si>
  <si>
    <t xml:space="preserve">country, countries</t>
  </si>
  <si>
    <t xml:space="preserve">None of these countries is happy with these arrangements.</t>
  </si>
  <si>
    <t xml:space="preserve">result</t>
  </si>
  <si>
    <t xml:space="preserve">result, results, resulting</t>
  </si>
  <si>
    <t xml:space="preserve">weather</t>
  </si>
  <si>
    <t xml:space="preserve">This resulted in a great number of errors.</t>
  </si>
  <si>
    <t xml:space="preserve">name</t>
  </si>
  <si>
    <t xml:space="preserve">name, names, named</t>
  </si>
  <si>
    <t xml:space="preserve">study</t>
  </si>
  <si>
    <t xml:space="preserve">study, studies, studied</t>
  </si>
  <si>
    <t xml:space="preserve">member</t>
  </si>
  <si>
    <t xml:space="preserve">members, member</t>
  </si>
  <si>
    <t xml:space="preserve">He was a member of the Baptist church.</t>
  </si>
  <si>
    <t xml:space="preserve">until</t>
  </si>
  <si>
    <t xml:space="preserve">Bake slowly about one hour at 250-275 F. until lightly brown.</t>
  </si>
  <si>
    <t xml:space="preserve">always</t>
  </si>
  <si>
    <t xml:space="preserve">The evening was not always spent in the same way.</t>
  </si>
  <si>
    <t xml:space="preserve">away</t>
  </si>
  <si>
    <t xml:space="preserve">The left front wheel landed 100 feet away.</t>
  </si>
  <si>
    <t xml:space="preserve">service</t>
  </si>
  <si>
    <t xml:space="preserve">service, services, servicing</t>
  </si>
  <si>
    <t xml:space="preserve">Division one of the parade will be the service academies.</t>
  </si>
  <si>
    <t xml:space="preserve">play</t>
  </si>
  <si>
    <t xml:space="preserve">play, played, playing</t>
  </si>
  <si>
    <t xml:space="preserve">help</t>
  </si>
  <si>
    <t xml:space="preserve">help, helped, helping</t>
  </si>
  <si>
    <t xml:space="preserve">light</t>
  </si>
  <si>
    <t xml:space="preserve">light, lights, lighted</t>
  </si>
  <si>
    <t xml:space="preserve">There are many soft and light shoe leathers available.</t>
  </si>
  <si>
    <t xml:space="preserve">something</t>
  </si>
  <si>
    <t xml:space="preserve">Something was needed to revive interest;;</t>
  </si>
  <si>
    <t xml:space="preserve">start</t>
  </si>
  <si>
    <t xml:space="preserve">started, start, starting</t>
  </si>
  <si>
    <t xml:space="preserve">night</t>
  </si>
  <si>
    <t xml:space="preserve">night, nights, nighted</t>
  </si>
  <si>
    <t xml:space="preserve">They honored the battling Billikens last night.</t>
  </si>
  <si>
    <t xml:space="preserve">question</t>
  </si>
  <si>
    <t xml:space="preserve">question, questions, questioned</t>
  </si>
  <si>
    <t xml:space="preserve">church</t>
  </si>
  <si>
    <t xml:space="preserve">church, churches</t>
  </si>
  <si>
    <t xml:space="preserve">room</t>
  </si>
  <si>
    <t xml:space="preserve">room, rooms, rooming</t>
  </si>
  <si>
    <t xml:space="preserve">It will be painted to match the paneling in the room.</t>
  </si>
  <si>
    <t xml:space="preserve">young</t>
  </si>
  <si>
    <t xml:space="preserve">young, younger, youngest</t>
  </si>
  <si>
    <t xml:space="preserve">By his own confession, Maris is an angry young man.</t>
  </si>
  <si>
    <t xml:space="preserve">though</t>
  </si>
  <si>
    <t xml:space="preserve">It is not program music, though.</t>
  </si>
  <si>
    <t xml:space="preserve">close</t>
  </si>
  <si>
    <t xml:space="preserve">close, closed, closer</t>
  </si>
  <si>
    <t xml:space="preserve">Only the families and a dozen close friends will be present.</t>
  </si>
  <si>
    <t xml:space="preserve">public</t>
  </si>
  <si>
    <t xml:space="preserve">almost</t>
  </si>
  <si>
    <t xml:space="preserve">enough</t>
  </si>
  <si>
    <t xml:space="preserve">A growl, a nod, was usually enough.</t>
  </si>
  <si>
    <t xml:space="preserve">hear</t>
  </si>
  <si>
    <t xml:space="preserve">heard, hear, hearing</t>
  </si>
  <si>
    <t xml:space="preserve">Appeals were heard for two days two weeks ago.</t>
  </si>
  <si>
    <t xml:space="preserve">let</t>
  </si>
  <si>
    <t xml:space="preserve">let, letting, lets</t>
  </si>
  <si>
    <t xml:space="preserve">Now let us see where this power comes from.</t>
  </si>
  <si>
    <t xml:space="preserve">woman</t>
  </si>
  <si>
    <t xml:space="preserve">woman, women</t>
  </si>
  <si>
    <t xml:space="preserve">Ginghams and calico will be popular dress for the women.</t>
  </si>
  <si>
    <t xml:space="preserve">yet</t>
  </si>
  <si>
    <t xml:space="preserve">Yet he remains the fiercest of competitors.</t>
  </si>
  <si>
    <t xml:space="preserve">big</t>
  </si>
  <si>
    <t xml:space="preserve">big, bigger, biggest</t>
  </si>
  <si>
    <t xml:space="preserve">Maris is in line for a big raise.</t>
  </si>
  <si>
    <t xml:space="preserve">mean</t>
  </si>
  <si>
    <t xml:space="preserve">mean, means, meant</t>
  </si>
  <si>
    <t xml:space="preserve">power</t>
  </si>
  <si>
    <t xml:space="preserve">power, powers, powered</t>
  </si>
  <si>
    <t xml:space="preserve">The demonstration of his power was never flamboyant or theatrical.</t>
  </si>
  <si>
    <t xml:space="preserve">week</t>
  </si>
  <si>
    <t xml:space="preserve">week, weeks</t>
  </si>
  <si>
    <t xml:space="preserve">business</t>
  </si>
  <si>
    <t xml:space="preserve">business, businesses</t>
  </si>
  <si>
    <t xml:space="preserve">Cotton processing equipment is a sizable segment of Dallas business economy.</t>
  </si>
  <si>
    <t xml:space="preserve">nothing</t>
  </si>
  <si>
    <t xml:space="preserve">nothing, nothings</t>
  </si>
  <si>
    <t xml:space="preserve">Finally, Mr. Eisenhower found nothing but confusion in Washington.</t>
  </si>
  <si>
    <t xml:space="preserve">cost</t>
  </si>
  <si>
    <t xml:space="preserve">cost, costs, costing</t>
  </si>
  <si>
    <t xml:space="preserve">possession</t>
  </si>
  <si>
    <t xml:space="preserve">Each of the four wayward shots cost him two strokes.</t>
  </si>
  <si>
    <t xml:space="preserve">why</t>
  </si>
  <si>
    <t xml:space="preserve">"Why don't you walk to school then" ? ?</t>
  </si>
  <si>
    <t xml:space="preserve">second</t>
  </si>
  <si>
    <t xml:space="preserve">second, seconds</t>
  </si>
  <si>
    <t xml:space="preserve">value</t>
  </si>
  <si>
    <t xml:space="preserve">value, values, valued</t>
  </si>
  <si>
    <t xml:space="preserve">The others were valued at $325, $75 and $65.</t>
  </si>
  <si>
    <t xml:space="preserve">family</t>
  </si>
  <si>
    <t xml:space="preserve">family, families</t>
  </si>
  <si>
    <t xml:space="preserve">act, acting, acts</t>
  </si>
  <si>
    <t xml:space="preserve">The passage of the Sherman Act was aimed at giant monopolies.</t>
  </si>
  <si>
    <t xml:space="preserve">president</t>
  </si>
  <si>
    <t xml:space="preserve">president, presidents</t>
  </si>
  <si>
    <t xml:space="preserve">President Kasavubu became exasperated with Lumumba and fired him.</t>
  </si>
  <si>
    <t xml:space="preserve">next</t>
  </si>
  <si>
    <t xml:space="preserve">Mr. and Mrs. Robert Brown will return next week from Bermuda.</t>
  </si>
  <si>
    <t xml:space="preserve">report</t>
  </si>
  <si>
    <t xml:space="preserve">report, reported, reports</t>
  </si>
  <si>
    <t xml:space="preserve">experience</t>
  </si>
  <si>
    <t xml:space="preserve">experience, experiences, experienced</t>
  </si>
  <si>
    <t xml:space="preserve">I try to give him as many normal experiences as possible.</t>
  </si>
  <si>
    <t xml:space="preserve">law</t>
  </si>
  <si>
    <t xml:space="preserve">law, laws</t>
  </si>
  <si>
    <t xml:space="preserve">car</t>
  </si>
  <si>
    <t xml:space="preserve">car, cars</t>
  </si>
  <si>
    <t xml:space="preserve">She has to have at least one car herself.</t>
  </si>
  <si>
    <t xml:space="preserve">toward</t>
  </si>
  <si>
    <t xml:space="preserve">He played basketball there while working toward a law degree.</t>
  </si>
  <si>
    <t xml:space="preserve">boy</t>
  </si>
  <si>
    <t xml:space="preserve">boy, boys</t>
  </si>
  <si>
    <t xml:space="preserve">The boys had a tremendous respect for each other's ability.</t>
  </si>
  <si>
    <t xml:space="preserve">mind</t>
  </si>
  <si>
    <t xml:space="preserve">mind, minds, minded</t>
  </si>
  <si>
    <t xml:space="preserve">One technical question of school organization comes to mind here.</t>
  </si>
  <si>
    <t xml:space="preserve">white</t>
  </si>
  <si>
    <t xml:space="preserve">white, whites</t>
  </si>
  <si>
    <t xml:space="preserve">social</t>
  </si>
  <si>
    <t xml:space="preserve">Freeport houses social science, pure science, and language;;</t>
  </si>
  <si>
    <t xml:space="preserve">national</t>
  </si>
  <si>
    <t xml:space="preserve">national, nationals</t>
  </si>
  <si>
    <t xml:space="preserve">development</t>
  </si>
  <si>
    <t xml:space="preserve">development, developments</t>
  </si>
  <si>
    <t xml:space="preserve">I turn finally to several theological developments.</t>
  </si>
  <si>
    <t xml:space="preserve">company</t>
  </si>
  <si>
    <t xml:space="preserve">company, companies</t>
  </si>
  <si>
    <t xml:space="preserve">matter</t>
  </si>
  <si>
    <t xml:space="preserve">matter, matters, mattered</t>
  </si>
  <si>
    <t xml:space="preserve">several</t>
  </si>
  <si>
    <t xml:space="preserve">Miss Eileen Grant is spending several weeks visiting in Florida.</t>
  </si>
  <si>
    <t xml:space="preserve">possible</t>
  </si>
  <si>
    <t xml:space="preserve">rather</t>
  </si>
  <si>
    <t xml:space="preserve">' I need rather to be baptized by you.</t>
  </si>
  <si>
    <t xml:space="preserve">per</t>
  </si>
  <si>
    <t xml:space="preserve">Nonresidential at $20,447,000, down 28 per cent;;</t>
  </si>
  <si>
    <t xml:space="preserve">among</t>
  </si>
  <si>
    <t xml:space="preserve">There is a conflict among the defendants".</t>
  </si>
  <si>
    <t xml:space="preserve">often</t>
  </si>
  <si>
    <t xml:space="preserve">often, oftener</t>
  </si>
  <si>
    <t xml:space="preserve">Off Grand Isle, yachters often visit the towering oil rigs.</t>
  </si>
  <si>
    <t xml:space="preserve">important</t>
  </si>
  <si>
    <t xml:space="preserve">Important aspects of the Kennedy textile plans are these :</t>
  </si>
  <si>
    <t xml:space="preserve">john</t>
  </si>
  <si>
    <t xml:space="preserve">john, johns</t>
  </si>
  <si>
    <t xml:space="preserve">St. Johns, Mich., April 19.</t>
  </si>
  <si>
    <t xml:space="preserve">return</t>
  </si>
  <si>
    <t xml:space="preserve">return, returned, returning</t>
  </si>
  <si>
    <t xml:space="preserve">Dec. 22 is the deadline for Mrs. Geraghty's return;;</t>
  </si>
  <si>
    <t xml:space="preserve">girl</t>
  </si>
  <si>
    <t xml:space="preserve">girl, girls</t>
  </si>
  <si>
    <t xml:space="preserve">What do the pretty SMU girls like on their plates ? ?</t>
  </si>
  <si>
    <t xml:space="preserve">lead</t>
  </si>
  <si>
    <t xml:space="preserve">led, lead, leading</t>
  </si>
  <si>
    <t xml:space="preserve">Many autistic children grow up to lead relatively normal lives.</t>
  </si>
  <si>
    <t xml:space="preserve">four</t>
  </si>
  <si>
    <t xml:space="preserve">four, fours</t>
  </si>
  <si>
    <t xml:space="preserve">Monday, he had four Longhorns in the top four.</t>
  </si>
  <si>
    <t xml:space="preserve">pay</t>
  </si>
  <si>
    <t xml:space="preserve">pay, paid, paying</t>
  </si>
  <si>
    <t xml:space="preserve">action, actions</t>
  </si>
  <si>
    <t xml:space="preserve">"He'll be out of action all this week.</t>
  </si>
  <si>
    <t xml:space="preserve">within</t>
  </si>
  <si>
    <t xml:space="preserve">She can remove all knick-knacks within reach.</t>
  </si>
  <si>
    <t xml:space="preserve">along</t>
  </si>
  <si>
    <t xml:space="preserve">foot</t>
  </si>
  <si>
    <t xml:space="preserve">feet, foot, footing</t>
  </si>
  <si>
    <t xml:space="preserve">appear</t>
  </si>
  <si>
    <t xml:space="preserve">appeared, appear, appears</t>
  </si>
  <si>
    <t xml:space="preserve">The long crisis in Laos appeared nearing a showdown today.</t>
  </si>
  <si>
    <t xml:space="preserve">reason</t>
  </si>
  <si>
    <t xml:space="preserve">reason, reasons, reasoned</t>
  </si>
  <si>
    <t xml:space="preserve">motive</t>
  </si>
  <si>
    <t xml:space="preserve">But there are reasons for the current spotlight on the subject.</t>
  </si>
  <si>
    <t xml:space="preserve">kind</t>
  </si>
  <si>
    <t xml:space="preserve">kind, kinds, kindest</t>
  </si>
  <si>
    <t xml:space="preserve">field</t>
  </si>
  <si>
    <t xml:space="preserve">field, fields, fielding</t>
  </si>
  <si>
    <t xml:space="preserve">door</t>
  </si>
  <si>
    <t xml:space="preserve">door, doors</t>
  </si>
  <si>
    <t xml:space="preserve">The latch is on your side of the door.</t>
  </si>
  <si>
    <t xml:space="preserve">sense</t>
  </si>
  <si>
    <t xml:space="preserve">sense, sensed, senses</t>
  </si>
  <si>
    <t xml:space="preserve">There's no sense in being reminded of times that were.</t>
  </si>
  <si>
    <t xml:space="preserve">figure</t>
  </si>
  <si>
    <t xml:space="preserve">figure, figures, figured</t>
  </si>
  <si>
    <t xml:space="preserve">meet</t>
  </si>
  <si>
    <t xml:space="preserve">meet, met, meets</t>
  </si>
  <si>
    <t xml:space="preserve">It is not much better if he meets with old classmates.</t>
  </si>
  <si>
    <t xml:space="preserve">example</t>
  </si>
  <si>
    <t xml:space="preserve">example, examples</t>
  </si>
  <si>
    <t xml:space="preserve">This is not an isolated example;;</t>
  </si>
  <si>
    <t xml:space="preserve">ever</t>
  </si>
  <si>
    <t xml:space="preserve">The Skipjack became the fastest submarine ever built.</t>
  </si>
  <si>
    <t xml:space="preserve">student</t>
  </si>
  <si>
    <t xml:space="preserve">students, student</t>
  </si>
  <si>
    <t xml:space="preserve">I refer to the attire worn by the students.</t>
  </si>
  <si>
    <t xml:space="preserve">continue</t>
  </si>
  <si>
    <t xml:space="preserve">continued, continue, continuing</t>
  </si>
  <si>
    <t xml:space="preserve">later</t>
  </si>
  <si>
    <t xml:space="preserve">They will take a wedding trip later.</t>
  </si>
  <si>
    <t xml:space="preserve">reach</t>
  </si>
  <si>
    <t xml:space="preserve">reached, reach, reaching</t>
  </si>
  <si>
    <t xml:space="preserve">"That limit has now been reached".</t>
  </si>
  <si>
    <t xml:space="preserve">body</t>
  </si>
  <si>
    <t xml:space="preserve">body, bodies, bodied</t>
  </si>
  <si>
    <t xml:space="preserve">there is also hydrogen in wood and hydrogen in our bodies.</t>
  </si>
  <si>
    <t xml:space="preserve">require</t>
  </si>
  <si>
    <t xml:space="preserve">required, require, requires</t>
  </si>
  <si>
    <t xml:space="preserve">A second point requires more extended comment.</t>
  </si>
  <si>
    <t xml:space="preserve">idea</t>
  </si>
  <si>
    <t xml:space="preserve">idea, ideas</t>
  </si>
  <si>
    <t xml:space="preserve">Perhaps the idea of sidewalk cafes could be extended.</t>
  </si>
  <si>
    <t xml:space="preserve">effect</t>
  </si>
  <si>
    <t xml:space="preserve">effect, effects, effected</t>
  </si>
  <si>
    <t xml:space="preserve">Guests will be treated to Gulf Coast scenic effects.</t>
  </si>
  <si>
    <t xml:space="preserve">fall</t>
  </si>
  <si>
    <t xml:space="preserve">fall, fell, fallen</t>
  </si>
  <si>
    <t xml:space="preserve">expect</t>
  </si>
  <si>
    <t xml:space="preserve">expected, expect, expects</t>
  </si>
  <si>
    <t xml:space="preserve">believe</t>
  </si>
  <si>
    <t xml:space="preserve">believe, believed, believes</t>
  </si>
  <si>
    <t xml:space="preserve">I believe TV watchers will be bored.</t>
  </si>
  <si>
    <t xml:space="preserve">pass</t>
  </si>
  <si>
    <t xml:space="preserve">passed, pass, passing</t>
  </si>
  <si>
    <t xml:space="preserve">god</t>
  </si>
  <si>
    <t xml:space="preserve">god, gods</t>
  </si>
  <si>
    <t xml:space="preserve">miss</t>
  </si>
  <si>
    <t xml:space="preserve">miss, missed, missing</t>
  </si>
  <si>
    <t xml:space="preserve">Miss Burke will arrive in December also.</t>
  </si>
  <si>
    <t xml:space="preserve">talk</t>
  </si>
  <si>
    <t xml:space="preserve">talk, talking, talked</t>
  </si>
  <si>
    <t xml:space="preserve">type, types, typing</t>
  </si>
  <si>
    <t xml:space="preserve">We don't need this type of protection any more.</t>
  </si>
  <si>
    <t xml:space="preserve">walk</t>
  </si>
  <si>
    <t xml:space="preserve">walked, walk, walking</t>
  </si>
  <si>
    <t xml:space="preserve">rate</t>
  </si>
  <si>
    <t xml:space="preserve">rate, rates, rated</t>
  </si>
  <si>
    <t xml:space="preserve">The rate a week ago was 2.295%.</t>
  </si>
  <si>
    <t xml:space="preserve">other</t>
  </si>
  <si>
    <t xml:space="preserve">others</t>
  </si>
  <si>
    <t xml:space="preserve">develop</t>
  </si>
  <si>
    <t xml:space="preserve">developed, develop, developing</t>
  </si>
  <si>
    <t xml:space="preserve">although</t>
  </si>
  <si>
    <t xml:space="preserve">Although open to the general public it is not overcrowded;;</t>
  </si>
  <si>
    <t xml:space="preserve">love</t>
  </si>
  <si>
    <t xml:space="preserve">love, loved, loves</t>
  </si>
  <si>
    <t xml:space="preserve">emotion</t>
  </si>
  <si>
    <t xml:space="preserve">Somewhere, somebody is bound to love us</t>
  </si>
  <si>
    <t xml:space="preserve">hour</t>
  </si>
  <si>
    <t xml:space="preserve">hours, hour</t>
  </si>
  <si>
    <t xml:space="preserve">month</t>
  </si>
  <si>
    <t xml:space="preserve">months, month</t>
  </si>
  <si>
    <t xml:space="preserve">consider</t>
  </si>
  <si>
    <t xml:space="preserve">considered, consider, considering</t>
  </si>
  <si>
    <t xml:space="preserve">We cannot consider ourselves educated if we do not read;;</t>
  </si>
  <si>
    <t xml:space="preserve">control</t>
  </si>
  <si>
    <t xml:space="preserve">control, controlled, controls</t>
  </si>
  <si>
    <t xml:space="preserve">Men believed they could control nature by obeying a moral code.</t>
  </si>
  <si>
    <t xml:space="preserve">sit</t>
  </si>
  <si>
    <t xml:space="preserve">sat, sitting, sit</t>
  </si>
  <si>
    <t xml:space="preserve">He sits in the stands and he doesn't like that.</t>
  </si>
  <si>
    <t xml:space="preserve">nation</t>
  </si>
  <si>
    <t xml:space="preserve">nations, nation</t>
  </si>
  <si>
    <t xml:space="preserve">remain</t>
  </si>
  <si>
    <t xml:space="preserve">remained, remain, remains</t>
  </si>
  <si>
    <t xml:space="preserve">certain</t>
  </si>
  <si>
    <t xml:space="preserve">different</t>
  </si>
  <si>
    <t xml:space="preserve">The different steps will look like this : Af</t>
  </si>
  <si>
    <t xml:space="preserve">individual</t>
  </si>
  <si>
    <t xml:space="preserve">individual, individuals</t>
  </si>
  <si>
    <t xml:space="preserve">period</t>
  </si>
  <si>
    <t xml:space="preserve">period, periods</t>
  </si>
  <si>
    <t xml:space="preserve">"A ' dust-settling ' period of decadence and decline".</t>
  </si>
  <si>
    <t xml:space="preserve">thus</t>
  </si>
  <si>
    <t xml:space="preserve">whole</t>
  </si>
  <si>
    <t xml:space="preserve">whole, wholes</t>
  </si>
  <si>
    <t xml:space="preserve">The whole official City apparently has an intense hatred toward birds.</t>
  </si>
  <si>
    <t xml:space="preserve">speak</t>
  </si>
  <si>
    <t xml:space="preserve">speak, spoke, speaking</t>
  </si>
  <si>
    <t xml:space="preserve">human</t>
  </si>
  <si>
    <t xml:space="preserve">human, humans</t>
  </si>
  <si>
    <t xml:space="preserve">' I thought it was a human being '".</t>
  </si>
  <si>
    <t xml:space="preserve">perhaps</t>
  </si>
  <si>
    <t xml:space="preserve">college</t>
  </si>
  <si>
    <t xml:space="preserve">college, colleges</t>
  </si>
  <si>
    <t xml:space="preserve">level</t>
  </si>
  <si>
    <t xml:space="preserve">level, levels, leveled</t>
  </si>
  <si>
    <t xml:space="preserve">Feed at level of 70 milligrams per head per day.</t>
  </si>
  <si>
    <t xml:space="preserve">carry</t>
  </si>
  <si>
    <t xml:space="preserve">carried, carry, carrying</t>
  </si>
  <si>
    <t xml:space="preserve">They shouldn't be asked to carry any more of the burden.</t>
  </si>
  <si>
    <t xml:space="preserve">hope</t>
  </si>
  <si>
    <t xml:space="preserve">hope, hopes, hoped</t>
  </si>
  <si>
    <t xml:space="preserve">He felt able to end on a note of hope.</t>
  </si>
  <si>
    <t xml:space="preserve">itself</t>
  </si>
  <si>
    <t xml:space="preserve">The administration declared itself in favor of a neutralized Laos.</t>
  </si>
  <si>
    <t xml:space="preserve">street</t>
  </si>
  <si>
    <t xml:space="preserve">street, streets</t>
  </si>
  <si>
    <t xml:space="preserve">Perhaps a street musician will pass to add that extra touch.</t>
  </si>
  <si>
    <t xml:space="preserve">job</t>
  </si>
  <si>
    <t xml:space="preserve">job, jobs</t>
  </si>
  <si>
    <t xml:space="preserve">low</t>
  </si>
  <si>
    <t xml:space="preserve">low, lower, lowest</t>
  </si>
  <si>
    <t xml:space="preserve">New highs for the year totaled nine and new lows 14.</t>
  </si>
  <si>
    <t xml:space="preserve">york</t>
  </si>
  <si>
    <t xml:space="preserve">The New York franchise is headed by Mrs. Charles Shipman Payson.</t>
  </si>
  <si>
    <t xml:space="preserve">age</t>
  </si>
  <si>
    <t xml:space="preserve">age, ages, aged</t>
  </si>
  <si>
    <t xml:space="preserve">The aging chancellor in all likelihood will be retired.</t>
  </si>
  <si>
    <t xml:space="preserve">book</t>
  </si>
  <si>
    <t xml:space="preserve">book, books, booked</t>
  </si>
  <si>
    <t xml:space="preserve">The record books, however, would favor the Giants' ace.</t>
  </si>
  <si>
    <t xml:space="preserve">office</t>
  </si>
  <si>
    <t xml:space="preserve">office, offices</t>
  </si>
  <si>
    <t xml:space="preserve">serve</t>
  </si>
  <si>
    <t xml:space="preserve">served, serve, serving</t>
  </si>
  <si>
    <t xml:space="preserve">sound</t>
  </si>
  <si>
    <t xml:space="preserve">sound, sounds, sounded</t>
  </si>
  <si>
    <t xml:space="preserve">And the tone she commands is always beautiful in sound.</t>
  </si>
  <si>
    <t xml:space="preserve">grow</t>
  </si>
  <si>
    <t xml:space="preserve">growing, grew, grow</t>
  </si>
  <si>
    <t xml:space="preserve">Traffic on nearly all the turnpikes has been growing.</t>
  </si>
  <si>
    <t xml:space="preserve">step</t>
  </si>
  <si>
    <t xml:space="preserve">step, steps, stepped</t>
  </si>
  <si>
    <t xml:space="preserve">The Service has not said what its next step will be.</t>
  </si>
  <si>
    <t xml:space="preserve">history</t>
  </si>
  <si>
    <t xml:space="preserve">history, histories</t>
  </si>
  <si>
    <t xml:space="preserve">history, biography, and education are centered in Hempstead;;</t>
  </si>
  <si>
    <t xml:space="preserve">above</t>
  </si>
  <si>
    <t xml:space="preserve">Suddenly one young voice rose above the others.</t>
  </si>
  <si>
    <t xml:space="preserve">moment</t>
  </si>
  <si>
    <t xml:space="preserve">moment, moments</t>
  </si>
  <si>
    <t xml:space="preserve">The moment of truth is the moment of crisis.</t>
  </si>
  <si>
    <t xml:space="preserve">position</t>
  </si>
  <si>
    <t xml:space="preserve">position, positions, positioned</t>
  </si>
  <si>
    <t xml:space="preserve">Place the locking bar in proper position and insert tappet 3.</t>
  </si>
  <si>
    <t xml:space="preserve">board</t>
  </si>
  <si>
    <t xml:space="preserve">board, boards, boarded</t>
  </si>
  <si>
    <t xml:space="preserve">Elected to the board of directors were :</t>
  </si>
  <si>
    <t xml:space="preserve">cause</t>
  </si>
  <si>
    <t xml:space="preserve">cause, caused, causes</t>
  </si>
  <si>
    <t xml:space="preserve">person, persons</t>
  </si>
  <si>
    <t xml:space="preserve">class, classes, classed</t>
  </si>
  <si>
    <t xml:space="preserve">There are about 3,325 officers and employees in this class.</t>
  </si>
  <si>
    <t xml:space="preserve">condition</t>
  </si>
  <si>
    <t xml:space="preserve">conditions, condition, conditioned</t>
  </si>
  <si>
    <t xml:space="preserve">His condition was reported to be fair.</t>
  </si>
  <si>
    <t xml:space="preserve">friend</t>
  </si>
  <si>
    <t xml:space="preserve">friends, friend</t>
  </si>
  <si>
    <t xml:space="preserve">receive</t>
  </si>
  <si>
    <t xml:space="preserve">received, receive, receiving</t>
  </si>
  <si>
    <t xml:space="preserve">Stengel will receive the Ben Epstein Good Guy Award.</t>
  </si>
  <si>
    <t xml:space="preserve">add</t>
  </si>
  <si>
    <t xml:space="preserve">added, add, adding</t>
  </si>
  <si>
    <t xml:space="preserve">In some instances a seventh question can be added : 7.</t>
  </si>
  <si>
    <t xml:space="preserve">center</t>
  </si>
  <si>
    <t xml:space="preserve">center, centers, centered</t>
  </si>
  <si>
    <t xml:space="preserve">note, noted, notes</t>
  </si>
  <si>
    <t xml:space="preserve">Chief aims of the proposed conference are worth noting.</t>
  </si>
  <si>
    <t xml:space="preserve">policy</t>
  </si>
  <si>
    <t xml:space="preserve">policy, policies</t>
  </si>
  <si>
    <t xml:space="preserve">five</t>
  </si>
  <si>
    <t xml:space="preserve">five, fives</t>
  </si>
  <si>
    <t xml:space="preserve">local</t>
  </si>
  <si>
    <t xml:space="preserve">record</t>
  </si>
  <si>
    <t xml:space="preserve">record, records, recorded</t>
  </si>
  <si>
    <t xml:space="preserve">process</t>
  </si>
  <si>
    <t xml:space="preserve">process, processes, processing</t>
  </si>
  <si>
    <t xml:space="preserve">And he will avoid eye-strain in the process.</t>
  </si>
  <si>
    <t xml:space="preserve">whether</t>
  </si>
  <si>
    <t xml:space="preserve">How can they tell whether a child needs orthodontic treatment ? ?</t>
  </si>
  <si>
    <t xml:space="preserve">death</t>
  </si>
  <si>
    <t xml:space="preserve">death, deaths</t>
  </si>
  <si>
    <t xml:space="preserve">ordered an investigation of Lumumba's death;;</t>
  </si>
  <si>
    <t xml:space="preserve">either</t>
  </si>
  <si>
    <t xml:space="preserve">for, in either event, the first possibility is excluded.</t>
  </si>
  <si>
    <t xml:space="preserve">method</t>
  </si>
  <si>
    <t xml:space="preserve">methods, method</t>
  </si>
  <si>
    <t xml:space="preserve">Government research will look into new products and methods.</t>
  </si>
  <si>
    <t xml:space="preserve">today</t>
  </si>
  <si>
    <t xml:space="preserve">court</t>
  </si>
  <si>
    <t xml:space="preserve">court, courts, courting</t>
  </si>
  <si>
    <t xml:space="preserve">Kennedy opposes any widespread relief from a High Court depletion ruling.</t>
  </si>
  <si>
    <t xml:space="preserve">across</t>
  </si>
  <si>
    <t xml:space="preserve">free</t>
  </si>
  <si>
    <t xml:space="preserve">free, freed, freer</t>
  </si>
  <si>
    <t xml:space="preserve">past</t>
  </si>
  <si>
    <t xml:space="preserve">In the past the club depended largely on Van Brocklin's aerials.</t>
  </si>
  <si>
    <t xml:space="preserve">quite</t>
  </si>
  <si>
    <t xml:space="preserve">We have quite a few home-grown specimens of our own.</t>
  </si>
  <si>
    <t xml:space="preserve">anything</t>
  </si>
  <si>
    <t xml:space="preserve">Actually they were helpless to do anything about the nationwide policy.</t>
  </si>
  <si>
    <t xml:space="preserve">cut</t>
  </si>
  <si>
    <t xml:space="preserve">cut, cutting, cuts</t>
  </si>
  <si>
    <t xml:space="preserve">That theme cuts through hypocrisies, complacency and double-talk.</t>
  </si>
  <si>
    <t xml:space="preserve">happen</t>
  </si>
  <si>
    <t xml:space="preserve">happened, happen, happens</t>
  </si>
  <si>
    <t xml:space="preserve">It happened on the twelfth hole, a 155-yarder.</t>
  </si>
  <si>
    <t xml:space="preserve">lie</t>
  </si>
  <si>
    <t xml:space="preserve">lay, lie, lies</t>
  </si>
  <si>
    <t xml:space="preserve">society</t>
  </si>
  <si>
    <t xml:space="preserve">society, societies</t>
  </si>
  <si>
    <t xml:space="preserve">Cafe Society opens formally this afternoon under its new ownership.</t>
  </si>
  <si>
    <t xml:space="preserve">answer</t>
  </si>
  <si>
    <t xml:space="preserve">answer, answered, answers</t>
  </si>
  <si>
    <t xml:space="preserve">The answer is that it was a combination of circumstances.</t>
  </si>
  <si>
    <t xml:space="preserve">half</t>
  </si>
  <si>
    <t xml:space="preserve">half, halves</t>
  </si>
  <si>
    <t xml:space="preserve">Especially the first half of the third verse :</t>
  </si>
  <si>
    <t xml:space="preserve">concern</t>
  </si>
  <si>
    <t xml:space="preserve">concerned, concern, concerns</t>
  </si>
  <si>
    <t xml:space="preserve">The latter is what concerns us all.</t>
  </si>
  <si>
    <t xml:space="preserve">read</t>
  </si>
  <si>
    <t xml:space="preserve">read, reading, reads</t>
  </si>
  <si>
    <t xml:space="preserve">support</t>
  </si>
  <si>
    <t xml:space="preserve">support, supported, supporting</t>
  </si>
  <si>
    <t xml:space="preserve">Price support loans may total another $1 billion this year.</t>
  </si>
  <si>
    <t xml:space="preserve">arm</t>
  </si>
  <si>
    <t xml:space="preserve">arms, arm, armed</t>
  </si>
  <si>
    <t xml:space="preserve">party</t>
  </si>
  <si>
    <t xml:space="preserve">party, parties</t>
  </si>
  <si>
    <t xml:space="preserve">He was a fighter for those of his own party.</t>
  </si>
  <si>
    <t xml:space="preserve">really</t>
  </si>
  <si>
    <t xml:space="preserve">"Then we'd really have someplace to go".</t>
  </si>
  <si>
    <t xml:space="preserve">art</t>
  </si>
  <si>
    <t xml:space="preserve">art, arts</t>
  </si>
  <si>
    <t xml:space="preserve">lose</t>
  </si>
  <si>
    <t xml:space="preserve">lost, lose, losing</t>
  </si>
  <si>
    <t xml:space="preserve">In such conditions all freedoms are lost.</t>
  </si>
  <si>
    <t xml:space="preserve">already</t>
  </si>
  <si>
    <t xml:space="preserve">determine</t>
  </si>
  <si>
    <t xml:space="preserve">determined, determine, determining</t>
  </si>
  <si>
    <t xml:space="preserve">only historical evolution will determine which ) : an abrupt change.</t>
  </si>
  <si>
    <t xml:space="preserve">wait</t>
  </si>
  <si>
    <t xml:space="preserve">waiting, wait, waited</t>
  </si>
  <si>
    <t xml:space="preserve">The subsequent two-weeks wait made the crew quarrelsome.</t>
  </si>
  <si>
    <t xml:space="preserve">community</t>
  </si>
  <si>
    <t xml:space="preserve">community, communities</t>
  </si>
  <si>
    <t xml:space="preserve">The plight of a small community library is proportionately worse.</t>
  </si>
  <si>
    <t xml:space="preserve">effort</t>
  </si>
  <si>
    <t xml:space="preserve">effort, efforts</t>
  </si>
  <si>
    <t xml:space="preserve">issue</t>
  </si>
  <si>
    <t xml:space="preserve">issue, issues, issued</t>
  </si>
  <si>
    <t xml:space="preserve">Of 1,253 issues traded, 695 advanced and 354 declined.</t>
  </si>
  <si>
    <t xml:space="preserve">view</t>
  </si>
  <si>
    <t xml:space="preserve">view, views, viewed</t>
  </si>
  <si>
    <t xml:space="preserve">A capsule view of proposed plans includes :</t>
  </si>
  <si>
    <t xml:space="preserve">fire</t>
  </si>
  <si>
    <t xml:space="preserve">fire, fired, firing</t>
  </si>
  <si>
    <t xml:space="preserve">Kowalski has spoken but little since the fire last Saturday.</t>
  </si>
  <si>
    <t xml:space="preserve">land</t>
  </si>
  <si>
    <t xml:space="preserve">land, lands, landed</t>
  </si>
  <si>
    <t xml:space="preserve">material</t>
  </si>
  <si>
    <t xml:space="preserve">material, materials</t>
  </si>
  <si>
    <t xml:space="preserve">"As for materials, I use the best available.</t>
  </si>
  <si>
    <t xml:space="preserve">stop</t>
  </si>
  <si>
    <t xml:space="preserve">stopped, stop, stopping</t>
  </si>
  <si>
    <t xml:space="preserve">Honolulu will be Mrs. Geraghty's first stop.</t>
  </si>
  <si>
    <t xml:space="preserve">themselves</t>
  </si>
  <si>
    <t xml:space="preserve">It helps those people who help themselves.</t>
  </si>
  <si>
    <t xml:space="preserve">complete</t>
  </si>
  <si>
    <t xml:space="preserve">complete, completed, completing</t>
  </si>
  <si>
    <t xml:space="preserve">freshman average, completes the Birds' spring squad at 49 players.</t>
  </si>
  <si>
    <t xml:space="preserve">information</t>
  </si>
  <si>
    <t xml:space="preserve">The paramagnetic dipole effects provide some information on the particle shapes.</t>
  </si>
  <si>
    <t xml:space="preserve">late</t>
  </si>
  <si>
    <t xml:space="preserve">late, later, latest</t>
  </si>
  <si>
    <t xml:space="preserve">voice</t>
  </si>
  <si>
    <t xml:space="preserve">voice, voices, voiced</t>
  </si>
  <si>
    <t xml:space="preserve">Goodis voiced his objection before City Council's Finance Committee.</t>
  </si>
  <si>
    <t xml:space="preserve">clear</t>
  </si>
  <si>
    <t xml:space="preserve">clear, cleared, clearer</t>
  </si>
  <si>
    <t xml:space="preserve">Regardless of the decision two facts are clear.</t>
  </si>
  <si>
    <t xml:space="preserve">money</t>
  </si>
  <si>
    <t xml:space="preserve">money, moneys, monies</t>
  </si>
  <si>
    <t xml:space="preserve">Then the youths fled with his money.</t>
  </si>
  <si>
    <t xml:space="preserve">tax</t>
  </si>
  <si>
    <t xml:space="preserve">tax, taxes, taxed</t>
  </si>
  <si>
    <t xml:space="preserve">A rule on the Federal deductibility of state taxes is contested.</t>
  </si>
  <si>
    <t xml:space="preserve">together</t>
  </si>
  <si>
    <t xml:space="preserve">They are now working together toward solving their difficulties.</t>
  </si>
  <si>
    <t xml:space="preserve">subject</t>
  </si>
  <si>
    <t xml:space="preserve">subject, subjects, subjected</t>
  </si>
  <si>
    <t xml:space="preserve">sure</t>
  </si>
  <si>
    <t xml:space="preserve">air</t>
  </si>
  <si>
    <t xml:space="preserve">air, airs, aired</t>
  </si>
  <si>
    <t xml:space="preserve">drive</t>
  </si>
  <si>
    <t xml:space="preserve">drive, drove, driving</t>
  </si>
  <si>
    <t xml:space="preserve">letter</t>
  </si>
  <si>
    <t xml:space="preserve">letter, letters, lettered</t>
  </si>
  <si>
    <t xml:space="preserve">Friday's letters asked for a Nov. 15 meeting.</t>
  </si>
  <si>
    <t xml:space="preserve">short</t>
  </si>
  <si>
    <t xml:space="preserve">short, shorts, shorter</t>
  </si>
  <si>
    <t xml:space="preserve">town</t>
  </si>
  <si>
    <t xml:space="preserve">town, towns</t>
  </si>
  <si>
    <t xml:space="preserve">Herbert Heilman in town for a day.</t>
  </si>
  <si>
    <t xml:space="preserve">probably</t>
  </si>
  <si>
    <t xml:space="preserve">You'll probably get a ball bat on the head.</t>
  </si>
  <si>
    <t xml:space="preserve">include</t>
  </si>
  <si>
    <t xml:space="preserve">include, included, includes</t>
  </si>
  <si>
    <t xml:space="preserve">real</t>
  </si>
  <si>
    <t xml:space="preserve">real, realer, realest</t>
  </si>
  <si>
    <t xml:space="preserve">section</t>
  </si>
  <si>
    <t xml:space="preserve">section, sections</t>
  </si>
  <si>
    <t xml:space="preserve">Not all sections are showing an upswing, however;;</t>
  </si>
  <si>
    <t xml:space="preserve">behind</t>
  </si>
  <si>
    <t xml:space="preserve">As of now, that all seems behind him.</t>
  </si>
  <si>
    <t xml:space="preserve">cannot</t>
  </si>
  <si>
    <t xml:space="preserve">Doyle cannot undertake to reply to inquiries.</t>
  </si>
  <si>
    <t xml:space="preserve">design</t>
  </si>
  <si>
    <t xml:space="preserve">design, designed, designs</t>
  </si>
  <si>
    <t xml:space="preserve">With the machinery went a complete design for the hull.</t>
  </si>
  <si>
    <t xml:space="preserve">learn</t>
  </si>
  <si>
    <t xml:space="preserve">learned, learn, learning</t>
  </si>
  <si>
    <t xml:space="preserve">G. Mennen Williams is learning the difficulties of diplomacy rapidly.</t>
  </si>
  <si>
    <t xml:space="preserve">political</t>
  </si>
  <si>
    <t xml:space="preserve">term</t>
  </si>
  <si>
    <t xml:space="preserve">terms, term, termed</t>
  </si>
  <si>
    <t xml:space="preserve">strong</t>
  </si>
  <si>
    <t xml:space="preserve">strong, stronger, strongest</t>
  </si>
  <si>
    <t xml:space="preserve">His singing was strong and musical;;</t>
  </si>
  <si>
    <t xml:space="preserve">road</t>
  </si>
  <si>
    <t xml:space="preserve">road, roads</t>
  </si>
  <si>
    <t xml:space="preserve">cover</t>
  </si>
  <si>
    <t xml:space="preserve">covered, cover, covers</t>
  </si>
  <si>
    <t xml:space="preserve">rise</t>
  </si>
  <si>
    <t xml:space="preserve">rise, rising, rose</t>
  </si>
  <si>
    <t xml:space="preserve">century</t>
  </si>
  <si>
    <t xml:space="preserve">century, centuries</t>
  </si>
  <si>
    <t xml:space="preserve">It all takes place in the eighteenth century.</t>
  </si>
  <si>
    <t xml:space="preserve">million</t>
  </si>
  <si>
    <t xml:space="preserve">million, millions</t>
  </si>
  <si>
    <t xml:space="preserve">send</t>
  </si>
  <si>
    <t xml:space="preserve">sent, send, sending</t>
  </si>
  <si>
    <t xml:space="preserve">Send me where I can play".</t>
  </si>
  <si>
    <t xml:space="preserve">break</t>
  </si>
  <si>
    <t xml:space="preserve">break, broke, broken</t>
  </si>
  <si>
    <t xml:space="preserve">Republican research broke down the vote in Philadelphia.</t>
  </si>
  <si>
    <t xml:space="preserve">major</t>
  </si>
  <si>
    <t xml:space="preserve">major, majors, majored</t>
  </si>
  <si>
    <t xml:space="preserve">The accepted method of writing news has two major liabilities.</t>
  </si>
  <si>
    <t xml:space="preserve">minute</t>
  </si>
  <si>
    <t xml:space="preserve">minutes, minute</t>
  </si>
  <si>
    <t xml:space="preserve">I think that readers generally hate minute polemics and recriminations.</t>
  </si>
  <si>
    <t xml:space="preserve">whose</t>
  </si>
  <si>
    <t xml:space="preserve">a man in whose entourage none was ever safe;;</t>
  </si>
  <si>
    <t xml:space="preserve">build</t>
  </si>
  <si>
    <t xml:space="preserve">built, build, building</t>
  </si>
  <si>
    <t xml:space="preserve">department</t>
  </si>
  <si>
    <t xml:space="preserve">department, departments</t>
  </si>
  <si>
    <t xml:space="preserve">Drunken truck drivers in the city departments should be weeded out.</t>
  </si>
  <si>
    <t xml:space="preserve">remember</t>
  </si>
  <si>
    <t xml:space="preserve">remember, remembered, remembering</t>
  </si>
  <si>
    <t xml:space="preserve">Scores of Cranston children will be remembered.</t>
  </si>
  <si>
    <t xml:space="preserve">special</t>
  </si>
  <si>
    <t xml:space="preserve">He could terminate special sessions of the Legislature.</t>
  </si>
  <si>
    <t xml:space="preserve">involve</t>
  </si>
  <si>
    <t xml:space="preserve">involved, involves, involve</t>
  </si>
  <si>
    <t xml:space="preserve">Many changes involved minor editing and clarification;;</t>
  </si>
  <si>
    <t xml:space="preserve">wife</t>
  </si>
  <si>
    <t xml:space="preserve">wife, wives</t>
  </si>
  <si>
    <t xml:space="preserve">Anderson's wife and four children live in Miami.</t>
  </si>
  <si>
    <t xml:space="preserve">federal</t>
  </si>
  <si>
    <t xml:space="preserve">federal, federals</t>
  </si>
  <si>
    <t xml:space="preserve">situation</t>
  </si>
  <si>
    <t xml:space="preserve">situation, situations</t>
  </si>
  <si>
    <t xml:space="preserve">There are two more Sunday afternoons when the situation will arise.</t>
  </si>
  <si>
    <t xml:space="preserve">ago</t>
  </si>
  <si>
    <t xml:space="preserve">near</t>
  </si>
  <si>
    <t xml:space="preserve">near, nearest, nearing</t>
  </si>
  <si>
    <t xml:space="preserve">university</t>
  </si>
  <si>
    <t xml:space="preserve">university, universities</t>
  </si>
  <si>
    <t xml:space="preserve">available</t>
  </si>
  <si>
    <t xml:space="preserve">stage</t>
  </si>
  <si>
    <t xml:space="preserve">stage, stages, staged</t>
  </si>
  <si>
    <t xml:space="preserve">indicate</t>
  </si>
  <si>
    <t xml:space="preserve">indicated, indicate, indicates</t>
  </si>
  <si>
    <t xml:space="preserve">President Kennedy has indicated his dissatisfaction with its performance.</t>
  </si>
  <si>
    <t xml:space="preserve">economic</t>
  </si>
  <si>
    <t xml:space="preserve">-- "Consumer uncertain about economic conditions".</t>
  </si>
  <si>
    <t xml:space="preserve">mother</t>
  </si>
  <si>
    <t xml:space="preserve">mother, mothers, mothered</t>
  </si>
  <si>
    <t xml:space="preserve">table, tables</t>
  </si>
  <si>
    <t xml:space="preserve">Mrs. Roger Mead is head of the luncheon table decorations.</t>
  </si>
  <si>
    <t xml:space="preserve">bear</t>
  </si>
  <si>
    <t xml:space="preserve">born, bear, bears</t>
  </si>
  <si>
    <t xml:space="preserve">animal</t>
  </si>
  <si>
    <t xml:space="preserve">Miss Murphy was born in Placentia, Newfoundland.</t>
  </si>
  <si>
    <t xml:space="preserve">south</t>
  </si>
  <si>
    <t xml:space="preserve">south, souths</t>
  </si>
  <si>
    <t xml:space="preserve">in relation to Laos, Algeria, South Africa;;</t>
  </si>
  <si>
    <t xml:space="preserve">full</t>
  </si>
  <si>
    <t xml:space="preserve">full, fuller, fullest</t>
  </si>
  <si>
    <t xml:space="preserve">It was part of a citywide move toward full integration.</t>
  </si>
  <si>
    <t xml:space="preserve">purpose</t>
  </si>
  <si>
    <t xml:space="preserve">purpose, purposes, purposed</t>
  </si>
  <si>
    <t xml:space="preserve">There are motels for all purposes and all tastes.</t>
  </si>
  <si>
    <t xml:space="preserve">understand</t>
  </si>
  <si>
    <t xml:space="preserve">understand, understood, understanding</t>
  </si>
  <si>
    <t xml:space="preserve">watch</t>
  </si>
  <si>
    <t xml:space="preserve">watch, watched, watching</t>
  </si>
  <si>
    <t xml:space="preserve">And watch for a headline from this pair any time now.</t>
  </si>
  <si>
    <t xml:space="preserve">base</t>
  </si>
  <si>
    <t xml:space="preserve">based, base, bases</t>
  </si>
  <si>
    <t xml:space="preserve">Mantle is a master at dragging a bunt toward first base.</t>
  </si>
  <si>
    <t xml:space="preserve">hard</t>
  </si>
  <si>
    <t xml:space="preserve">hard, harder, hardest</t>
  </si>
  <si>
    <t xml:space="preserve">It is hard to blame them for this.</t>
  </si>
  <si>
    <t xml:space="preserve">picture</t>
  </si>
  <si>
    <t xml:space="preserve">picture, pictures, pictured</t>
  </si>
  <si>
    <t xml:space="preserve">In Laos, the picture was almost equally bad.</t>
  </si>
  <si>
    <t xml:space="preserve">measure</t>
  </si>
  <si>
    <t xml:space="preserve">measure, measured, measures</t>
  </si>
  <si>
    <t xml:space="preserve">Traffic frequently has failed to measure up to engineers' rosy estimates.</t>
  </si>
  <si>
    <t xml:space="preserve">true</t>
  </si>
  <si>
    <t xml:space="preserve">true, truer, truest</t>
  </si>
  <si>
    <t xml:space="preserve">Georgia has made some reforms, true.</t>
  </si>
  <si>
    <t xml:space="preserve">west</t>
  </si>
  <si>
    <t xml:space="preserve">The West has no intention of attacking Russia.</t>
  </si>
  <si>
    <t xml:space="preserve">ground</t>
  </si>
  <si>
    <t xml:space="preserve">ground, grounds, grounded</t>
  </si>
  <si>
    <t xml:space="preserve">The Faget appointment was preposterous on several grounds.</t>
  </si>
  <si>
    <t xml:space="preserve">spirit</t>
  </si>
  <si>
    <t xml:space="preserve">spirit, spirits, spirited</t>
  </si>
  <si>
    <t xml:space="preserve">Even the Distilled Spirits Institute has long had a specific prohibition.</t>
  </si>
  <si>
    <t xml:space="preserve">total</t>
  </si>
  <si>
    <t xml:space="preserve">total, totaled, totaling</t>
  </si>
  <si>
    <t xml:space="preserve">A breakdown of the ten-month total showed :</t>
  </si>
  <si>
    <t xml:space="preserve">charge</t>
  </si>
  <si>
    <t xml:space="preserve">charge, charged, charges</t>
  </si>
  <si>
    <t xml:space="preserve">Thomas was charged with four counts of assault and battery.</t>
  </si>
  <si>
    <t xml:space="preserve">front</t>
  </si>
  <si>
    <t xml:space="preserve">front, fronts, fronting</t>
  </si>
  <si>
    <t xml:space="preserve">activity</t>
  </si>
  <si>
    <t xml:space="preserve">activity, activities</t>
  </si>
  <si>
    <t xml:space="preserve">Each state advisory committee documented its own activity.</t>
  </si>
  <si>
    <t xml:space="preserve">wall</t>
  </si>
  <si>
    <t xml:space="preserve">wall, walls, walled</t>
  </si>
  <si>
    <t xml:space="preserve">The Wall, awkwardly based on the John Hersey novel;;</t>
  </si>
  <si>
    <t xml:space="preserve">draw</t>
  </si>
  <si>
    <t xml:space="preserve">drawn, drew, draw</t>
  </si>
  <si>
    <t xml:space="preserve">Anyone can draw his own conclusions from this difference.</t>
  </si>
  <si>
    <t xml:space="preserve">offer</t>
  </si>
  <si>
    <t xml:space="preserve">offered, offer, offers</t>
  </si>
  <si>
    <t xml:space="preserve">Two years ago Thompson offered his collection to the city.</t>
  </si>
  <si>
    <t xml:space="preserve">common</t>
  </si>
  <si>
    <t xml:space="preserve">common, commons, commoner</t>
  </si>
  <si>
    <t xml:space="preserve">The letters of the common soldiers are rich in humor.</t>
  </si>
  <si>
    <t xml:space="preserve">surface</t>
  </si>
  <si>
    <t xml:space="preserve">surface, surfaces, surfaced</t>
  </si>
  <si>
    <t xml:space="preserve">Zen maintains that cognitive things are only the surface of experience.</t>
  </si>
  <si>
    <t xml:space="preserve">test</t>
  </si>
  <si>
    <t xml:space="preserve">test, tests, tested</t>
  </si>
  <si>
    <t xml:space="preserve">bad</t>
  </si>
  <si>
    <t xml:space="preserve">bad, worse, worst</t>
  </si>
  <si>
    <t xml:space="preserve">color</t>
  </si>
  <si>
    <t xml:space="preserve">color, colors, colored</t>
  </si>
  <si>
    <t xml:space="preserve">Should I show my daughter how things should be colored ? ?</t>
  </si>
  <si>
    <t xml:space="preserve">difference</t>
  </si>
  <si>
    <t xml:space="preserve">difference, differences</t>
  </si>
  <si>
    <t xml:space="preserve">future</t>
  </si>
  <si>
    <t xml:space="preserve">My future plans are to become a language teacher.</t>
  </si>
  <si>
    <t xml:space="preserve">market</t>
  </si>
  <si>
    <t xml:space="preserve">market, marketing, markets</t>
  </si>
  <si>
    <t xml:space="preserve">"Convenience is therefore the key to the housing market today.</t>
  </si>
  <si>
    <t xml:space="preserve">produce</t>
  </si>
  <si>
    <t xml:space="preserve">produced, produce, producing</t>
  </si>
  <si>
    <t xml:space="preserve">claim</t>
  </si>
  <si>
    <t xml:space="preserve">claim, claims, claimed</t>
  </si>
  <si>
    <t xml:space="preserve">In the past such government claims have been found exaggerated.</t>
  </si>
  <si>
    <t xml:space="preserve">deal</t>
  </si>
  <si>
    <t xml:space="preserve">deal, dealing, dealt</t>
  </si>
  <si>
    <t xml:space="preserve">It dealt mainly with a broad range of East-West issues.</t>
  </si>
  <si>
    <t xml:space="preserve">necessary</t>
  </si>
  <si>
    <t xml:space="preserve">necessary, necessaries</t>
  </si>
  <si>
    <t xml:space="preserve">Little geeing and hawing have been necessary".</t>
  </si>
  <si>
    <t xml:space="preserve">pressure</t>
  </si>
  <si>
    <t xml:space="preserve">pressure, pressures</t>
  </si>
  <si>
    <t xml:space="preserve">Barnett is not expected to be able to withstand the pressure.</t>
  </si>
  <si>
    <t xml:space="preserve">top</t>
  </si>
  <si>
    <t xml:space="preserve">top, tops, topped</t>
  </si>
  <si>
    <t xml:space="preserve">amount</t>
  </si>
  <si>
    <t xml:space="preserve">amount, amounts, amounted</t>
  </si>
  <si>
    <t xml:space="preserve">but no amount of head-tossing could make it so.</t>
  </si>
  <si>
    <t xml:space="preserve">evidence</t>
  </si>
  <si>
    <t xml:space="preserve">evidence, evidenced, evidences</t>
  </si>
  <si>
    <t xml:space="preserve">At the start of her program there were evidences of pique.</t>
  </si>
  <si>
    <t xml:space="preserve">property</t>
  </si>
  <si>
    <t xml:space="preserve">property, properties</t>
  </si>
  <si>
    <t xml:space="preserve">mile</t>
  </si>
  <si>
    <t xml:space="preserve">miles, mile</t>
  </si>
  <si>
    <t xml:space="preserve">I had to ride a streetcar two miles.</t>
  </si>
  <si>
    <t xml:space="preserve">morning</t>
  </si>
  <si>
    <t xml:space="preserve">morning, mornings</t>
  </si>
  <si>
    <t xml:space="preserve">Eat in a restaurant or motel mornings and evenings;;</t>
  </si>
  <si>
    <t xml:space="preserve">piece</t>
  </si>
  <si>
    <t xml:space="preserve">piece, pieces</t>
  </si>
  <si>
    <t xml:space="preserve">N.C.'s editorial "Confrontation" is a stunning piece of writing.</t>
  </si>
  <si>
    <t xml:space="preserve">sometimes</t>
  </si>
  <si>
    <t xml:space="preserve">A friendly state, sometimes only semi-independent, but never hostile.</t>
  </si>
  <si>
    <t xml:space="preserve">approach</t>
  </si>
  <si>
    <t xml:space="preserve">approach, approached, approaching</t>
  </si>
  <si>
    <t xml:space="preserve">But from a historic viewpoint none can approach it.</t>
  </si>
  <si>
    <t xml:space="preserve">six</t>
  </si>
  <si>
    <t xml:space="preserve">able</t>
  </si>
  <si>
    <t xml:space="preserve">able, abler</t>
  </si>
  <si>
    <t xml:space="preserve">rest</t>
  </si>
  <si>
    <t xml:space="preserve">rest, resting, rests</t>
  </si>
  <si>
    <t xml:space="preserve">The rest of the deficit is also easily understood.</t>
  </si>
  <si>
    <t xml:space="preserve">train</t>
  </si>
  <si>
    <t xml:space="preserve">train, training, trained</t>
  </si>
  <si>
    <t xml:space="preserve">It will be a 16-hour training day.</t>
  </si>
  <si>
    <t xml:space="preserve">music</t>
  </si>
  <si>
    <t xml:space="preserve">soon</t>
  </si>
  <si>
    <t xml:space="preserve">soon, sooner</t>
  </si>
  <si>
    <t xml:space="preserve">demand</t>
  </si>
  <si>
    <t xml:space="preserve">demand, demands, demanded</t>
  </si>
  <si>
    <t xml:space="preserve">He in turn told her she demanded too much.</t>
  </si>
  <si>
    <t xml:space="preserve">die</t>
  </si>
  <si>
    <t xml:space="preserve">died, die, dying</t>
  </si>
  <si>
    <t xml:space="preserve">The gallant half-city is dying on its feet".</t>
  </si>
  <si>
    <t xml:space="preserve">education</t>
  </si>
  <si>
    <t xml:space="preserve">education, educations</t>
  </si>
  <si>
    <t xml:space="preserve">The Belgians also placed great emphasis on education.</t>
  </si>
  <si>
    <t xml:space="preserve">hundred</t>
  </si>
  <si>
    <t xml:space="preserve">hundred, hundreds</t>
  </si>
  <si>
    <t xml:space="preserve">range</t>
  </si>
  <si>
    <t xml:space="preserve">range, ranging, ranged</t>
  </si>
  <si>
    <t xml:space="preserve">list</t>
  </si>
  <si>
    <t xml:space="preserve">list, listed, lists</t>
  </si>
  <si>
    <t xml:space="preserve">he and his prospective producer just read the bestseller lists.</t>
  </si>
  <si>
    <t xml:space="preserve">enter</t>
  </si>
  <si>
    <t xml:space="preserve">entered, enter, entering</t>
  </si>
  <si>
    <t xml:space="preserve">Still a demurrer or two must be entered.</t>
  </si>
  <si>
    <t xml:space="preserve">fight</t>
  </si>
  <si>
    <t xml:space="preserve">fight, fighting, fought</t>
  </si>
  <si>
    <t xml:space="preserve">Twenty-four hours after independence the wild tribesmen commenced fighting each other.</t>
  </si>
  <si>
    <t xml:space="preserve">military</t>
  </si>
  <si>
    <t xml:space="preserve">story</t>
  </si>
  <si>
    <t xml:space="preserve">story, stories</t>
  </si>
  <si>
    <t xml:space="preserve">The story of the fatal crash is not fully known.</t>
  </si>
  <si>
    <t xml:space="preserve">stay</t>
  </si>
  <si>
    <t xml:space="preserve">stay, stayed, staying</t>
  </si>
  <si>
    <t xml:space="preserve">There's a reason for this length of stay.</t>
  </si>
  <si>
    <t xml:space="preserve">union</t>
  </si>
  <si>
    <t xml:space="preserve">union, unions</t>
  </si>
  <si>
    <t xml:space="preserve">It was most effective against trade unions.</t>
  </si>
  <si>
    <t xml:space="preserve">apply</t>
  </si>
  <si>
    <t xml:space="preserve">applied, apply, applying</t>
  </si>
  <si>
    <t xml:space="preserve">Levittown has applied science, business, and literature;;</t>
  </si>
  <si>
    <t xml:space="preserve">black</t>
  </si>
  <si>
    <t xml:space="preserve">black, blacked, blacks</t>
  </si>
  <si>
    <t xml:space="preserve">Judge Black, the vegetarian black snake;;</t>
  </si>
  <si>
    <t xml:space="preserve">outside</t>
  </si>
  <si>
    <t xml:space="preserve">Others huddled under the trees outside the fence.</t>
  </si>
  <si>
    <t xml:space="preserve">direct</t>
  </si>
  <si>
    <t xml:space="preserve">direct, directed, directing</t>
  </si>
  <si>
    <t xml:space="preserve">statement</t>
  </si>
  <si>
    <t xml:space="preserve">statement, statements</t>
  </si>
  <si>
    <t xml:space="preserve">allow</t>
  </si>
  <si>
    <t xml:space="preserve">allowed, allow, allowing</t>
  </si>
  <si>
    <t xml:space="preserve">Special depreciation on new textile machinery may be allowed.</t>
  </si>
  <si>
    <t xml:space="preserve">paper</t>
  </si>
  <si>
    <t xml:space="preserve">paper, papers</t>
  </si>
  <si>
    <t xml:space="preserve">Line sides of mold with paper pattern Aj.</t>
  </si>
  <si>
    <t xml:space="preserve">industry</t>
  </si>
  <si>
    <t xml:space="preserve">industry, industries</t>
  </si>
  <si>
    <t xml:space="preserve">The industry has said 1960 was a poor year.</t>
  </si>
  <si>
    <t xml:space="preserve">north</t>
  </si>
  <si>
    <t xml:space="preserve">north, norths</t>
  </si>
  <si>
    <t xml:space="preserve">He was taken to the hospital by the North Providence ambulance.</t>
  </si>
  <si>
    <t xml:space="preserve">limit</t>
  </si>
  <si>
    <t xml:space="preserve">limited, limit, limits</t>
  </si>
  <si>
    <t xml:space="preserve">therefore</t>
  </si>
  <si>
    <t xml:space="preserve">therefore, therefores</t>
  </si>
  <si>
    <t xml:space="preserve">usually</t>
  </si>
  <si>
    <t xml:space="preserve">decide</t>
  </si>
  <si>
    <t xml:space="preserve">decided, decide, decides</t>
  </si>
  <si>
    <t xml:space="preserve">the time to decide on them is now.</t>
  </si>
  <si>
    <t xml:space="preserve">mark</t>
  </si>
  <si>
    <t xml:space="preserve">marked, mark, marks</t>
  </si>
  <si>
    <t xml:space="preserve">To better Ruth's mark, neither needs a spectacular September flourish.</t>
  </si>
  <si>
    <t xml:space="preserve">means</t>
  </si>
  <si>
    <t xml:space="preserve">Mr. Balaguer's troubles are by no means over.</t>
  </si>
  <si>
    <t xml:space="preserve">share</t>
  </si>
  <si>
    <t xml:space="preserve">share, shares, shared</t>
  </si>
  <si>
    <t xml:space="preserve">"We subscribe 500 shares of Morton Foods of Texas.</t>
  </si>
  <si>
    <t xml:space="preserve">space</t>
  </si>
  <si>
    <t xml:space="preserve">space, spaces, spaced</t>
  </si>
  <si>
    <t xml:space="preserve">A lot of thought went into storage space construction.</t>
  </si>
  <si>
    <t xml:space="preserve">father</t>
  </si>
  <si>
    <t xml:space="preserve">father, fathers, fathered</t>
  </si>
  <si>
    <t xml:space="preserve">red</t>
  </si>
  <si>
    <t xml:space="preserve">red, reds, redder</t>
  </si>
  <si>
    <t xml:space="preserve">Ceramic modeling clay : red, white or buff.</t>
  </si>
  <si>
    <t xml:space="preserve">sign</t>
  </si>
  <si>
    <t xml:space="preserve">sign, signs, signed</t>
  </si>
  <si>
    <t xml:space="preserve">The Eagles signed him for Shaw's staff in 1959.</t>
  </si>
  <si>
    <t xml:space="preserve">visit</t>
  </si>
  <si>
    <t xml:space="preserve">visit, visited, visiting</t>
  </si>
  <si>
    <t xml:space="preserve">exist</t>
  </si>
  <si>
    <t xml:space="preserve">existing, exist, exists</t>
  </si>
  <si>
    <t xml:space="preserve">What are the existing recreation features ? ?</t>
  </si>
  <si>
    <t xml:space="preserve">modern</t>
  </si>
  <si>
    <t xml:space="preserve">modern, moderns</t>
  </si>
  <si>
    <t xml:space="preserve">( Made from modern wooden molds Af.</t>
  </si>
  <si>
    <t xml:space="preserve">rule</t>
  </si>
  <si>
    <t xml:space="preserve">rules, rule, ruled</t>
  </si>
  <si>
    <t xml:space="preserve">suggest</t>
  </si>
  <si>
    <t xml:space="preserve">suggested, suggest, suggests</t>
  </si>
  <si>
    <t xml:space="preserve">Mr. Rosenberg suggested that they go out and find one.</t>
  </si>
  <si>
    <t xml:space="preserve">various</t>
  </si>
  <si>
    <t xml:space="preserve">Select class members for reports on various phases of the study.</t>
  </si>
  <si>
    <t xml:space="preserve">describe</t>
  </si>
  <si>
    <t xml:space="preserve">described, describe, describes</t>
  </si>
  <si>
    <t xml:space="preserve">Therefore Irenaeus describes man's creation as follows :</t>
  </si>
  <si>
    <t xml:space="preserve">secretary</t>
  </si>
  <si>
    <t xml:space="preserve">secretary, secretaries</t>
  </si>
  <si>
    <t xml:space="preserve">food</t>
  </si>
  <si>
    <t xml:space="preserve">food, foods</t>
  </si>
  <si>
    <t xml:space="preserve">peace</t>
  </si>
  <si>
    <t xml:space="preserve">Mr. Hammarskjold was in Africa on a mission of peace.</t>
  </si>
  <si>
    <t xml:space="preserve">plant</t>
  </si>
  <si>
    <t xml:space="preserve">plant, plants, planted</t>
  </si>
  <si>
    <t xml:space="preserve">I asked him if he took seeds from his own plants.</t>
  </si>
  <si>
    <t xml:space="preserve">supply</t>
  </si>
  <si>
    <t xml:space="preserve">supply, supplies, supplied</t>
  </si>
  <si>
    <t xml:space="preserve">They will also supply literature on application.</t>
  </si>
  <si>
    <t xml:space="preserve">feed</t>
  </si>
  <si>
    <t xml:space="preserve">feed, fed, feeding</t>
  </si>
  <si>
    <t xml:space="preserve">Feed pressure is also of major importance.</t>
  </si>
  <si>
    <t xml:space="preserve">island</t>
  </si>
  <si>
    <t xml:space="preserve">island, islands</t>
  </si>
  <si>
    <t xml:space="preserve">Fred Mullen from Mercer Island, Wash.;;</t>
  </si>
  <si>
    <t xml:space="preserve">operation</t>
  </si>
  <si>
    <t xml:space="preserve">operation, operations</t>
  </si>
  <si>
    <t xml:space="preserve">care</t>
  </si>
  <si>
    <t xml:space="preserve">care, cared, caring</t>
  </si>
  <si>
    <t xml:space="preserve">Does he care about things that matter to you ? ?</t>
  </si>
  <si>
    <t xml:space="preserve">heart</t>
  </si>
  <si>
    <t xml:space="preserve">heart, hearts</t>
  </si>
  <si>
    <t xml:space="preserve">It was the cry of not just one heart;;</t>
  </si>
  <si>
    <t xml:space="preserve">personal</t>
  </si>
  <si>
    <t xml:space="preserve">El Benefactor's vanity grew with his personal wealth.</t>
  </si>
  <si>
    <t xml:space="preserve">alone</t>
  </si>
  <si>
    <t xml:space="preserve">Physique contests are rarely won on muscle size alone.</t>
  </si>
  <si>
    <t xml:space="preserve">english</t>
  </si>
  <si>
    <t xml:space="preserve">Moscow radio from the Literary Gazette in English to England :</t>
  </si>
  <si>
    <t xml:space="preserve">establish</t>
  </si>
  <si>
    <t xml:space="preserve">established, establish, establishing</t>
  </si>
  <si>
    <t xml:space="preserve">Proprietorships can establish a unity and integrity of control;;</t>
  </si>
  <si>
    <t xml:space="preserve">nature</t>
  </si>
  <si>
    <t xml:space="preserve">nature, natures</t>
  </si>
  <si>
    <t xml:space="preserve">Another question that arose was the nature of the dialogue itself.</t>
  </si>
  <si>
    <t xml:space="preserve">nor</t>
  </si>
  <si>
    <t xml:space="preserve">product</t>
  </si>
  <si>
    <t xml:space="preserve">products, product</t>
  </si>
  <si>
    <t xml:space="preserve">The result has been that exports of Underwood products have doubled.</t>
  </si>
  <si>
    <t xml:space="preserve">raise</t>
  </si>
  <si>
    <t xml:space="preserve">raised, raise, raising</t>
  </si>
  <si>
    <t xml:space="preserve">station</t>
  </si>
  <si>
    <t xml:space="preserve">station, stations, stationed</t>
  </si>
  <si>
    <t xml:space="preserve">But Jackie had gone into the station.</t>
  </si>
  <si>
    <t xml:space="preserve">drop</t>
  </si>
  <si>
    <t xml:space="preserve">dropped, drop, drops</t>
  </si>
  <si>
    <t xml:space="preserve">'' ( Not one drop of blood ! !</t>
  </si>
  <si>
    <t xml:space="preserve">son</t>
  </si>
  <si>
    <t xml:space="preserve">son, sons</t>
  </si>
  <si>
    <t xml:space="preserve">a son, William, Seattle, Wash.;;</t>
  </si>
  <si>
    <t xml:space="preserve">spend</t>
  </si>
  <si>
    <t xml:space="preserve">spent, spend, spending</t>
  </si>
  <si>
    <t xml:space="preserve">third</t>
  </si>
  <si>
    <t xml:space="preserve">third, thirds</t>
  </si>
  <si>
    <t xml:space="preserve">And the third time was the charm.</t>
  </si>
  <si>
    <t xml:space="preserve">wish</t>
  </si>
  <si>
    <t xml:space="preserve">wish, wished, wishes</t>
  </si>
  <si>
    <t xml:space="preserve">I wish you could see the situation as I see it.</t>
  </si>
  <si>
    <t xml:space="preserve">accept</t>
  </si>
  <si>
    <t xml:space="preserve">accepted, accept, accepting</t>
  </si>
  <si>
    <t xml:space="preserve">Neither had a choice other than to accept the invitation.</t>
  </si>
  <si>
    <t xml:space="preserve">bill</t>
  </si>
  <si>
    <t xml:space="preserve">bill, bills, billed</t>
  </si>
  <si>
    <t xml:space="preserve">fear</t>
  </si>
  <si>
    <t xml:space="preserve">fear, fears, feared</t>
  </si>
  <si>
    <t xml:space="preserve">Soviets said to fear resurgence of German militarism</t>
  </si>
  <si>
    <t xml:space="preserve">feeling</t>
  </si>
  <si>
    <t xml:space="preserve">feeling, feelings</t>
  </si>
  <si>
    <t xml:space="preserve">To transmit that feeling he writes".</t>
  </si>
  <si>
    <t xml:space="preserve">finally</t>
  </si>
  <si>
    <t xml:space="preserve">private</t>
  </si>
  <si>
    <t xml:space="preserve">Beebe tells of one private car that has gold plumbing.</t>
  </si>
  <si>
    <t xml:space="preserve">county</t>
  </si>
  <si>
    <t xml:space="preserve">county, counties</t>
  </si>
  <si>
    <t xml:space="preserve">"In 1951 she was a prostitute in New York County.</t>
  </si>
  <si>
    <t xml:space="preserve">press</t>
  </si>
  <si>
    <t xml:space="preserve">press, pressed, pressing</t>
  </si>
  <si>
    <t xml:space="preserve">A copy was released to the press.</t>
  </si>
  <si>
    <t xml:space="preserve">unit</t>
  </si>
  <si>
    <t xml:space="preserve">unit, units</t>
  </si>
  <si>
    <t xml:space="preserve">The idea behind our design is modular units, or panelization.</t>
  </si>
  <si>
    <t xml:space="preserve">attempt</t>
  </si>
  <si>
    <t xml:space="preserve">attempt, attempts, attempted</t>
  </si>
  <si>
    <t xml:space="preserve">The victim was beaten when he attempted to stop the bandit.</t>
  </si>
  <si>
    <t xml:space="preserve">dark</t>
  </si>
  <si>
    <t xml:space="preserve">dark, darkest, darker</t>
  </si>
  <si>
    <t xml:space="preserve">If dark came they would lose her.</t>
  </si>
  <si>
    <t xml:space="preserve">organization</t>
  </si>
  <si>
    <t xml:space="preserve">organization, organizations</t>
  </si>
  <si>
    <t xml:space="preserve">in other words, they were actually an organization of magicians.</t>
  </si>
  <si>
    <t xml:space="preserve">simple</t>
  </si>
  <si>
    <t xml:space="preserve">simple, simpler, simplest</t>
  </si>
  <si>
    <t xml:space="preserve">It's simple enough from my point of view.</t>
  </si>
  <si>
    <t xml:space="preserve">trouble</t>
  </si>
  <si>
    <t xml:space="preserve">trouble, troubled, troubles</t>
  </si>
  <si>
    <t xml:space="preserve">contain</t>
  </si>
  <si>
    <t xml:space="preserve">contained, containing, contain</t>
  </si>
  <si>
    <t xml:space="preserve">"It contains large amounts of protein, vitamins and minerals.</t>
  </si>
  <si>
    <t xml:space="preserve">committee</t>
  </si>
  <si>
    <t xml:space="preserve">committee, committees</t>
  </si>
  <si>
    <t xml:space="preserve">everything</t>
  </si>
  <si>
    <t xml:space="preserve">fine</t>
  </si>
  <si>
    <t xml:space="preserve">fine, finest, fined</t>
  </si>
  <si>
    <t xml:space="preserve">Vladilen Semenov, a fine "danseur noble";;</t>
  </si>
  <si>
    <t xml:space="preserve">horse</t>
  </si>
  <si>
    <t xml:space="preserve">horse, horses</t>
  </si>
  <si>
    <t xml:space="preserve">Berlin is merely being used by Moscow as a stalking horse.</t>
  </si>
  <si>
    <t xml:space="preserve">officer</t>
  </si>
  <si>
    <t xml:space="preserve">officer, officers, officered</t>
  </si>
  <si>
    <t xml:space="preserve">trade</t>
  </si>
  <si>
    <t xml:space="preserve">trade, trading, trades</t>
  </si>
  <si>
    <t xml:space="preserve">basis</t>
  </si>
  <si>
    <t xml:space="preserve">Another put sex on a dollars-and-cents basis.</t>
  </si>
  <si>
    <t xml:space="preserve">cent</t>
  </si>
  <si>
    <t xml:space="preserve">cent, cents, center</t>
  </si>
  <si>
    <t xml:space="preserve">particular</t>
  </si>
  <si>
    <t xml:space="preserve">particular, particulars</t>
  </si>
  <si>
    <t xml:space="preserve">American audiences in particular learned two valuable lessons.</t>
  </si>
  <si>
    <t xml:space="preserve">single</t>
  </si>
  <si>
    <t xml:space="preserve">single, singled, singles</t>
  </si>
  <si>
    <t xml:space="preserve">A tsunami is not a single wave but a series.</t>
  </si>
  <si>
    <t xml:space="preserve">standard</t>
  </si>
  <si>
    <t xml:space="preserve">standard, standards</t>
  </si>
  <si>
    <t xml:space="preserve">Theirs is a sacrificial life by earthly standards.</t>
  </si>
  <si>
    <t xml:space="preserve">east</t>
  </si>
  <si>
    <t xml:space="preserve">fill</t>
  </si>
  <si>
    <t xml:space="preserve">filled, fill, filling</t>
  </si>
  <si>
    <t xml:space="preserve">Fill small hole in bowl with clay.</t>
  </si>
  <si>
    <t xml:space="preserve">building</t>
  </si>
  <si>
    <t xml:space="preserve">building, buildings</t>
  </si>
  <si>
    <t xml:space="preserve">Philadelphia with its historic buildings and nearby Valley Forge;;</t>
  </si>
  <si>
    <t xml:space="preserve">cold</t>
  </si>
  <si>
    <t xml:space="preserve">cold, colder, coldest</t>
  </si>
  <si>
    <t xml:space="preserve">That cold frame was my morale builder;;</t>
  </si>
  <si>
    <t xml:space="preserve">easy</t>
  </si>
  <si>
    <t xml:space="preserve">easy, easier, easiest</t>
  </si>
  <si>
    <t xml:space="preserve">"It has to be easier with two of them.</t>
  </si>
  <si>
    <t xml:space="preserve">events, event</t>
  </si>
  <si>
    <t xml:space="preserve">The event will be open to the public the following day.</t>
  </si>
  <si>
    <t xml:space="preserve">river</t>
  </si>
  <si>
    <t xml:space="preserve">river, rivers</t>
  </si>
  <si>
    <t xml:space="preserve">Widen the East River Drive at least one lane.</t>
  </si>
  <si>
    <t xml:space="preserve">source</t>
  </si>
  <si>
    <t xml:space="preserve">source, sources</t>
  </si>
  <si>
    <t xml:space="preserve">There was no confirmation of such massive assaults from independent sources.</t>
  </si>
  <si>
    <t xml:space="preserve">detail</t>
  </si>
  <si>
    <t xml:space="preserve">detail, details, detailed</t>
  </si>
  <si>
    <t xml:space="preserve">Should she disagree, she explains why in detail.</t>
  </si>
  <si>
    <t xml:space="preserve">except</t>
  </si>
  <si>
    <t xml:space="preserve">Hood refused to notice anything except captured guns and colors.</t>
  </si>
  <si>
    <t xml:space="preserve">leader</t>
  </si>
  <si>
    <t xml:space="preserve">leaders, leader</t>
  </si>
  <si>
    <t xml:space="preserve">Student leaders began sporadic efforts to negotiate theater integration several months ago.</t>
  </si>
  <si>
    <t xml:space="preserve">project</t>
  </si>
  <si>
    <t xml:space="preserve">project, projects, projected</t>
  </si>
  <si>
    <t xml:space="preserve">sort</t>
  </si>
  <si>
    <t xml:space="preserve">sort, sorts, sorted</t>
  </si>
  <si>
    <t xml:space="preserve">The storyline, in sort, is wildly unrealistic.</t>
  </si>
  <si>
    <t xml:space="preserve">attention</t>
  </si>
  <si>
    <t xml:space="preserve">attention, attentions</t>
  </si>
  <si>
    <t xml:space="preserve">Patients deserve more attention than they are getting.</t>
  </si>
  <si>
    <t xml:space="preserve">principle</t>
  </si>
  <si>
    <t xml:space="preserve">principle, principles</t>
  </si>
  <si>
    <t xml:space="preserve">These principles we have now set forth.</t>
  </si>
  <si>
    <t xml:space="preserve">aid</t>
  </si>
  <si>
    <t xml:space="preserve">aid, aids, aided</t>
  </si>
  <si>
    <t xml:space="preserve">Mr. Parrillo was given first aid at Johnston Hose 1.</t>
  </si>
  <si>
    <t xml:space="preserve">defense</t>
  </si>
  <si>
    <t xml:space="preserve">defense, defenses</t>
  </si>
  <si>
    <t xml:space="preserve">recent</t>
  </si>
  <si>
    <t xml:space="preserve">Threat of closing the cannery is a recent one.</t>
  </si>
  <si>
    <t xml:space="preserve">reduce</t>
  </si>
  <si>
    <t xml:space="preserve">reduced, reduce, reducing</t>
  </si>
  <si>
    <t xml:space="preserve">But they expect to reduce his over-all offensive production.</t>
  </si>
  <si>
    <t xml:space="preserve">volume</t>
  </si>
  <si>
    <t xml:space="preserve">volume, volumes</t>
  </si>
  <si>
    <t xml:space="preserve">Volume dipped to 3.28 million shares from 3.98 million Monday.</t>
  </si>
  <si>
    <t xml:space="preserve">game</t>
  </si>
  <si>
    <t xml:space="preserve">game, games, gaming</t>
  </si>
  <si>
    <t xml:space="preserve">inside</t>
  </si>
  <si>
    <t xml:space="preserve">inside, insides</t>
  </si>
  <si>
    <t xml:space="preserve">Pattern for inner lid piece E fits inside Aj.</t>
  </si>
  <si>
    <t xml:space="preserve">price</t>
  </si>
  <si>
    <t xml:space="preserve">price, prices, pricing</t>
  </si>
  <si>
    <t xml:space="preserve">seek</t>
  </si>
  <si>
    <t xml:space="preserve">seek, sought, seeking</t>
  </si>
  <si>
    <t xml:space="preserve">brown</t>
  </si>
  <si>
    <t xml:space="preserve">brown, browning</t>
  </si>
  <si>
    <t xml:space="preserve">choose</t>
  </si>
  <si>
    <t xml:space="preserve">chosen, choose, chose</t>
  </si>
  <si>
    <t xml:space="preserve">create</t>
  </si>
  <si>
    <t xml:space="preserve">created, create, creating</t>
  </si>
  <si>
    <t xml:space="preserve">( American League expansion created, inevitably, weaker teams.</t>
  </si>
  <si>
    <t xml:space="preserve">explain</t>
  </si>
  <si>
    <t xml:space="preserve">explained, explain, explains</t>
  </si>
  <si>
    <t xml:space="preserve">factor</t>
  </si>
  <si>
    <t xml:space="preserve">factors, factor</t>
  </si>
  <si>
    <t xml:space="preserve">By personal factors I mean those rooted in personality structure.</t>
  </si>
  <si>
    <t xml:space="preserve">operate</t>
  </si>
  <si>
    <t xml:space="preserve">operating, operate, operated</t>
  </si>
  <si>
    <t xml:space="preserve">Cars were operated in 1959 for an average $.027 per mile.</t>
  </si>
  <si>
    <t xml:space="preserve">sale</t>
  </si>
  <si>
    <t xml:space="preserve">sales, sale</t>
  </si>
  <si>
    <t xml:space="preserve">Totaling 3,399, sales jumped 14 per cent over February's 2,963.</t>
  </si>
  <si>
    <t xml:space="preserve">else</t>
  </si>
  <si>
    <t xml:space="preserve">For many readers Thurber comes closer than anyone else in sight.</t>
  </si>
  <si>
    <t xml:space="preserve">smile</t>
  </si>
  <si>
    <t xml:space="preserve">smiled, smile, smiling</t>
  </si>
  <si>
    <t xml:space="preserve">And then Castro himself did come, bearded, smiling;;</t>
  </si>
  <si>
    <t xml:space="preserve">wear</t>
  </si>
  <si>
    <t xml:space="preserve">wore, wearing, wear</t>
  </si>
  <si>
    <t xml:space="preserve">Guests will wear costumes typical of the Chisholm Trail Days.</t>
  </si>
  <si>
    <t xml:space="preserve">beyond</t>
  </si>
  <si>
    <t xml:space="preserve">Willie's lifetime batting average of is 11 points beyond Mickey's.</t>
  </si>
  <si>
    <t xml:space="preserve">movement</t>
  </si>
  <si>
    <t xml:space="preserve">movement, movements</t>
  </si>
  <si>
    <t xml:space="preserve">Several of the movements were given a marked impetus by revivalism.</t>
  </si>
  <si>
    <t xml:space="preserve">dead</t>
  </si>
  <si>
    <t xml:space="preserve">The next time the police saw her she was dead.</t>
  </si>
  <si>
    <t xml:space="preserve">park</t>
  </si>
  <si>
    <t xml:space="preserve">park, parked, parking</t>
  </si>
  <si>
    <t xml:space="preserve">data</t>
  </si>
  <si>
    <t xml:space="preserve">Selected bibliographies and tables of available data are now in preparation.</t>
  </si>
  <si>
    <t xml:space="preserve">decision</t>
  </si>
  <si>
    <t xml:space="preserve">decision, decisions</t>
  </si>
  <si>
    <t xml:space="preserve">district</t>
  </si>
  <si>
    <t xml:space="preserve">district, districts</t>
  </si>
  <si>
    <t xml:space="preserve">instead</t>
  </si>
  <si>
    <t xml:space="preserve">Instead the cartoons seem to deal with foibles.</t>
  </si>
  <si>
    <t xml:space="preserve">research</t>
  </si>
  <si>
    <t xml:space="preserve">research, researching, researches</t>
  </si>
  <si>
    <t xml:space="preserve">trial</t>
  </si>
  <si>
    <t xml:space="preserve">trial, trials</t>
  </si>
  <si>
    <t xml:space="preserve">With the end of the trial Diane disappeared from New York.</t>
  </si>
  <si>
    <t xml:space="preserve">opportunity</t>
  </si>
  <si>
    <t xml:space="preserve">opportunity, opportunities</t>
  </si>
  <si>
    <t xml:space="preserve">This gives greater opportunity for the learning process.</t>
  </si>
  <si>
    <t xml:space="preserve">window</t>
  </si>
  <si>
    <t xml:space="preserve">window, windows</t>
  </si>
  <si>
    <t xml:space="preserve">the officer with the yellow socks or the bay window.</t>
  </si>
  <si>
    <t xml:space="preserve">basic</t>
  </si>
  <si>
    <t xml:space="preserve">Most park planners look to water frontage for basic park areas.</t>
  </si>
  <si>
    <t xml:space="preserve">club</t>
  </si>
  <si>
    <t xml:space="preserve">club, clubs, clubbed</t>
  </si>
  <si>
    <t xml:space="preserve">simply</t>
  </si>
  <si>
    <t xml:space="preserve">It simply isn't, not by a long shot.</t>
  </si>
  <si>
    <t xml:space="preserve">spring</t>
  </si>
  <si>
    <t xml:space="preserve">spring, springs, sprang</t>
  </si>
  <si>
    <t xml:space="preserve">firm</t>
  </si>
  <si>
    <t xml:space="preserve">firm, firms, firmer</t>
  </si>
  <si>
    <t xml:space="preserve">John received a promotion in his firm.</t>
  </si>
  <si>
    <t xml:space="preserve">floor</t>
  </si>
  <si>
    <t xml:space="preserve">floor, floors</t>
  </si>
  <si>
    <t xml:space="preserve">Her husband was lying on the kitchen floor, police said.</t>
  </si>
  <si>
    <t xml:space="preserve">permit</t>
  </si>
  <si>
    <t xml:space="preserve">permit, permitted, permits</t>
  </si>
  <si>
    <t xml:space="preserve">This permits the juices to permeate the meat during cooking.</t>
  </si>
  <si>
    <t xml:space="preserve">function</t>
  </si>
  <si>
    <t xml:space="preserve">function, functions, functioning</t>
  </si>
  <si>
    <t xml:space="preserve">The Controller retains his essential "fiscal watchdog" functions;;</t>
  </si>
  <si>
    <t xml:space="preserve">lot</t>
  </si>
  <si>
    <t xml:space="preserve">lot, lots</t>
  </si>
  <si>
    <t xml:space="preserve">But we have lots of other New Orleans specialties.</t>
  </si>
  <si>
    <t xml:space="preserve">practice</t>
  </si>
  <si>
    <t xml:space="preserve">practice, practices, practicing</t>
  </si>
  <si>
    <t xml:space="preserve">account</t>
  </si>
  <si>
    <t xml:space="preserve">account, accounts, accounting</t>
  </si>
  <si>
    <t xml:space="preserve">Cliff Cook accounted for three of the Tribe's eight hits.</t>
  </si>
  <si>
    <t xml:space="preserve">equipment</t>
  </si>
  <si>
    <t xml:space="preserve">In 1930, they began making cotton processing equipment.</t>
  </si>
  <si>
    <t xml:space="preserve">lack</t>
  </si>
  <si>
    <t xml:space="preserve">lack, lacking, lacked</t>
  </si>
  <si>
    <t xml:space="preserve">Certainly in the matter of principals there is nothing lacking.</t>
  </si>
  <si>
    <t xml:space="preserve">actually</t>
  </si>
  <si>
    <t xml:space="preserve">drink</t>
  </si>
  <si>
    <t xml:space="preserve">drink, drinking, drinks</t>
  </si>
  <si>
    <t xml:space="preserve">Drinking with meals is also discouraged;;</t>
  </si>
  <si>
    <t xml:space="preserve">final</t>
  </si>
  <si>
    <t xml:space="preserve">final, finals</t>
  </si>
  <si>
    <t xml:space="preserve">But the final scenes could not be played.</t>
  </si>
  <si>
    <t xml:space="preserve">including</t>
  </si>
  <si>
    <t xml:space="preserve">Both loved the out-of-doors, including mountain climbing and horseback riding.</t>
  </si>
  <si>
    <t xml:space="preserve">obtain</t>
  </si>
  <si>
    <t xml:space="preserve">obtained, obtain, obtaining</t>
  </si>
  <si>
    <t xml:space="preserve">the rest is obtained from harbor scallops.</t>
  </si>
  <si>
    <t xml:space="preserve">pattern</t>
  </si>
  <si>
    <t xml:space="preserve">pattern, patterns, patterned</t>
  </si>
  <si>
    <t xml:space="preserve">That same pattern of earnings shows up on the Massachusetts Turnpike.</t>
  </si>
  <si>
    <t xml:space="preserve">reaction</t>
  </si>
  <si>
    <t xml:space="preserve">reaction, reactions</t>
  </si>
  <si>
    <t xml:space="preserve">science</t>
  </si>
  <si>
    <t xml:space="preserve">science, sciences</t>
  </si>
  <si>
    <t xml:space="preserve">stock</t>
  </si>
  <si>
    <t xml:space="preserve">stock, stocks, stocking</t>
  </si>
  <si>
    <t xml:space="preserve">Cut five pieces of Af brass bar stock 3-3/4''" long.</t>
  </si>
  <si>
    <t xml:space="preserve">blue</t>
  </si>
  <si>
    <t xml:space="preserve">blue, blues</t>
  </si>
  <si>
    <t xml:space="preserve">Blue ribbon for one dozen white eggs was taken by Nyberg.</t>
  </si>
  <si>
    <t xml:space="preserve">central</t>
  </si>
  <si>
    <t xml:space="preserve">But these are side issues to a powerful central theme.</t>
  </si>
  <si>
    <t xml:space="preserve">relations, relation</t>
  </si>
  <si>
    <t xml:space="preserve">religious</t>
  </si>
  <si>
    <t xml:space="preserve">ten</t>
  </si>
  <si>
    <t xml:space="preserve">ten, tens</t>
  </si>
  <si>
    <t xml:space="preserve">It has not been extirpated by ten years of Communist depersonalization.</t>
  </si>
  <si>
    <t xml:space="preserve">direction</t>
  </si>
  <si>
    <t xml:space="preserve">direction, directions</t>
  </si>
  <si>
    <t xml:space="preserve">Press clay into mold as instructed in General Directions.</t>
  </si>
  <si>
    <t xml:space="preserve">influence</t>
  </si>
  <si>
    <t xml:space="preserve">influence, influenced, influences</t>
  </si>
  <si>
    <t xml:space="preserve">Success may mean merely the displacement of Western influence.</t>
  </si>
  <si>
    <t xml:space="preserve">prepare</t>
  </si>
  <si>
    <t xml:space="preserve">prepared, prepare, preparing</t>
  </si>
  <si>
    <t xml:space="preserve">Incorporated in commercially prepared feed at proper levels.</t>
  </si>
  <si>
    <t xml:space="preserve">represent</t>
  </si>
  <si>
    <t xml:space="preserve">represented, represents, represent</t>
  </si>
  <si>
    <t xml:space="preserve">suppose</t>
  </si>
  <si>
    <t xml:space="preserve">suppose, supposed, supposes</t>
  </si>
  <si>
    <t xml:space="preserve">I suppose it is because we are just not big enough.</t>
  </si>
  <si>
    <t xml:space="preserve">association</t>
  </si>
  <si>
    <t xml:space="preserve">association, associations</t>
  </si>
  <si>
    <t xml:space="preserve">Both have been active in the association.</t>
  </si>
  <si>
    <t xml:space="preserve">especially</t>
  </si>
  <si>
    <t xml:space="preserve">indeed</t>
  </si>
  <si>
    <t xml:space="preserve">You will realize why Rome is indeed the Eternal City.</t>
  </si>
  <si>
    <t xml:space="preserve">medical</t>
  </si>
  <si>
    <t xml:space="preserve">He has no experience with this veteran's previous medical record.</t>
  </si>
  <si>
    <t xml:space="preserve">recognize</t>
  </si>
  <si>
    <t xml:space="preserve">recognized, recognize, recognizes</t>
  </si>
  <si>
    <t xml:space="preserve">A clearly recognized exception is a statutory merger or consolidation.</t>
  </si>
  <si>
    <t xml:space="preserve">win</t>
  </si>
  <si>
    <t xml:space="preserve">won, win, winning</t>
  </si>
  <si>
    <t xml:space="preserve">That's how he first won the Masters in 1958.</t>
  </si>
  <si>
    <t xml:space="preserve">administration</t>
  </si>
  <si>
    <t xml:space="preserve">attack</t>
  </si>
  <si>
    <t xml:space="preserve">attack, attacked, attacks</t>
  </si>
  <si>
    <t xml:space="preserve">He attacked one of the officers and was restrained.</t>
  </si>
  <si>
    <t xml:space="preserve">average</t>
  </si>
  <si>
    <t xml:space="preserve">average, averaged, averages</t>
  </si>
  <si>
    <t xml:space="preserve">buy</t>
  </si>
  <si>
    <t xml:space="preserve">buy, bought, buying</t>
  </si>
  <si>
    <t xml:space="preserve">I bought a new little foreign bomb.</t>
  </si>
  <si>
    <t xml:space="preserve">christian</t>
  </si>
  <si>
    <t xml:space="preserve">christian, christians</t>
  </si>
  <si>
    <t xml:space="preserve">Can any Christian fail to respond to these words ? ?</t>
  </si>
  <si>
    <t xml:space="preserve">difficult</t>
  </si>
  <si>
    <t xml:space="preserve">It was ruled a difficult chance and a hit.</t>
  </si>
  <si>
    <t xml:space="preserve">gun</t>
  </si>
  <si>
    <t xml:space="preserve">gun, guns, gunning</t>
  </si>
  <si>
    <t xml:space="preserve">Vesole rushed from gun to gun, attempting to direct fire.</t>
  </si>
  <si>
    <t xml:space="preserve">respect</t>
  </si>
  <si>
    <t xml:space="preserve">respect, respects, respected</t>
  </si>
  <si>
    <t xml:space="preserve">square</t>
  </si>
  <si>
    <t xml:space="preserve">square, squares, squared</t>
  </si>
  <si>
    <t xml:space="preserve">shape</t>
  </si>
  <si>
    <t xml:space="preserve">Washington Square seems not part of a free land.</t>
  </si>
  <si>
    <t xml:space="preserve">temperature</t>
  </si>
  <si>
    <t xml:space="preserve">temperature, temperatures</t>
  </si>
  <si>
    <t xml:space="preserve">Check the temperature gage and be sure it is working.</t>
  </si>
  <si>
    <t xml:space="preserve">assume</t>
  </si>
  <si>
    <t xml:space="preserve">assumed, assume, assuming</t>
  </si>
  <si>
    <t xml:space="preserve">His rage assumes a religious form;;</t>
  </si>
  <si>
    <t xml:space="preserve">hair</t>
  </si>
  <si>
    <t xml:space="preserve">hair, hairs</t>
  </si>
  <si>
    <t xml:space="preserve">tree</t>
  </si>
  <si>
    <t xml:space="preserve">trees, tree</t>
  </si>
  <si>
    <t xml:space="preserve">you see a picture -- trees, or flowers.</t>
  </si>
  <si>
    <t xml:space="preserve">deep</t>
  </si>
  <si>
    <t xml:space="preserve">deep, deeper, deepest</t>
  </si>
  <si>
    <t xml:space="preserve">Place side by side in a 2-inch deep baking pan.</t>
  </si>
  <si>
    <t xml:space="preserve">element</t>
  </si>
  <si>
    <t xml:space="preserve">elements, element</t>
  </si>
  <si>
    <t xml:space="preserve">that was a nightmarish situation and Low was in his element.</t>
  </si>
  <si>
    <t xml:space="preserve">quality, qualities</t>
  </si>
  <si>
    <t xml:space="preserve">Finding sources for these high quality foods is a problem.</t>
  </si>
  <si>
    <t xml:space="preserve">technique</t>
  </si>
  <si>
    <t xml:space="preserve">techniques, technique</t>
  </si>
  <si>
    <t xml:space="preserve">Both techniques give the music purity and clarity.</t>
  </si>
  <si>
    <t xml:space="preserve">chance</t>
  </si>
  <si>
    <t xml:space="preserve">chance, chances, chanced</t>
  </si>
  <si>
    <t xml:space="preserve">desire</t>
  </si>
  <si>
    <t xml:space="preserve">desire, desired, desires</t>
  </si>
  <si>
    <t xml:space="preserve">They earnestly desire to do the will of God.</t>
  </si>
  <si>
    <t xml:space="preserve">foreign</t>
  </si>
  <si>
    <t xml:space="preserve">fund</t>
  </si>
  <si>
    <t xml:space="preserve">funds, fund, funding</t>
  </si>
  <si>
    <t xml:space="preserve">The Carleton Service Fund provides the financial support for this program.</t>
  </si>
  <si>
    <t xml:space="preserve">occur</t>
  </si>
  <si>
    <t xml:space="preserve">occurred, occur, occurs</t>
  </si>
  <si>
    <t xml:space="preserve">The latter is likely to occur when the thyroid is removed.</t>
  </si>
  <si>
    <t xml:space="preserve">police</t>
  </si>
  <si>
    <t xml:space="preserve">police, policing, policed</t>
  </si>
  <si>
    <t xml:space="preserve">pull</t>
  </si>
  <si>
    <t xml:space="preserve">pulled, pull, pulling</t>
  </si>
  <si>
    <t xml:space="preserve">At the moment, many of these are being pulled down.</t>
  </si>
  <si>
    <t xml:space="preserve">touch</t>
  </si>
  <si>
    <t xml:space="preserve">touch, touched, touching</t>
  </si>
  <si>
    <t xml:space="preserve">Contrast trim provides other touches of color.</t>
  </si>
  <si>
    <t xml:space="preserve">kill</t>
  </si>
  <si>
    <t xml:space="preserve">killed, kill, killing</t>
  </si>
  <si>
    <t xml:space="preserve">Mrs. Hengesbach was killed on Aug. 31, 1958.</t>
  </si>
  <si>
    <t xml:space="preserve">machine</t>
  </si>
  <si>
    <t xml:space="preserve">machine, machines</t>
  </si>
  <si>
    <t xml:space="preserve">similar</t>
  </si>
  <si>
    <t xml:space="preserve">thought</t>
  </si>
  <si>
    <t xml:space="preserve">thought, thoughts</t>
  </si>
  <si>
    <t xml:space="preserve">couple</t>
  </si>
  <si>
    <t xml:space="preserve">couple, coupled, couples</t>
  </si>
  <si>
    <t xml:space="preserve">date</t>
  </si>
  <si>
    <t xml:space="preserve">date, dates, dated</t>
  </si>
  <si>
    <t xml:space="preserve">same date, Johnny LaSalle trio to the Jolly Roger.</t>
  </si>
  <si>
    <t xml:space="preserve">growth</t>
  </si>
  <si>
    <t xml:space="preserve">growth, growths</t>
  </si>
  <si>
    <t xml:space="preserve">The 1960 census underscored the explosive character of the population growth.</t>
  </si>
  <si>
    <t xml:space="preserve">hall</t>
  </si>
  <si>
    <t xml:space="preserve">hall, halls</t>
  </si>
  <si>
    <t xml:space="preserve">Wellman Braud, bass, and Minor Hall, drums.</t>
  </si>
  <si>
    <t xml:space="preserve">image</t>
  </si>
  <si>
    <t xml:space="preserve">image, images</t>
  </si>
  <si>
    <t xml:space="preserve">During one reading an image appeared of a prisoner in irons.</t>
  </si>
  <si>
    <t xml:space="preserve">labor</t>
  </si>
  <si>
    <t xml:space="preserve">labor, labored, labors</t>
  </si>
  <si>
    <t xml:space="preserve">"Three, labor troubles are infrequent.</t>
  </si>
  <si>
    <t xml:space="preserve">natural</t>
  </si>
  <si>
    <t xml:space="preserve">Public sentiment for conserving our rich natural heritage is growing.</t>
  </si>
  <si>
    <t xml:space="preserve">prove</t>
  </si>
  <si>
    <t xml:space="preserve">proved, prove, proves</t>
  </si>
  <si>
    <t xml:space="preserve">The combination proved quite irresistible last night.</t>
  </si>
  <si>
    <t xml:space="preserve">attitude</t>
  </si>
  <si>
    <t xml:space="preserve">attitude, attitudes</t>
  </si>
  <si>
    <t xml:space="preserve">But even mother's loving attitude will not always prevent misbehavior.</t>
  </si>
  <si>
    <t xml:space="preserve">international</t>
  </si>
  <si>
    <t xml:space="preserve">The pilot radioed El Paso International Airport with just that message.</t>
  </si>
  <si>
    <t xml:space="preserve">performance</t>
  </si>
  <si>
    <t xml:space="preserve">performance, performances</t>
  </si>
  <si>
    <t xml:space="preserve">production</t>
  </si>
  <si>
    <t xml:space="preserve">production, productions</t>
  </si>
  <si>
    <t xml:space="preserve">regard</t>
  </si>
  <si>
    <t xml:space="preserve">regard, regarded, regards</t>
  </si>
  <si>
    <t xml:space="preserve">Diocesan authorities generally have not regarded this as their direct responsibility.</t>
  </si>
  <si>
    <t xml:space="preserve">character</t>
  </si>
  <si>
    <t xml:space="preserve">character, characters</t>
  </si>
  <si>
    <t xml:space="preserve">Konstantin Shatilov, a great character dancer;;</t>
  </si>
  <si>
    <t xml:space="preserve">size</t>
  </si>
  <si>
    <t xml:space="preserve">size, sizes, sized</t>
  </si>
  <si>
    <t xml:space="preserve">It was only about the size of a baseball;;</t>
  </si>
  <si>
    <t xml:space="preserve">stress</t>
  </si>
  <si>
    <t xml:space="preserve">stress, stressed, stresses</t>
  </si>
  <si>
    <t xml:space="preserve">But have we not gone overboard in stressing their significance ? ?</t>
  </si>
  <si>
    <t xml:space="preserve">congress</t>
  </si>
  <si>
    <t xml:space="preserve">congress, congresses</t>
  </si>
  <si>
    <t xml:space="preserve">dance</t>
  </si>
  <si>
    <t xml:space="preserve">dance, dancing, dances</t>
  </si>
  <si>
    <t xml:space="preserve">the belly dance leaves more to the imagination.</t>
  </si>
  <si>
    <t xml:space="preserve">farm</t>
  </si>
  <si>
    <t xml:space="preserve">farm, farms, farming</t>
  </si>
  <si>
    <t xml:space="preserve">Under another law, hundreds of farms were seized.</t>
  </si>
  <si>
    <t xml:space="preserve">hit</t>
  </si>
  <si>
    <t xml:space="preserve">hit, hits, hitting</t>
  </si>
  <si>
    <t xml:space="preserve">march</t>
  </si>
  <si>
    <t xml:space="preserve">march, marching, marched</t>
  </si>
  <si>
    <t xml:space="preserve">San Francisco, March 17 ( AP )</t>
  </si>
  <si>
    <t xml:space="preserve">meeting</t>
  </si>
  <si>
    <t xml:space="preserve">meeting, meetings</t>
  </si>
  <si>
    <t xml:space="preserve">The first committee meeting will be held on May 19.</t>
  </si>
  <si>
    <t xml:space="preserve">realize</t>
  </si>
  <si>
    <t xml:space="preserve">realize, realized, realizing</t>
  </si>
  <si>
    <t xml:space="preserve">You realize you are getting in the old fogy class.</t>
  </si>
  <si>
    <t xml:space="preserve">suddenly</t>
  </si>
  <si>
    <t xml:space="preserve">teach</t>
  </si>
  <si>
    <t xml:space="preserve">teaching, taught, teach</t>
  </si>
  <si>
    <t xml:space="preserve">No, coloring isn't exactly something you teach a child.</t>
  </si>
  <si>
    <t xml:space="preserve">throw</t>
  </si>
  <si>
    <t xml:space="preserve">threw, throw, thrown</t>
  </si>
  <si>
    <t xml:space="preserve">he is simply thrown out of the shop by the porter.</t>
  </si>
  <si>
    <t xml:space="preserve">wonder</t>
  </si>
  <si>
    <t xml:space="preserve">wonder, wondered, wondering</t>
  </si>
  <si>
    <t xml:space="preserve">Richardson wondered when it would be unloaded.</t>
  </si>
  <si>
    <t xml:space="preserve">maintain</t>
  </si>
  <si>
    <t xml:space="preserve">maintain, maintained, maintaining</t>
  </si>
  <si>
    <t xml:space="preserve">addition</t>
  </si>
  <si>
    <t xml:space="preserve">addition, additions</t>
  </si>
  <si>
    <t xml:space="preserve">Yet during the same period there were 1,080,062 additions.</t>
  </si>
  <si>
    <t xml:space="preserve">likely</t>
  </si>
  <si>
    <t xml:space="preserve">summer</t>
  </si>
  <si>
    <t xml:space="preserve">summer, summers</t>
  </si>
  <si>
    <t xml:space="preserve">Designed for summer comfort are the shoes illustrated.</t>
  </si>
  <si>
    <t xml:space="preserve">agree</t>
  </si>
  <si>
    <t xml:space="preserve">agreed, agree, agrees</t>
  </si>
  <si>
    <t xml:space="preserve">She said the jurors agreed that Pohl's confession was valid.</t>
  </si>
  <si>
    <t xml:space="preserve">catch</t>
  </si>
  <si>
    <t xml:space="preserve">caught, catch, catching</t>
  </si>
  <si>
    <t xml:space="preserve">Caught at last, he was sentenced to prison.</t>
  </si>
  <si>
    <t xml:space="preserve">earth</t>
  </si>
  <si>
    <t xml:space="preserve">Wooded stream valleys in the folds of earth would be saved.</t>
  </si>
  <si>
    <t xml:space="preserve">express</t>
  </si>
  <si>
    <t xml:space="preserve">expressed, express, expressing</t>
  </si>
  <si>
    <t xml:space="preserve">Never have I seen this expressed so clearly and so sympathetically.</t>
  </si>
  <si>
    <t xml:space="preserve">pick</t>
  </si>
  <si>
    <t xml:space="preserve">picked, pick, picking</t>
  </si>
  <si>
    <t xml:space="preserve">Majestic Pick comes next, with a mile in 2:30-:33.2.</t>
  </si>
  <si>
    <t xml:space="preserve">entire</t>
  </si>
  <si>
    <t xml:space="preserve">We congratulate the entire membership on its record of good legislation.</t>
  </si>
  <si>
    <t xml:space="preserve">language</t>
  </si>
  <si>
    <t xml:space="preserve">language, languages</t>
  </si>
  <si>
    <t xml:space="preserve">And you think you have language problems.</t>
  </si>
  <si>
    <t xml:space="preserve">moral</t>
  </si>
  <si>
    <t xml:space="preserve">moral, morals</t>
  </si>
  <si>
    <t xml:space="preserve">As A moral shocker it is a dud.</t>
  </si>
  <si>
    <t xml:space="preserve">race</t>
  </si>
  <si>
    <t xml:space="preserve">race, races, racing</t>
  </si>
  <si>
    <t xml:space="preserve">I'm useless for anything but racing cars.</t>
  </si>
  <si>
    <t xml:space="preserve">store</t>
  </si>
  <si>
    <t xml:space="preserve">store, stored, stores</t>
  </si>
  <si>
    <t xml:space="preserve">Here was stored $1,000,000 worth of bonded whisky.</t>
  </si>
  <si>
    <t xml:space="preserve">teacher</t>
  </si>
  <si>
    <t xml:space="preserve">teacher, teachers</t>
  </si>
  <si>
    <t xml:space="preserve">theory</t>
  </si>
  <si>
    <t xml:space="preserve">theory, theories</t>
  </si>
  <si>
    <t xml:space="preserve">Professor Bondi disagrees with the expansion-contraction theory.</t>
  </si>
  <si>
    <t xml:space="preserve">degree</t>
  </si>
  <si>
    <t xml:space="preserve">degree, degrees</t>
  </si>
  <si>
    <t xml:space="preserve">evening</t>
  </si>
  <si>
    <t xml:space="preserve">evening, evenings</t>
  </si>
  <si>
    <t xml:space="preserve">army</t>
  </si>
  <si>
    <t xml:space="preserve">army, armies</t>
  </si>
  <si>
    <t xml:space="preserve">The estimates vary widely on the strength of the Chinese army.</t>
  </si>
  <si>
    <t xml:space="preserve">ride</t>
  </si>
  <si>
    <t xml:space="preserve">ride, riding, rode</t>
  </si>
  <si>
    <t xml:space="preserve">They could walk, ride on a bus or be driven.</t>
  </si>
  <si>
    <t xml:space="preserve">ship</t>
  </si>
  <si>
    <t xml:space="preserve">ship, ships, shipping</t>
  </si>
  <si>
    <t xml:space="preserve">Helps control shipping dysentery and coccidiosis in lambs.</t>
  </si>
  <si>
    <t xml:space="preserve">cell</t>
  </si>
  <si>
    <t xml:space="preserve">cells, cell</t>
  </si>
  <si>
    <t xml:space="preserve">In several instances group O cells were also used as controls.</t>
  </si>
  <si>
    <t xml:space="preserve">file</t>
  </si>
  <si>
    <t xml:space="preserve">file, filed, filing</t>
  </si>
  <si>
    <t xml:space="preserve">Du Pont's counterproposal was filed on May 14, 1958.</t>
  </si>
  <si>
    <t xml:space="preserve">gain</t>
  </si>
  <si>
    <t xml:space="preserve">gain, gained, gains</t>
  </si>
  <si>
    <t xml:space="preserve">Gains of 2-3/4 were posted for Teleprompter and Republic Foil.</t>
  </si>
  <si>
    <t xml:space="preserve">hotel</t>
  </si>
  <si>
    <t xml:space="preserve">hotel, hotels</t>
  </si>
  <si>
    <t xml:space="preserve">particularly</t>
  </si>
  <si>
    <t xml:space="preserve">He was particularly struck by a course on Communist brainwashing.</t>
  </si>
  <si>
    <t xml:space="preserve">remove</t>
  </si>
  <si>
    <t xml:space="preserve">removed, remove, removing</t>
  </si>
  <si>
    <t xml:space="preserve">whom</t>
  </si>
  <si>
    <t xml:space="preserve">To whom will the generals stay loyal ? ?</t>
  </si>
  <si>
    <t xml:space="preserve">writer</t>
  </si>
  <si>
    <t xml:space="preserve">writer, writers</t>
  </si>
  <si>
    <t xml:space="preserve">Perhaps you would like to become a writer.</t>
  </si>
  <si>
    <t xml:space="preserve">below</t>
  </si>
  <si>
    <t xml:space="preserve">Below is a specific guide, keyed to the calendar.</t>
  </si>
  <si>
    <t xml:space="preserve">dog</t>
  </si>
  <si>
    <t xml:space="preserve">dog, dogs</t>
  </si>
  <si>
    <t xml:space="preserve">One even gave my little dog a biscuit.</t>
  </si>
  <si>
    <t xml:space="preserve">husband</t>
  </si>
  <si>
    <t xml:space="preserve">husband, husbands</t>
  </si>
  <si>
    <t xml:space="preserve">knowledge</t>
  </si>
  <si>
    <t xml:space="preserve">This knowledge has come in handy, too.</t>
  </si>
  <si>
    <t xml:space="preserve">strike</t>
  </si>
  <si>
    <t xml:space="preserve">struck, strike, strikes</t>
  </si>
  <si>
    <t xml:space="preserve">vote</t>
  </si>
  <si>
    <t xml:space="preserve">vote, voted, voting</t>
  </si>
  <si>
    <t xml:space="preserve">wide</t>
  </si>
  <si>
    <t xml:space="preserve">wide, wider, widest</t>
  </si>
  <si>
    <t xml:space="preserve">All bottom battens are two inches wide.</t>
  </si>
  <si>
    <t xml:space="preserve">object, objects, objected</t>
  </si>
  <si>
    <t xml:space="preserve">Georgia's Dick Russell objected politely, and the battle was joined.</t>
  </si>
  <si>
    <t xml:space="preserve">population</t>
  </si>
  <si>
    <t xml:space="preserve">population, populations</t>
  </si>
  <si>
    <t xml:space="preserve">ready</t>
  </si>
  <si>
    <t xml:space="preserve">ready, readying</t>
  </si>
  <si>
    <t xml:space="preserve">thousand</t>
  </si>
  <si>
    <t xml:space="preserve">thousand, thousands</t>
  </si>
  <si>
    <t xml:space="preserve">What do you want -- a hundred thousand subscribers ? ?</t>
  </si>
  <si>
    <t xml:space="preserve">certainly</t>
  </si>
  <si>
    <t xml:space="preserve">dollar</t>
  </si>
  <si>
    <t xml:space="preserve">dollars, dollar</t>
  </si>
  <si>
    <t xml:space="preserve">industrial</t>
  </si>
  <si>
    <t xml:space="preserve">The Dow Jones industrial average advanced 7.19 to 687.87.</t>
  </si>
  <si>
    <t xml:space="preserve">mention</t>
  </si>
  <si>
    <t xml:space="preserve">mentioned, mention, mentions</t>
  </si>
  <si>
    <t xml:space="preserve">"One thing I notice which I have seldom heard mentioned.</t>
  </si>
  <si>
    <t xml:space="preserve">responsibility</t>
  </si>
  <si>
    <t xml:space="preserve">responsibility, responsibilities</t>
  </si>
  <si>
    <t xml:space="preserve">doubt</t>
  </si>
  <si>
    <t xml:space="preserve">doubt, doubts, doubted</t>
  </si>
  <si>
    <t xml:space="preserve">I doubt if it is possible to overfeed them.</t>
  </si>
  <si>
    <t xml:space="preserve">due</t>
  </si>
  <si>
    <t xml:space="preserve">petitioner was not denied due process;;</t>
  </si>
  <si>
    <t xml:space="preserve">experiment</t>
  </si>
  <si>
    <t xml:space="preserve">experiments, experiment, experimenting</t>
  </si>
  <si>
    <t xml:space="preserve">experiment with defects for decoration techniques of glazes and colors ).</t>
  </si>
  <si>
    <t xml:space="preserve">fail</t>
  </si>
  <si>
    <t xml:space="preserve">failed, fail, failing</t>
  </si>
  <si>
    <t xml:space="preserve">left</t>
  </si>
  <si>
    <t xml:space="preserve">directly</t>
  </si>
  <si>
    <t xml:space="preserve">Avoid attic placement directly above a bedroom.</t>
  </si>
  <si>
    <t xml:space="preserve">hot</t>
  </si>
  <si>
    <t xml:space="preserve">hot, hotter, hottest</t>
  </si>
  <si>
    <t xml:space="preserve">An ordinary hot bath or shower will do the same.</t>
  </si>
  <si>
    <t xml:space="preserve">nearly</t>
  </si>
  <si>
    <t xml:space="preserve">plane</t>
  </si>
  <si>
    <t xml:space="preserve">plane, planes, planed</t>
  </si>
  <si>
    <t xml:space="preserve">The plane put down on schedule at 1:35 a.m. in Phoenix.</t>
  </si>
  <si>
    <t xml:space="preserve">progress</t>
  </si>
  <si>
    <t xml:space="preserve">progress, progressed, progresses</t>
  </si>
  <si>
    <t xml:space="preserve">The progress reported by the advisory committee is real.</t>
  </si>
  <si>
    <t xml:space="preserve">soviet</t>
  </si>
  <si>
    <t xml:space="preserve">soviet, soviets</t>
  </si>
  <si>
    <t xml:space="preserve">strength</t>
  </si>
  <si>
    <t xml:space="preserve">strength, strengths</t>
  </si>
  <si>
    <t xml:space="preserve">throughout</t>
  </si>
  <si>
    <t xml:space="preserve">Trading was comparatively dull throughout the day.</t>
  </si>
  <si>
    <t xml:space="preserve">anyone</t>
  </si>
  <si>
    <t xml:space="preserve">He kids his Tarzan roles more than anyone.</t>
  </si>
  <si>
    <t xml:space="preserve">bed</t>
  </si>
  <si>
    <t xml:space="preserve">bed, beds, bedded</t>
  </si>
  <si>
    <t xml:space="preserve">Mantle and Cerv use the twin beds in the bedroom;;</t>
  </si>
  <si>
    <t xml:space="preserve">boat</t>
  </si>
  <si>
    <t xml:space="preserve">boat, boats, boating</t>
  </si>
  <si>
    <t xml:space="preserve">About 40,000,000 people participated in boating in 1960.</t>
  </si>
  <si>
    <t xml:space="preserve">check</t>
  </si>
  <si>
    <t xml:space="preserve">check, checked, checks</t>
  </si>
  <si>
    <t xml:space="preserve">Check the oil and water, sir ? ?</t>
  </si>
  <si>
    <t xml:space="preserve">opinion</t>
  </si>
  <si>
    <t xml:space="preserve">opinion, opinions</t>
  </si>
  <si>
    <t xml:space="preserve">The courts shared the opinion of the employers.</t>
  </si>
  <si>
    <t xml:space="preserve">procedure</t>
  </si>
  <si>
    <t xml:space="preserve">procedure, procedures</t>
  </si>
  <si>
    <t xml:space="preserve">The revised procedure was acclaimed as a long-overdue reform.</t>
  </si>
  <si>
    <t xml:space="preserve">french</t>
  </si>
  <si>
    <t xml:space="preserve">Everybody had heard of Van Gogh, the French impressionist.</t>
  </si>
  <si>
    <t xml:space="preserve">institution</t>
  </si>
  <si>
    <t xml:space="preserve">institutions, institution</t>
  </si>
  <si>
    <t xml:space="preserve">A completely amorphous institution would be a contradiction in terms;;</t>
  </si>
  <si>
    <t xml:space="preserve">length</t>
  </si>
  <si>
    <t xml:space="preserve">length, lengths</t>
  </si>
  <si>
    <t xml:space="preserve">manner</t>
  </si>
  <si>
    <t xml:space="preserve">manner, manners</t>
  </si>
  <si>
    <t xml:space="preserve">The bottom planking is applied in the same manner.</t>
  </si>
  <si>
    <t xml:space="preserve">join</t>
  </si>
  <si>
    <t xml:space="preserve">join, joined, joining</t>
  </si>
  <si>
    <t xml:space="preserve">physical</t>
  </si>
  <si>
    <t xml:space="preserve">Physical contact is uncomfortable for him" ! !</t>
  </si>
  <si>
    <t xml:space="preserve">role</t>
  </si>
  <si>
    <t xml:space="preserve">role, roles</t>
  </si>
  <si>
    <t xml:space="preserve">shape, shapes, shaped</t>
  </si>
  <si>
    <t xml:space="preserve">See the drawings for the shape of the notch.</t>
  </si>
  <si>
    <t xml:space="preserve">treatment</t>
  </si>
  <si>
    <t xml:space="preserve">treatment, treatments</t>
  </si>
  <si>
    <t xml:space="preserve">The intensive treatment program is working well.</t>
  </si>
  <si>
    <t xml:space="preserve">meaning</t>
  </si>
  <si>
    <t xml:space="preserve">meaning, meanings</t>
  </si>
  <si>
    <t xml:space="preserve">Boatel has a similar meaning to yachtel.</t>
  </si>
  <si>
    <t xml:space="preserve">normal</t>
  </si>
  <si>
    <t xml:space="preserve">normal, normals</t>
  </si>
  <si>
    <t xml:space="preserve">official</t>
  </si>
  <si>
    <t xml:space="preserve">official, officials</t>
  </si>
  <si>
    <t xml:space="preserve">"No", said the official.</t>
  </si>
  <si>
    <t xml:space="preserve">relate</t>
  </si>
  <si>
    <t xml:space="preserve">related, relating, relates</t>
  </si>
  <si>
    <t xml:space="preserve">Differences were related to social, economic, and educational backgrounds.</t>
  </si>
  <si>
    <t xml:space="preserve">religion</t>
  </si>
  <si>
    <t xml:space="preserve">religion, religions</t>
  </si>
  <si>
    <t xml:space="preserve">East Meadow has philosophy, psychology, and religion;;</t>
  </si>
  <si>
    <t xml:space="preserve">southern</t>
  </si>
  <si>
    <t xml:space="preserve">structure</t>
  </si>
  <si>
    <t xml:space="preserve">structure, structures, structured</t>
  </si>
  <si>
    <t xml:space="preserve">The structures housing the apartments are of masonry and frame construction.</t>
  </si>
  <si>
    <t xml:space="preserve">western</t>
  </si>
  <si>
    <t xml:space="preserve">communist</t>
  </si>
  <si>
    <t xml:space="preserve">communist, communists</t>
  </si>
  <si>
    <t xml:space="preserve">He promptly went to communist East Germany.</t>
  </si>
  <si>
    <t xml:space="preserve">finish</t>
  </si>
  <si>
    <t xml:space="preserve">finished, finish, finishing</t>
  </si>
  <si>
    <t xml:space="preserve">The fabrics have Scotchgard finish to resist soil and wrinkles.</t>
  </si>
  <si>
    <t xml:space="preserve">wrong</t>
  </si>
  <si>
    <t xml:space="preserve">wrong, wrongs, wronged</t>
  </si>
  <si>
    <t xml:space="preserve">I repeat, two wrongs do not make a right.</t>
  </si>
  <si>
    <t xml:space="preserve">corner</t>
  </si>
  <si>
    <t xml:space="preserve">corner, corners, cornering</t>
  </si>
  <si>
    <t xml:space="preserve">Louise Franklin cornering the gift shop market in Lauderdale.</t>
  </si>
  <si>
    <t xml:space="preserve">merely</t>
  </si>
  <si>
    <t xml:space="preserve">scene</t>
  </si>
  <si>
    <t xml:space="preserve">scene, scenes</t>
  </si>
  <si>
    <t xml:space="preserve">Remove the child from the scene of his misbehavior.</t>
  </si>
  <si>
    <t xml:space="preserve">doctor</t>
  </si>
  <si>
    <t xml:space="preserve">doctor, doctors, doctored</t>
  </si>
  <si>
    <t xml:space="preserve">literature</t>
  </si>
  <si>
    <t xml:space="preserve">literature, literatures</t>
  </si>
  <si>
    <t xml:space="preserve">neither</t>
  </si>
  <si>
    <t xml:space="preserve">promise</t>
  </si>
  <si>
    <t xml:space="preserve">promised, promise, promising</t>
  </si>
  <si>
    <t xml:space="preserve">achieve</t>
  </si>
  <si>
    <t xml:space="preserve">achieved, achieve, achieving</t>
  </si>
  <si>
    <t xml:space="preserve">Command has achieved the ideal amount of reverberation.</t>
  </si>
  <si>
    <t xml:space="preserve">bar</t>
  </si>
  <si>
    <t xml:space="preserve">bar, bars, barred</t>
  </si>
  <si>
    <t xml:space="preserve">The National Association of Broadcasters code specifically bars hard-liquor commercials.</t>
  </si>
  <si>
    <t xml:space="preserve">maybe</t>
  </si>
  <si>
    <t xml:space="preserve">Maybe we are talking about them too much.</t>
  </si>
  <si>
    <t xml:space="preserve">advance</t>
  </si>
  <si>
    <t xml:space="preserve">advance, advanced, advances</t>
  </si>
  <si>
    <t xml:space="preserve">authority</t>
  </si>
  <si>
    <t xml:space="preserve">authority, authorities</t>
  </si>
  <si>
    <t xml:space="preserve">estimate</t>
  </si>
  <si>
    <t xml:space="preserve">estimated, estimate, estimates</t>
  </si>
  <si>
    <t xml:space="preserve">film</t>
  </si>
  <si>
    <t xml:space="preserve">film, films, filmed</t>
  </si>
  <si>
    <t xml:space="preserve">The Great Train Robbery is a one-reel film.</t>
  </si>
  <si>
    <t xml:space="preserve">generally</t>
  </si>
  <si>
    <t xml:space="preserve">loss</t>
  </si>
  <si>
    <t xml:space="preserve">loss, losses</t>
  </si>
  <si>
    <t xml:space="preserve">Where sewing is concerned, I'm a total loss.</t>
  </si>
  <si>
    <t xml:space="preserve">separate</t>
  </si>
  <si>
    <t xml:space="preserve">separate, separated, separating</t>
  </si>
  <si>
    <t xml:space="preserve">Who shall separate us from the love of Christ ? ?</t>
  </si>
  <si>
    <t xml:space="preserve">audience</t>
  </si>
  <si>
    <t xml:space="preserve">audience, audiences</t>
  </si>
  <si>
    <t xml:space="preserve">Incidentally, only two did it before a home audience.</t>
  </si>
  <si>
    <t xml:space="preserve">former</t>
  </si>
  <si>
    <t xml:space="preserve">Mrs. Chase is the former Miss Mary Mullenax.</t>
  </si>
  <si>
    <t xml:space="preserve">freedom</t>
  </si>
  <si>
    <t xml:space="preserve">freedom, freedoms</t>
  </si>
  <si>
    <t xml:space="preserve">poet</t>
  </si>
  <si>
    <t xml:space="preserve">poet, poets</t>
  </si>
  <si>
    <t xml:space="preserve">Poets, moreover, dwell on human passions.</t>
  </si>
  <si>
    <t xml:space="preserve">sleep</t>
  </si>
  <si>
    <t xml:space="preserve">sleep, sleeping, slept</t>
  </si>
  <si>
    <t xml:space="preserve">Maris sleeps on a green studio couch in the living room.</t>
  </si>
  <si>
    <t xml:space="preserve">dress</t>
  </si>
  <si>
    <t xml:space="preserve">dress, dressed, dressing</t>
  </si>
  <si>
    <t xml:space="preserve">grant</t>
  </si>
  <si>
    <t xml:space="preserve">granted, grant, grants</t>
  </si>
  <si>
    <t xml:space="preserve">heat</t>
  </si>
  <si>
    <t xml:space="preserve">heat, heating, heated</t>
  </si>
  <si>
    <t xml:space="preserve">hospital</t>
  </si>
  <si>
    <t xml:space="preserve">hospital, hospitals</t>
  </si>
  <si>
    <t xml:space="preserve">objective</t>
  </si>
  <si>
    <t xml:space="preserve">objective, objectives</t>
  </si>
  <si>
    <t xml:space="preserve">Have you set specific objectives for your employee publication ? ?</t>
  </si>
  <si>
    <t xml:space="preserve">poem</t>
  </si>
  <si>
    <t xml:space="preserve">poems, poem</t>
  </si>
  <si>
    <t xml:space="preserve">The singer simply matches the poem to a mode;;</t>
  </si>
  <si>
    <t xml:space="preserve">prevent</t>
  </si>
  <si>
    <t xml:space="preserve">prevent, prevented, prevents</t>
  </si>
  <si>
    <t xml:space="preserve">series</t>
  </si>
  <si>
    <t xml:space="preserve">There are more obvious nymphomaniacs on any private-eye series.</t>
  </si>
  <si>
    <t xml:space="preserve">truth</t>
  </si>
  <si>
    <t xml:space="preserve">truth, truths</t>
  </si>
  <si>
    <t xml:space="preserve">ball</t>
  </si>
  <si>
    <t xml:space="preserve">ball, balls, balling</t>
  </si>
  <si>
    <t xml:space="preserve">effective</t>
  </si>
  <si>
    <t xml:space="preserve">feature</t>
  </si>
  <si>
    <t xml:space="preserve">features, feature, featured</t>
  </si>
  <si>
    <t xml:space="preserve">hang</t>
  </si>
  <si>
    <t xml:space="preserve">hung, hanging, hang</t>
  </si>
  <si>
    <t xml:space="preserve">Then we hung overboard in the water.</t>
  </si>
  <si>
    <t xml:space="preserve">marry</t>
  </si>
  <si>
    <t xml:space="preserve">married, marry, marries</t>
  </si>
  <si>
    <t xml:space="preserve">myself</t>
  </si>
  <si>
    <t xml:space="preserve">It was time to go up myself".</t>
  </si>
  <si>
    <t xml:space="preserve">pool</t>
  </si>
  <si>
    <t xml:space="preserve">pool, pools, pooling</t>
  </si>
  <si>
    <t xml:space="preserve">But problems cling to pools, as any pool owner knows.</t>
  </si>
  <si>
    <t xml:space="preserve">possibility</t>
  </si>
  <si>
    <t xml:space="preserve">possibility, possibilities</t>
  </si>
  <si>
    <t xml:space="preserve">radio</t>
  </si>
  <si>
    <t xml:space="preserve">radio, radios, radioed</t>
  </si>
  <si>
    <t xml:space="preserve">sell</t>
  </si>
  <si>
    <t xml:space="preserve">sold, sell, selling</t>
  </si>
  <si>
    <t xml:space="preserve">We sold only four pickers all last year".</t>
  </si>
  <si>
    <t xml:space="preserve">song</t>
  </si>
  <si>
    <t xml:space="preserve">song, songs</t>
  </si>
  <si>
    <t xml:space="preserve">And time after time she really belted out her songs.</t>
  </si>
  <si>
    <t xml:space="preserve">vary</t>
  </si>
  <si>
    <t xml:space="preserve">varying, varied, vary</t>
  </si>
  <si>
    <t xml:space="preserve">according</t>
  </si>
  <si>
    <t xml:space="preserve">The west is leaderless, according to this book.</t>
  </si>
  <si>
    <t xml:space="preserve">burn</t>
  </si>
  <si>
    <t xml:space="preserve">burning, burned, burns</t>
  </si>
  <si>
    <t xml:space="preserve">How many times must we get burned before we learn ? ?</t>
  </si>
  <si>
    <t xml:space="preserve">clearly</t>
  </si>
  <si>
    <t xml:space="preserve">Long-term trend of traffic on these roads seems clearly upward.</t>
  </si>
  <si>
    <t xml:space="preserve">election</t>
  </si>
  <si>
    <t xml:space="preserve">election, elections</t>
  </si>
  <si>
    <t xml:space="preserve">This is the key fact emerging from Sunday's national election.</t>
  </si>
  <si>
    <t xml:space="preserve">enjoy</t>
  </si>
  <si>
    <t xml:space="preserve">enjoyed, enjoy, enjoying</t>
  </si>
  <si>
    <t xml:space="preserve">The collector enjoys the contact with rural life;;</t>
  </si>
  <si>
    <t xml:space="preserve">glass</t>
  </si>
  <si>
    <t xml:space="preserve">glass, glasses</t>
  </si>
  <si>
    <t xml:space="preserve">When rapid quenching follows melting, impact glasses may result.</t>
  </si>
  <si>
    <t xml:space="preserve">model</t>
  </si>
  <si>
    <t xml:space="preserve">model, models, modeled</t>
  </si>
  <si>
    <t xml:space="preserve">His interpretation was a model of refinement and accuracy.</t>
  </si>
  <si>
    <t xml:space="preserve">save</t>
  </si>
  <si>
    <t xml:space="preserve">save, saved, saving</t>
  </si>
  <si>
    <t xml:space="preserve">beautiful</t>
  </si>
  <si>
    <t xml:space="preserve">"Billie was really beautiful" ! !</t>
  </si>
  <si>
    <t xml:space="preserve">choice</t>
  </si>
  <si>
    <t xml:space="preserve">choice, choices, choicest</t>
  </si>
  <si>
    <t xml:space="preserve">The world awaits Mr. Khrushchev's choice of alternatives.</t>
  </si>
  <si>
    <t xml:space="preserve">conduct</t>
  </si>
  <si>
    <t xml:space="preserve">conducted, conduct, conducting</t>
  </si>
  <si>
    <t xml:space="preserve">Conduct examinations, using a true-false check sheet.</t>
  </si>
  <si>
    <t xml:space="preserve">distance</t>
  </si>
  <si>
    <t xml:space="preserve">distance, distances</t>
  </si>
  <si>
    <t xml:space="preserve">a middle distance often containing the major motif;;</t>
  </si>
  <si>
    <t xml:space="preserve">extend</t>
  </si>
  <si>
    <t xml:space="preserve">extended, extend, extending</t>
  </si>
  <si>
    <t xml:space="preserve">heavy</t>
  </si>
  <si>
    <t xml:space="preserve">heavy, heavier, heaviest</t>
  </si>
  <si>
    <t xml:space="preserve">and heavy engineering at $9,841,000, down 45 per cent.</t>
  </si>
  <si>
    <t xml:space="preserve">item</t>
  </si>
  <si>
    <t xml:space="preserve">items, item</t>
  </si>
  <si>
    <t xml:space="preserve">season</t>
  </si>
  <si>
    <t xml:space="preserve">season, seasons, seasoned</t>
  </si>
  <si>
    <t xml:space="preserve">An injury forced Skorich to quit after the 1948 season.</t>
  </si>
  <si>
    <t xml:space="preserve">somewhat</t>
  </si>
  <si>
    <t xml:space="preserve">A memory lapse in the last somewhat marred the pianist's performance.</t>
  </si>
  <si>
    <t xml:space="preserve">surprise</t>
  </si>
  <si>
    <t xml:space="preserve">surprised, surprise, surprising</t>
  </si>
  <si>
    <t xml:space="preserve">address</t>
  </si>
  <si>
    <t xml:space="preserve">address, addresses, addressed</t>
  </si>
  <si>
    <t xml:space="preserve">But fathers often addressed communications to their small children;;</t>
  </si>
  <si>
    <t xml:space="preserve">animal, animals</t>
  </si>
  <si>
    <t xml:space="preserve">) They train the mink and other animals to fight.</t>
  </si>
  <si>
    <t xml:space="preserve">bank</t>
  </si>
  <si>
    <t xml:space="preserve">bank, banks, banked</t>
  </si>
  <si>
    <t xml:space="preserve">Meltzer was a boarder with the Banks family.</t>
  </si>
  <si>
    <t xml:space="preserve">discussion</t>
  </si>
  <si>
    <t xml:space="preserve">discussion, discussions</t>
  </si>
  <si>
    <t xml:space="preserve">Are you utilizing cafeteria space for company meetings or discussions ? ?</t>
  </si>
  <si>
    <t xml:space="preserve">edge</t>
  </si>
  <si>
    <t xml:space="preserve">edge, edges, edged</t>
  </si>
  <si>
    <t xml:space="preserve">Place on rectangle of foil and pinch edges together tightly.</t>
  </si>
  <si>
    <t xml:space="preserve">inch</t>
  </si>
  <si>
    <t xml:space="preserve">inches, inch, inched</t>
  </si>
  <si>
    <t xml:space="preserve">relationship</t>
  </si>
  <si>
    <t xml:space="preserve">relationship, relationships</t>
  </si>
  <si>
    <t xml:space="preserve">Instead one partner or the other dominates the sexual relationship.</t>
  </si>
  <si>
    <t xml:space="preserve">treat</t>
  </si>
  <si>
    <t xml:space="preserve">treated, treat, treats</t>
  </si>
  <si>
    <t xml:space="preserve">apparently</t>
  </si>
  <si>
    <t xml:space="preserve">chief</t>
  </si>
  <si>
    <t xml:space="preserve">chief, chiefs</t>
  </si>
  <si>
    <t xml:space="preserve">cool</t>
  </si>
  <si>
    <t xml:space="preserve">cool, cooling, cooled</t>
  </si>
  <si>
    <t xml:space="preserve">This keeps it cool and moist and protects it from birds.</t>
  </si>
  <si>
    <t xml:space="preserve">dream</t>
  </si>
  <si>
    <t xml:space="preserve">dream, dreams, dreamed</t>
  </si>
  <si>
    <t xml:space="preserve">The American dream was compounded of many strains.</t>
  </si>
  <si>
    <t xml:space="preserve">dry</t>
  </si>
  <si>
    <t xml:space="preserve">dry, dried, drying</t>
  </si>
  <si>
    <t xml:space="preserve">When dry they were fired to cone 06-05.</t>
  </si>
  <si>
    <t xml:space="preserve">green</t>
  </si>
  <si>
    <t xml:space="preserve">green, greens, greenest</t>
  </si>
  <si>
    <t xml:space="preserve">herself</t>
  </si>
  <si>
    <t xml:space="preserve">key</t>
  </si>
  <si>
    <t xml:space="preserve">key, keys, keyed</t>
  </si>
  <si>
    <t xml:space="preserve">leg</t>
  </si>
  <si>
    <t xml:space="preserve">legs, leg</t>
  </si>
  <si>
    <t xml:space="preserve">legs to produce motion and rate of speed.</t>
  </si>
  <si>
    <t xml:space="preserve">staff</t>
  </si>
  <si>
    <t xml:space="preserve">staff, staffs, staffed</t>
  </si>
  <si>
    <t xml:space="preserve">wave</t>
  </si>
  <si>
    <t xml:space="preserve">waves, wave, waved</t>
  </si>
  <si>
    <t xml:space="preserve">We've been out in five-foot waves and stayed dry.</t>
  </si>
  <si>
    <t xml:space="preserve">bridge</t>
  </si>
  <si>
    <t xml:space="preserve">bridge, bridges</t>
  </si>
  <si>
    <t xml:space="preserve">blood</t>
  </si>
  <si>
    <t xml:space="preserve">blood, bloods, blooded</t>
  </si>
  <si>
    <t xml:space="preserve">discover</t>
  </si>
  <si>
    <t xml:space="preserve">discovered, discover, discovering</t>
  </si>
  <si>
    <t xml:space="preserve">We had merely been discovered by the pool sharks.</t>
  </si>
  <si>
    <t xml:space="preserve">immediately</t>
  </si>
  <si>
    <t xml:space="preserve">Preparation for Church membership begins immediately after the commitment is received.</t>
  </si>
  <si>
    <t xml:space="preserve">notice</t>
  </si>
  <si>
    <t xml:space="preserve">notice, noticed, notices</t>
  </si>
  <si>
    <t xml:space="preserve">recently</t>
  </si>
  <si>
    <t xml:space="preserve">Recently I visited the very remarkable Pilgrim School for retarded children.</t>
  </si>
  <si>
    <t xml:space="preserve">sing</t>
  </si>
  <si>
    <t xml:space="preserve">sing, singing, sang</t>
  </si>
  <si>
    <t xml:space="preserve">Richard Tucker sang Edgardo in glorious voice.</t>
  </si>
  <si>
    <t xml:space="preserve">tooth</t>
  </si>
  <si>
    <t xml:space="preserve">teeth, tooth</t>
  </si>
  <si>
    <t xml:space="preserve">daily</t>
  </si>
  <si>
    <t xml:space="preserve">and the daily duties of individuals were basically religious in nature.</t>
  </si>
  <si>
    <t xml:space="preserve">difficulty</t>
  </si>
  <si>
    <t xml:space="preserve">difficulty, difficulties</t>
  </si>
  <si>
    <t xml:space="preserve">division</t>
  </si>
  <si>
    <t xml:space="preserve">division, divisions</t>
  </si>
  <si>
    <t xml:space="preserve">eat</t>
  </si>
  <si>
    <t xml:space="preserve">eat, eating, ate</t>
  </si>
  <si>
    <t xml:space="preserve">hill</t>
  </si>
  <si>
    <t xml:space="preserve">hill, hills</t>
  </si>
  <si>
    <t xml:space="preserve">Then Mel Chandler started up the hill.</t>
  </si>
  <si>
    <t xml:space="preserve">listen</t>
  </si>
  <si>
    <t xml:space="preserve">listen, listening, listened</t>
  </si>
  <si>
    <t xml:space="preserve">Wisman, below, would listen in and act.</t>
  </si>
  <si>
    <t xml:space="preserve">marriage</t>
  </si>
  <si>
    <t xml:space="preserve">marriage, marriages</t>
  </si>
  <si>
    <t xml:space="preserve">Harvey B. Stevens of Kenilworth will give his niece in marriage.</t>
  </si>
  <si>
    <t xml:space="preserve">mass</t>
  </si>
  <si>
    <t xml:space="preserve">mass, masses, massed</t>
  </si>
  <si>
    <t xml:space="preserve">For each mass flow rate the arc voltage was measured.</t>
  </si>
  <si>
    <t xml:space="preserve">oh</t>
  </si>
  <si>
    <t xml:space="preserve">Oh, you'll wobble and weave quite a bit at first.</t>
  </si>
  <si>
    <t xml:space="preserve">patient</t>
  </si>
  <si>
    <t xml:space="preserve">patient, patients</t>
  </si>
  <si>
    <t xml:space="preserve">agreement</t>
  </si>
  <si>
    <t xml:space="preserve">agreement, agreements</t>
  </si>
  <si>
    <t xml:space="preserve">This agreement is considered very good for such short time intervals.</t>
  </si>
  <si>
    <t xml:space="preserve">analysis</t>
  </si>
  <si>
    <t xml:space="preserve">analysis, analyses</t>
  </si>
  <si>
    <t xml:space="preserve">Everything in the final analysis reduced itself to sexual symbolism.</t>
  </si>
  <si>
    <t xml:space="preserve">conference</t>
  </si>
  <si>
    <t xml:space="preserve">conference, conferences</t>
  </si>
  <si>
    <t xml:space="preserve">The poll was taken at the Center's annual builders' intentions conference.</t>
  </si>
  <si>
    <t xml:space="preserve">improve</t>
  </si>
  <si>
    <t xml:space="preserve">improved, improve, improving</t>
  </si>
  <si>
    <t xml:space="preserve">Increases rate of gain and improves feed efficiency.</t>
  </si>
  <si>
    <t xml:space="preserve">judge</t>
  </si>
  <si>
    <t xml:space="preserve">judge, judges, judged</t>
  </si>
  <si>
    <t xml:space="preserve">The judge replaced the juror with an alternate.</t>
  </si>
  <si>
    <t xml:space="preserve">style</t>
  </si>
  <si>
    <t xml:space="preserve">style, styles, styled</t>
  </si>
  <si>
    <t xml:space="preserve">His bel canto style gave the performance a special distinction.</t>
  </si>
  <si>
    <t xml:space="preserve">additional</t>
  </si>
  <si>
    <t xml:space="preserve">When winter comes be ready with additional mulch.</t>
  </si>
  <si>
    <t xml:space="preserve">characteristic</t>
  </si>
  <si>
    <t xml:space="preserve">characteristic, characteristics</t>
  </si>
  <si>
    <t xml:space="preserve">One characteristic of the spirit in community is its givenness.</t>
  </si>
  <si>
    <t xml:space="preserve">director</t>
  </si>
  <si>
    <t xml:space="preserve">director, directors</t>
  </si>
  <si>
    <t xml:space="preserve">fiscal</t>
  </si>
  <si>
    <t xml:space="preserve">fit</t>
  </si>
  <si>
    <t xml:space="preserve">fit, fitted, fits</t>
  </si>
  <si>
    <t xml:space="preserve">she fits into the general scheme well enough.</t>
  </si>
  <si>
    <t xml:space="preserve">main</t>
  </si>
  <si>
    <t xml:space="preserve">main, mains</t>
  </si>
  <si>
    <t xml:space="preserve">Out of cholesterol come Keys's main messages so far :</t>
  </si>
  <si>
    <t xml:space="preserve">observe</t>
  </si>
  <si>
    <t xml:space="preserve">observed, observe, observing</t>
  </si>
  <si>
    <t xml:space="preserve">Hank thanked them and promised to observe the rules.</t>
  </si>
  <si>
    <t xml:space="preserve">technical</t>
  </si>
  <si>
    <t xml:space="preserve">Thus technical efficiency is achieved at the expense of actual experience.</t>
  </si>
  <si>
    <t xml:space="preserve">afternoon</t>
  </si>
  <si>
    <t xml:space="preserve">afternoon, afternoons</t>
  </si>
  <si>
    <t xml:space="preserve">attend</t>
  </si>
  <si>
    <t xml:space="preserve">attend, attended, attending</t>
  </si>
  <si>
    <t xml:space="preserve">Over 60 Juniors, parents and guests attended.</t>
  </si>
  <si>
    <t xml:space="preserve">forward</t>
  </si>
  <si>
    <t xml:space="preserve">forward, forwarded, forwarding</t>
  </si>
  <si>
    <t xml:space="preserve">Despite countless barriers and disappointments, Shea moved forward.</t>
  </si>
  <si>
    <t xml:space="preserve">frame</t>
  </si>
  <si>
    <t xml:space="preserve">frame, frames, framed</t>
  </si>
  <si>
    <t xml:space="preserve">further</t>
  </si>
  <si>
    <t xml:space="preserve">further, furthered, furthering</t>
  </si>
  <si>
    <t xml:space="preserve">A further 260 Anglican churches have been demolished since 1948".</t>
  </si>
  <si>
    <t xml:space="preserve">middle</t>
  </si>
  <si>
    <t xml:space="preserve">middle, middles</t>
  </si>
  <si>
    <t xml:space="preserve">paint</t>
  </si>
  <si>
    <t xml:space="preserve">painted, paint, painting</t>
  </si>
  <si>
    <t xml:space="preserve">poor</t>
  </si>
  <si>
    <t xml:space="preserve">poor, poorest, poorer</t>
  </si>
  <si>
    <t xml:space="preserve">agency</t>
  </si>
  <si>
    <t xml:space="preserve">agencies, agency</t>
  </si>
  <si>
    <t xml:space="preserve">The Government housing agencies consider it feasible with one special stipulation.</t>
  </si>
  <si>
    <t xml:space="preserve">block</t>
  </si>
  <si>
    <t xml:space="preserve">block, blocks, blocked</t>
  </si>
  <si>
    <t xml:space="preserve">The outside 4-inch space is filled by mortaring blocks on edge.</t>
  </si>
  <si>
    <t xml:space="preserve">british</t>
  </si>
  <si>
    <t xml:space="preserve">Productivity of U.S. miners is twice that of the British.</t>
  </si>
  <si>
    <t xml:space="preserve">post</t>
  </si>
  <si>
    <t xml:space="preserve">post, posts, posted</t>
  </si>
  <si>
    <t xml:space="preserve">remark</t>
  </si>
  <si>
    <t xml:space="preserve">remarks, remarked, remark</t>
  </si>
  <si>
    <t xml:space="preserve">Someone has remarked that this is certainly the ultimate in reducing.</t>
  </si>
  <si>
    <t xml:space="preserve">affair</t>
  </si>
  <si>
    <t xml:space="preserve">affairs, affair</t>
  </si>
  <si>
    <t xml:space="preserve">It was a sort of Gotterdammerung affair.</t>
  </si>
  <si>
    <t xml:space="preserve">catholic</t>
  </si>
  <si>
    <t xml:space="preserve">catholic, catholics</t>
  </si>
  <si>
    <t xml:space="preserve">English Catholics reacted to this event with moderate but real hope.</t>
  </si>
  <si>
    <t xml:space="preserve">forget</t>
  </si>
  <si>
    <t xml:space="preserve">forget, forgotten, forgot</t>
  </si>
  <si>
    <t xml:space="preserve">Perhaps he has only forgotten a great deal.</t>
  </si>
  <si>
    <t xml:space="preserve">justice</t>
  </si>
  <si>
    <t xml:space="preserve">justice, justices</t>
  </si>
  <si>
    <t xml:space="preserve">There was a divine justice in one wrong thus undoing another.</t>
  </si>
  <si>
    <t xml:space="preserve">select</t>
  </si>
  <si>
    <t xml:space="preserve">selected, select, selecting</t>
  </si>
  <si>
    <t xml:space="preserve">announce</t>
  </si>
  <si>
    <t xml:space="preserve">announced, announce, announcing</t>
  </si>
  <si>
    <t xml:space="preserve">"I'm a slob", he announced.</t>
  </si>
  <si>
    <t xml:space="preserve">citizen</t>
  </si>
  <si>
    <t xml:space="preserve">citizens, citizen</t>
  </si>
  <si>
    <t xml:space="preserve">With this no loyal citizen can quarrel.</t>
  </si>
  <si>
    <t xml:space="preserve">commission</t>
  </si>
  <si>
    <t xml:space="preserve">commission, commissions, commissioned</t>
  </si>
  <si>
    <t xml:space="preserve">but the Commission does not share such sentiments.</t>
  </si>
  <si>
    <t xml:space="preserve">region</t>
  </si>
  <si>
    <t xml:space="preserve">region, regions</t>
  </si>
  <si>
    <t xml:space="preserve">The road maps of the region have changed since 1905;;</t>
  </si>
  <si>
    <t xml:space="preserve">serious</t>
  </si>
  <si>
    <t xml:space="preserve">Could Senator Humphrey be serious in his proposal ? ?</t>
  </si>
  <si>
    <t xml:space="preserve">shoulder</t>
  </si>
  <si>
    <t xml:space="preserve">shoulder, shoulders, shouldered</t>
  </si>
  <si>
    <t xml:space="preserve">For arm and shoulder strength a chinning bar is recommended.</t>
  </si>
  <si>
    <t xml:space="preserve">specific</t>
  </si>
  <si>
    <t xml:space="preserve">specific, specifics</t>
  </si>
  <si>
    <t xml:space="preserve">worker</t>
  </si>
  <si>
    <t xml:space="preserve">workers, worker</t>
  </si>
  <si>
    <t xml:space="preserve">balance</t>
  </si>
  <si>
    <t xml:space="preserve">balance, balanced, balancing</t>
  </si>
  <si>
    <t xml:space="preserve">The balance is being budgeted for the coming year.</t>
  </si>
  <si>
    <t xml:space="preserve">corporation</t>
  </si>
  <si>
    <t xml:space="preserve">corporation, corporations</t>
  </si>
  <si>
    <t xml:space="preserve">The corporation has a limited, specific place in our society.</t>
  </si>
  <si>
    <t xml:space="preserve">cross</t>
  </si>
  <si>
    <t xml:space="preserve">cross, crossed, crossing</t>
  </si>
  <si>
    <t xml:space="preserve">in a moment cross the Corso Del Rinascimento.</t>
  </si>
  <si>
    <t xml:space="preserve">enemy</t>
  </si>
  <si>
    <t xml:space="preserve">enemy, enemies</t>
  </si>
  <si>
    <t xml:space="preserve">fly</t>
  </si>
  <si>
    <t xml:space="preserve">flying, fly, flew</t>
  </si>
  <si>
    <t xml:space="preserve">"She flew beautifully", said Fiedler.</t>
  </si>
  <si>
    <t xml:space="preserve">nuclear</t>
  </si>
  <si>
    <t xml:space="preserve">pretty</t>
  </si>
  <si>
    <t xml:space="preserve">pretty, prettier, prettiest</t>
  </si>
  <si>
    <t xml:space="preserve">professional</t>
  </si>
  <si>
    <t xml:space="preserve">professional, professionals</t>
  </si>
  <si>
    <t xml:space="preserve">His professional career began when he was twenty;;</t>
  </si>
  <si>
    <t xml:space="preserve">shoot</t>
  </si>
  <si>
    <t xml:space="preserve">shot, shooting, shoot</t>
  </si>
  <si>
    <t xml:space="preserve">Each had been shot in the back several times with a</t>
  </si>
  <si>
    <t xml:space="preserve">slowly</t>
  </si>
  <si>
    <t xml:space="preserve">success</t>
  </si>
  <si>
    <t xml:space="preserve">success, successes</t>
  </si>
  <si>
    <t xml:space="preserve">sun</t>
  </si>
  <si>
    <t xml:space="preserve">sun, suns, sunning</t>
  </si>
  <si>
    <t xml:space="preserve">This is the atomic sun, the atomic nucleus.</t>
  </si>
  <si>
    <t xml:space="preserve">tradition</t>
  </si>
  <si>
    <t xml:space="preserve">tradition, traditions</t>
  </si>
  <si>
    <t xml:space="preserve">"I like the tradition", a girl said.</t>
  </si>
  <si>
    <t xml:space="preserve">worry</t>
  </si>
  <si>
    <t xml:space="preserve">worry, worried, worries</t>
  </si>
  <si>
    <t xml:space="preserve">"We worry", say the mothers.</t>
  </si>
  <si>
    <t xml:space="preserve">brother</t>
  </si>
  <si>
    <t xml:space="preserve">brother, brothers</t>
  </si>
  <si>
    <t xml:space="preserve">two brothers, Charley and Aaron Cohn, San Francisco;;</t>
  </si>
  <si>
    <t xml:space="preserve">compare</t>
  </si>
  <si>
    <t xml:space="preserve">compared, compare, comparing</t>
  </si>
  <si>
    <t xml:space="preserve">In this respect, boats can be compared with houses.</t>
  </si>
  <si>
    <t xml:space="preserve">faith</t>
  </si>
  <si>
    <t xml:space="preserve">faith, faiths</t>
  </si>
  <si>
    <t xml:space="preserve">-- Opportunities for study of the Christian faith and the Bible</t>
  </si>
  <si>
    <t xml:space="preserve">latter</t>
  </si>
  <si>
    <t xml:space="preserve">mouth</t>
  </si>
  <si>
    <t xml:space="preserve">mouth, mouths, mouthing</t>
  </si>
  <si>
    <t xml:space="preserve">obviously</t>
  </si>
  <si>
    <t xml:space="preserve">Obviously the farm should be on an all-weather road.</t>
  </si>
  <si>
    <t xml:space="preserve">straight</t>
  </si>
  <si>
    <t xml:space="preserve">trip</t>
  </si>
  <si>
    <t xml:space="preserve">trip, trips, tripping</t>
  </si>
  <si>
    <t xml:space="preserve">current</t>
  </si>
  <si>
    <t xml:space="preserve">current, currents</t>
  </si>
  <si>
    <t xml:space="preserve">discuss</t>
  </si>
  <si>
    <t xml:space="preserve">discussed, discuss, discussing</t>
  </si>
  <si>
    <t xml:space="preserve">Gross had received Marshall courteously and they were discussing the case.</t>
  </si>
  <si>
    <t xml:space="preserve">honor</t>
  </si>
  <si>
    <t xml:space="preserve">honor, honored, honors</t>
  </si>
  <si>
    <t xml:space="preserve">oil</t>
  </si>
  <si>
    <t xml:space="preserve">oil, oils, oiled</t>
  </si>
  <si>
    <t xml:space="preserve">rock</t>
  </si>
  <si>
    <t xml:space="preserve">rock, rocks, rocked</t>
  </si>
  <si>
    <t xml:space="preserve">that steel-edged "carved-out-of-solid rock" looks of the great champions.</t>
  </si>
  <si>
    <t xml:space="preserve">seven</t>
  </si>
  <si>
    <t xml:space="preserve">in August of 1960, he sold seven.</t>
  </si>
  <si>
    <t xml:space="preserve">speed</t>
  </si>
  <si>
    <t xml:space="preserve">speed, speeds, sped</t>
  </si>
  <si>
    <t xml:space="preserve">They try to keep within the speed limits.</t>
  </si>
  <si>
    <t xml:space="preserve">artist</t>
  </si>
  <si>
    <t xml:space="preserve">artist, artists</t>
  </si>
  <si>
    <t xml:space="preserve">His portrayal of an edgy head-in-the-clouds artist is virtually flawless.</t>
  </si>
  <si>
    <t xml:space="preserve">camp</t>
  </si>
  <si>
    <t xml:space="preserve">camp, camps, camping</t>
  </si>
  <si>
    <t xml:space="preserve">You read various guesses on how many Americans are camping.</t>
  </si>
  <si>
    <t xml:space="preserve">clean</t>
  </si>
  <si>
    <t xml:space="preserve">clean, cleaning, cleaned</t>
  </si>
  <si>
    <t xml:space="preserve">command</t>
  </si>
  <si>
    <t xml:space="preserve">command, commands, commanded</t>
  </si>
  <si>
    <t xml:space="preserve">concept</t>
  </si>
  <si>
    <t xml:space="preserve">concept, concepts</t>
  </si>
  <si>
    <t xml:space="preserve">Mahayana Buddhism was no exception to these prevailing magical concepts.</t>
  </si>
  <si>
    <t xml:space="preserve">german</t>
  </si>
  <si>
    <t xml:space="preserve">german, germans</t>
  </si>
  <si>
    <t xml:space="preserve">East Berlin ( Communist ) radio in German to Germany :</t>
  </si>
  <si>
    <t xml:space="preserve">happy</t>
  </si>
  <si>
    <t xml:space="preserve">happy, happier, happiest</t>
  </si>
  <si>
    <t xml:space="preserve">instance</t>
  </si>
  <si>
    <t xml:space="preserve">instance, instances</t>
  </si>
  <si>
    <t xml:space="preserve">manager</t>
  </si>
  <si>
    <t xml:space="preserve">manager, managers</t>
  </si>
  <si>
    <t xml:space="preserve">These men are considered managers of engineers.</t>
  </si>
  <si>
    <t xml:space="preserve">roll</t>
  </si>
  <si>
    <t xml:space="preserve">rolled, roll, rolling</t>
  </si>
  <si>
    <t xml:space="preserve">Dip in melted butter and roll in flour.</t>
  </si>
  <si>
    <t xml:space="preserve">aspect</t>
  </si>
  <si>
    <t xml:space="preserve">aspects, aspect</t>
  </si>
  <si>
    <t xml:space="preserve">energy</t>
  </si>
  <si>
    <t xml:space="preserve">energy, energies</t>
  </si>
  <si>
    <t xml:space="preserve">Man is not confined to one outlet for his vital energy.</t>
  </si>
  <si>
    <t xml:space="preserve">facility</t>
  </si>
  <si>
    <t xml:space="preserve">facilities, facility</t>
  </si>
  <si>
    <t xml:space="preserve">Do employees contribute their share of money to recreational facilities ? ?</t>
  </si>
  <si>
    <t xml:space="preserve">laugh</t>
  </si>
  <si>
    <t xml:space="preserve">laughed, laugh, laughing</t>
  </si>
  <si>
    <t xml:space="preserve">O'Banion's reply was a raucous laugh and a flat refusal.</t>
  </si>
  <si>
    <t xml:space="preserve">russian</t>
  </si>
  <si>
    <t xml:space="preserve">russian, russians</t>
  </si>
  <si>
    <t xml:space="preserve">Moscow Radio in Russian to the USSR :</t>
  </si>
  <si>
    <t xml:space="preserve">travel</t>
  </si>
  <si>
    <t xml:space="preserve">travel, traveled, traveling</t>
  </si>
  <si>
    <t xml:space="preserve">Why not have them travel the state in November debating ? ?</t>
  </si>
  <si>
    <t xml:space="preserve">wash</t>
  </si>
  <si>
    <t xml:space="preserve">washing, washed, wash</t>
  </si>
  <si>
    <t xml:space="preserve">and a very large, flat wash brush.</t>
  </si>
  <si>
    <t xml:space="preserve">whatever</t>
  </si>
  <si>
    <t xml:space="preserve">Well, whatever you have, that's it ! !</t>
  </si>
  <si>
    <t xml:space="preserve">completely</t>
  </si>
  <si>
    <t xml:space="preserve">"Not completely virtuous, but completely incompetent".</t>
  </si>
  <si>
    <t xml:space="preserve">corps</t>
  </si>
  <si>
    <t xml:space="preserve">extent</t>
  </si>
  <si>
    <t xml:space="preserve">To an extent, the two even look alike.</t>
  </si>
  <si>
    <t xml:space="preserve">favor</t>
  </si>
  <si>
    <t xml:space="preserve">favor, favored, favors</t>
  </si>
  <si>
    <t xml:space="preserve">finger</t>
  </si>
  <si>
    <t xml:space="preserve">fingers, finger, fingered</t>
  </si>
  <si>
    <t xml:space="preserve">Use water on finger to smooth seams and edges.</t>
  </si>
  <si>
    <t xml:space="preserve">fix</t>
  </si>
  <si>
    <t xml:space="preserve">fixed, fix, fixing</t>
  </si>
  <si>
    <t xml:space="preserve">The time of the motion picture is fixed absolutely.</t>
  </si>
  <si>
    <t xml:space="preserve">income</t>
  </si>
  <si>
    <t xml:space="preserve">income, incomes</t>
  </si>
  <si>
    <t xml:space="preserve">The Government also is aiding farmers' income prospects.</t>
  </si>
  <si>
    <t xml:space="preserve">propose</t>
  </si>
  <si>
    <t xml:space="preserve">proposed, propose, proposes</t>
  </si>
  <si>
    <t xml:space="preserve">reply</t>
  </si>
  <si>
    <t xml:space="preserve">replied, reply, replies</t>
  </si>
  <si>
    <t xml:space="preserve">requirement</t>
  </si>
  <si>
    <t xml:space="preserve">requirements, requirement</t>
  </si>
  <si>
    <t xml:space="preserve">Any special photographic requirements are also given.</t>
  </si>
  <si>
    <t xml:space="preserve">shake</t>
  </si>
  <si>
    <t xml:space="preserve">shook, shaking, shake</t>
  </si>
  <si>
    <t xml:space="preserve">This should be used frequently ( but shaken before using ).</t>
  </si>
  <si>
    <t xml:space="preserve">suffer</t>
  </si>
  <si>
    <t xml:space="preserve">suffered, suffer, suffering</t>
  </si>
  <si>
    <t xml:space="preserve">Boyer is suffering from a stiff neck.</t>
  </si>
  <si>
    <t xml:space="preserve">sunday</t>
  </si>
  <si>
    <t xml:space="preserve">sunday, sundays</t>
  </si>
  <si>
    <t xml:space="preserve">ahead</t>
  </si>
  <si>
    <t xml:space="preserve">First the Larkins are ahead, then the Jerebohms.</t>
  </si>
  <si>
    <t xml:space="preserve">consist</t>
  </si>
  <si>
    <t xml:space="preserve">consists, consisting, consisted</t>
  </si>
  <si>
    <t xml:space="preserve">In what does the dissatisfaction of Copernicus-the-astronomer consist ? ?</t>
  </si>
  <si>
    <t xml:space="preserve">council</t>
  </si>
  <si>
    <t xml:space="preserve">council, councils</t>
  </si>
  <si>
    <t xml:space="preserve">but the City Council will now share fully this budget-altering power.</t>
  </si>
  <si>
    <t xml:space="preserve">democratic</t>
  </si>
  <si>
    <t xml:space="preserve">He's approached his Democratic duties in hard-nosed engineering fashion.</t>
  </si>
  <si>
    <t xml:space="preserve">deny</t>
  </si>
  <si>
    <t xml:space="preserve">denied, deny, denying</t>
  </si>
  <si>
    <t xml:space="preserve">gas</t>
  </si>
  <si>
    <t xml:space="preserve">gas, gases, gassed</t>
  </si>
  <si>
    <t xml:space="preserve">Gas station people are very debonair about small cars.</t>
  </si>
  <si>
    <t xml:space="preserve">push</t>
  </si>
  <si>
    <t xml:space="preserve">pushed, push, pushing</t>
  </si>
  <si>
    <t xml:space="preserve">I pushed at his shoulder, calling his name.</t>
  </si>
  <si>
    <t xml:space="preserve">arrive</t>
  </si>
  <si>
    <t xml:space="preserve">arrived, arrive, arriving</t>
  </si>
  <si>
    <t xml:space="preserve">contribute</t>
  </si>
  <si>
    <t xml:space="preserve">contribute, contributed, contributing</t>
  </si>
  <si>
    <t xml:space="preserve">importance</t>
  </si>
  <si>
    <t xml:space="preserve">Dr. Conant may underestimate the psychological importance of even token equality.</t>
  </si>
  <si>
    <t xml:space="preserve">lady</t>
  </si>
  <si>
    <t xml:space="preserve">lady, ladies</t>
  </si>
  <si>
    <t xml:space="preserve">I had to stand up, with the ladies.</t>
  </si>
  <si>
    <t xml:space="preserve">none</t>
  </si>
  <si>
    <t xml:space="preserve">publish</t>
  </si>
  <si>
    <t xml:space="preserve">published, publishing, publishes</t>
  </si>
  <si>
    <t xml:space="preserve">Experts in the publishing field consider this astounding.</t>
  </si>
  <si>
    <t xml:space="preserve">refer</t>
  </si>
  <si>
    <t xml:space="preserve">referred, refer, referring</t>
  </si>
  <si>
    <t xml:space="preserve">spread</t>
  </si>
  <si>
    <t xml:space="preserve">spread, spreading, spreads</t>
  </si>
  <si>
    <t xml:space="preserve">By then one begins to notice the middle-age spread;;</t>
  </si>
  <si>
    <t xml:space="preserve">team</t>
  </si>
  <si>
    <t xml:space="preserve">team, teams, teamed</t>
  </si>
  <si>
    <t xml:space="preserve">column</t>
  </si>
  <si>
    <t xml:space="preserve">column, columns</t>
  </si>
  <si>
    <t xml:space="preserve">The columns of the Parthenon are fluted Doric.</t>
  </si>
  <si>
    <t xml:space="preserve">easily</t>
  </si>
  <si>
    <t xml:space="preserve">engineer</t>
  </si>
  <si>
    <t xml:space="preserve">engineer, engineers, engineering</t>
  </si>
  <si>
    <t xml:space="preserve">existence</t>
  </si>
  <si>
    <t xml:space="preserve">The "positive state" came into existence.</t>
  </si>
  <si>
    <t xml:space="preserve">motor</t>
  </si>
  <si>
    <t xml:space="preserve">motor, motors, motoring</t>
  </si>
  <si>
    <t xml:space="preserve">Norton and Rochford fired wildly at the sounds of the motors.</t>
  </si>
  <si>
    <t xml:space="preserve">reflect</t>
  </si>
  <si>
    <t xml:space="preserve">reflected, reflect, reflects</t>
  </si>
  <si>
    <t xml:space="preserve">Do line barbecue fire bowl with heavy foil to reflect heat.</t>
  </si>
  <si>
    <t xml:space="preserve">round</t>
  </si>
  <si>
    <t xml:space="preserve">round, rounded, rounds</t>
  </si>
  <si>
    <t xml:space="preserve">They were sailing round the Cape of Good Hope;;</t>
  </si>
  <si>
    <t xml:space="preserve">sight</t>
  </si>
  <si>
    <t xml:space="preserve">sight, sights, sighted</t>
  </si>
  <si>
    <t xml:space="preserve">spot</t>
  </si>
  <si>
    <t xml:space="preserve">spot, spots, spotted</t>
  </si>
  <si>
    <t xml:space="preserve">But Shoup also gave the Corps a tilling in spots.</t>
  </si>
  <si>
    <t xml:space="preserve">wind</t>
  </si>
  <si>
    <t xml:space="preserve">wind, winds, wound</t>
  </si>
  <si>
    <t xml:space="preserve">So he wound up with a dozen.</t>
  </si>
  <si>
    <t xml:space="preserve">depend</t>
  </si>
  <si>
    <t xml:space="preserve">depends, depend, depended</t>
  </si>
  <si>
    <t xml:space="preserve">hardly</t>
  </si>
  <si>
    <t xml:space="preserve">A secret conspiracy of manufacturers is hardly such a vehicle.</t>
  </si>
  <si>
    <t xml:space="preserve">junior</t>
  </si>
  <si>
    <t xml:space="preserve">junior, juniors</t>
  </si>
  <si>
    <t xml:space="preserve">original</t>
  </si>
  <si>
    <t xml:space="preserve">original, originals</t>
  </si>
  <si>
    <t xml:space="preserve">Originals are not necessarily good and adaptations are not necessarily bad.</t>
  </si>
  <si>
    <t xml:space="preserve">parent</t>
  </si>
  <si>
    <t xml:space="preserve">parents, parent</t>
  </si>
  <si>
    <t xml:space="preserve">Parents have to find other ways of comforting him.</t>
  </si>
  <si>
    <t xml:space="preserve">session</t>
  </si>
  <si>
    <t xml:space="preserve">session, sessions</t>
  </si>
  <si>
    <t xml:space="preserve">title</t>
  </si>
  <si>
    <t xml:space="preserve">title, titles, titled</t>
  </si>
  <si>
    <t xml:space="preserve">Titled "What's New In Music" ? ?</t>
  </si>
  <si>
    <t xml:space="preserve">wage</t>
  </si>
  <si>
    <t xml:space="preserve">wage, wages, waged</t>
  </si>
  <si>
    <t xml:space="preserve">Farm workers had their wages cut almost in half.</t>
  </si>
  <si>
    <t xml:space="preserve">weight</t>
  </si>
  <si>
    <t xml:space="preserve">weight, weights, weighted</t>
  </si>
  <si>
    <t xml:space="preserve">1 to 1-1/2 grams per 100 pounds of body weight.</t>
  </si>
  <si>
    <t xml:space="preserve">bit</t>
  </si>
  <si>
    <t xml:space="preserve">bit, bits</t>
  </si>
  <si>
    <t xml:space="preserve">campaign</t>
  </si>
  <si>
    <t xml:space="preserve">campaign, campaigns, campaigned</t>
  </si>
  <si>
    <t xml:space="preserve">It has arranged a campaign for governor.</t>
  </si>
  <si>
    <t xml:space="preserve">health</t>
  </si>
  <si>
    <t xml:space="preserve">writes : Do steam baths have any health value ? ?</t>
  </si>
  <si>
    <t xml:space="preserve">please</t>
  </si>
  <si>
    <t xml:space="preserve">please, pleased, pleases</t>
  </si>
  <si>
    <t xml:space="preserve">Will somebody please reopen the Auditorium ? ?</t>
  </si>
  <si>
    <t xml:space="preserve">response</t>
  </si>
  <si>
    <t xml:space="preserve">response, responses</t>
  </si>
  <si>
    <t xml:space="preserve">sample</t>
  </si>
  <si>
    <t xml:space="preserve">sample, samples, sampling</t>
  </si>
  <si>
    <t xml:space="preserve">So we note approvingly a fresh sample of unanimity.</t>
  </si>
  <si>
    <t xml:space="preserve">sea</t>
  </si>
  <si>
    <t xml:space="preserve">sea, seas</t>
  </si>
  <si>
    <t xml:space="preserve">Richardson glanced to sea and started slightly.</t>
  </si>
  <si>
    <t xml:space="preserve">settle</t>
  </si>
  <si>
    <t xml:space="preserve">settled, settle, settling</t>
  </si>
  <si>
    <t xml:space="preserve">I settled it tonight", he continued.</t>
  </si>
  <si>
    <t xml:space="preserve">broad</t>
  </si>
  <si>
    <t xml:space="preserve">broad, broader, broadest</t>
  </si>
  <si>
    <t xml:space="preserve">despite</t>
  </si>
  <si>
    <t xml:space="preserve">destroy</t>
  </si>
  <si>
    <t xml:space="preserve">destroy, destroyed, destroying</t>
  </si>
  <si>
    <t xml:space="preserve">Even mobile forces must be found and destroyed.</t>
  </si>
  <si>
    <t xml:space="preserve">eight</t>
  </si>
  <si>
    <t xml:space="preserve">exercise</t>
  </si>
  <si>
    <t xml:space="preserve">exercise, exercises, exercised</t>
  </si>
  <si>
    <t xml:space="preserve">Most Europeans have been exercising newborn infants for centuries.</t>
  </si>
  <si>
    <t xml:space="preserve">tend</t>
  </si>
  <si>
    <t xml:space="preserve">tend, tends, tended</t>
  </si>
  <si>
    <t xml:space="preserve">it tends to be hard and colorless.</t>
  </si>
  <si>
    <t xml:space="preserve">circle</t>
  </si>
  <si>
    <t xml:space="preserve">circle, circles, circled</t>
  </si>
  <si>
    <t xml:space="preserve">Pi is used in formulas concerned with the dimensions of circles.</t>
  </si>
  <si>
    <t xml:space="preserve">crisis</t>
  </si>
  <si>
    <t xml:space="preserve">crisis, crises</t>
  </si>
  <si>
    <t xml:space="preserve">encourage</t>
  </si>
  <si>
    <t xml:space="preserve">encourage, encouraged, encouraging</t>
  </si>
  <si>
    <t xml:space="preserve">to encourage the practice of attending the theater;;</t>
  </si>
  <si>
    <t xml:space="preserve">exactly</t>
  </si>
  <si>
    <t xml:space="preserve">fast</t>
  </si>
  <si>
    <t xml:space="preserve">fast, faster, fastest</t>
  </si>
  <si>
    <t xml:space="preserve">handle</t>
  </si>
  <si>
    <t xml:space="preserve">handle, handled, handling</t>
  </si>
  <si>
    <t xml:space="preserve">I had watched Castro handling his enemies before the paredon.</t>
  </si>
  <si>
    <t xml:space="preserve">newspaper</t>
  </si>
  <si>
    <t xml:space="preserve">newspaper, newspapers</t>
  </si>
  <si>
    <t xml:space="preserve">American newspaper reviewers like to call his plays nihilistic.</t>
  </si>
  <si>
    <t xml:space="preserve">pain</t>
  </si>
  <si>
    <t xml:space="preserve">pain, pains, pained</t>
  </si>
  <si>
    <t xml:space="preserve">He's been warbling in severe pain;;</t>
  </si>
  <si>
    <t xml:space="preserve">weapon</t>
  </si>
  <si>
    <t xml:space="preserve">weapons, weapon</t>
  </si>
  <si>
    <t xml:space="preserve">Biological warfare is considered to be primarily a strategic weapon.</t>
  </si>
  <si>
    <t xml:space="preserve">crowd</t>
  </si>
  <si>
    <t xml:space="preserve">crowd, crowded, crowds</t>
  </si>
  <si>
    <t xml:space="preserve">The crowd of 32,589 had only two chances to applaud.</t>
  </si>
  <si>
    <t xml:space="preserve">lay</t>
  </si>
  <si>
    <t xml:space="preserve">laid, lay, laying</t>
  </si>
  <si>
    <t xml:space="preserve">Sherman laid great store by place captures.</t>
  </si>
  <si>
    <t xml:space="preserve">master</t>
  </si>
  <si>
    <t xml:space="preserve">master, masters, mastered</t>
  </si>
  <si>
    <t xml:space="preserve">news</t>
  </si>
  <si>
    <t xml:space="preserve">News of Rayburn's commitment soon leaked out.</t>
  </si>
  <si>
    <t xml:space="preserve">payment</t>
  </si>
  <si>
    <t xml:space="preserve">payment, payments</t>
  </si>
  <si>
    <t xml:space="preserve">"A small measure of payment, marine".</t>
  </si>
  <si>
    <t xml:space="preserve">advantage</t>
  </si>
  <si>
    <t xml:space="preserve">advantage, advantages</t>
  </si>
  <si>
    <t xml:space="preserve">The Yanks also took advantage of three Cincinnati errors.</t>
  </si>
  <si>
    <t xml:space="preserve">clay</t>
  </si>
  <si>
    <t xml:space="preserve">clay, clays</t>
  </si>
  <si>
    <t xml:space="preserve">shotshells -- to break the little Targo clay targets.</t>
  </si>
  <si>
    <t xml:space="preserve">guest</t>
  </si>
  <si>
    <t xml:space="preserve">guests, guest</t>
  </si>
  <si>
    <t xml:space="preserve">match</t>
  </si>
  <si>
    <t xml:space="preserve">match, matching, matched</t>
  </si>
  <si>
    <t xml:space="preserve">stare</t>
  </si>
  <si>
    <t xml:space="preserve">stared, staring, stare</t>
  </si>
  <si>
    <t xml:space="preserve">Idje still stared over our shoulders at the horizon.</t>
  </si>
  <si>
    <t xml:space="preserve">unless</t>
  </si>
  <si>
    <t xml:space="preserve">you cannot go to heaven unless you are born again.</t>
  </si>
  <si>
    <t xml:space="preserve">contrast</t>
  </si>
  <si>
    <t xml:space="preserve">contrast, contrasting, contrasts</t>
  </si>
  <si>
    <t xml:space="preserve">dinner</t>
  </si>
  <si>
    <t xml:space="preserve">dinner, dinners</t>
  </si>
  <si>
    <t xml:space="preserve">goal</t>
  </si>
  <si>
    <t xml:space="preserve">goal, goals</t>
  </si>
  <si>
    <t xml:space="preserve">It can project long-range goals for itself.</t>
  </si>
  <si>
    <t xml:space="preserve">radiation</t>
  </si>
  <si>
    <t xml:space="preserve">radiation, radiations</t>
  </si>
  <si>
    <t xml:space="preserve">neuropathology of nuclear and cosmic radiation;;</t>
  </si>
  <si>
    <t xml:space="preserve">score</t>
  </si>
  <si>
    <t xml:space="preserve">score, scored, scores</t>
  </si>
  <si>
    <t xml:space="preserve">search</t>
  </si>
  <si>
    <t xml:space="preserve">search, searching, searched</t>
  </si>
  <si>
    <t xml:space="preserve">He was engaged in constant experiments that searched for new directions.</t>
  </si>
  <si>
    <t xml:space="preserve">telephone</t>
  </si>
  <si>
    <t xml:space="preserve">telephone, telephoned, telephones</t>
  </si>
  <si>
    <t xml:space="preserve">He realized that he had no idea where the telephone was.</t>
  </si>
  <si>
    <t xml:space="preserve">thin</t>
  </si>
  <si>
    <t xml:space="preserve">thin, thinner, thinned</t>
  </si>
  <si>
    <t xml:space="preserve">He was over six feet tall and very thin.</t>
  </si>
  <si>
    <t xml:space="preserve">actual</t>
  </si>
  <si>
    <t xml:space="preserve">it cannot bring them into actual play.</t>
  </si>
  <si>
    <t xml:space="preserve">article</t>
  </si>
  <si>
    <t xml:space="preserve">article, articles</t>
  </si>
  <si>
    <t xml:space="preserve">Moscow Novosti article in Russian, datelined London :</t>
  </si>
  <si>
    <t xml:space="preserve">associate</t>
  </si>
  <si>
    <t xml:space="preserve">associated, associate, associates</t>
  </si>
  <si>
    <t xml:space="preserve">Prior to that he was associated with Long Island University in Brooklyn.</t>
  </si>
  <si>
    <t xml:space="preserve">benefit</t>
  </si>
  <si>
    <t xml:space="preserve">benefit, benefits, benefited</t>
  </si>
  <si>
    <t xml:space="preserve">Aim to balance your employee benefit package.</t>
  </si>
  <si>
    <t xml:space="preserve">bright</t>
  </si>
  <si>
    <t xml:space="preserve">bright, brighter, brightest</t>
  </si>
  <si>
    <t xml:space="preserve">In a brighter nautical vein is Ille De France blue.</t>
  </si>
  <si>
    <t xml:space="preserve">circumstance</t>
  </si>
  <si>
    <t xml:space="preserve">circumstances, circumstance</t>
  </si>
  <si>
    <t xml:space="preserve">construction</t>
  </si>
  <si>
    <t xml:space="preserve">construction, constructions</t>
  </si>
  <si>
    <t xml:space="preserve">cry</t>
  </si>
  <si>
    <t xml:space="preserve">cry, cried, crying</t>
  </si>
  <si>
    <t xml:space="preserve">equal</t>
  </si>
  <si>
    <t xml:space="preserve">equal, equals, equalled</t>
  </si>
  <si>
    <t xml:space="preserve">Dartmouth students enjoy other unusual diversions with equal sang-froid.</t>
  </si>
  <si>
    <t xml:space="preserve">jazz</t>
  </si>
  <si>
    <t xml:space="preserve">The jazz buff could hardly ask for more.</t>
  </si>
  <si>
    <t xml:space="preserve">june</t>
  </si>
  <si>
    <t xml:space="preserve">kid</t>
  </si>
  <si>
    <t xml:space="preserve">kid, kids, kidding</t>
  </si>
  <si>
    <t xml:space="preserve">mine</t>
  </si>
  <si>
    <t xml:space="preserve">mine, mines, mining</t>
  </si>
  <si>
    <t xml:space="preserve">This work is no favorite of mine.</t>
  </si>
  <si>
    <t xml:space="preserve">murder</t>
  </si>
  <si>
    <t xml:space="preserve">murder, murders, murdered</t>
  </si>
  <si>
    <t xml:space="preserve">there was no financial gain for Morse in the murders.</t>
  </si>
  <si>
    <t xml:space="preserve">security</t>
  </si>
  <si>
    <t xml:space="preserve">security, securities</t>
  </si>
  <si>
    <t xml:space="preserve">What they wished for most was security;;</t>
  </si>
  <si>
    <t xml:space="preserve">shelter</t>
  </si>
  <si>
    <t xml:space="preserve">shelter, shelters, sheltered</t>
  </si>
  <si>
    <t xml:space="preserve">( See fig. 9, double-wall shelter.</t>
  </si>
  <si>
    <t xml:space="preserve">shop</t>
  </si>
  <si>
    <t xml:space="preserve">shop, shopping, shops</t>
  </si>
  <si>
    <t xml:space="preserve">status</t>
  </si>
  <si>
    <t xml:space="preserve">status, statuses</t>
  </si>
  <si>
    <t xml:space="preserve">Operations of this nature offer the best opportunity to recognize scientific status.</t>
  </si>
  <si>
    <t xml:space="preserve">yard</t>
  </si>
  <si>
    <t xml:space="preserve">yards, yard</t>
  </si>
  <si>
    <t xml:space="preserve">apartment</t>
  </si>
  <si>
    <t xml:space="preserve">apartment, apartments</t>
  </si>
  <si>
    <t xml:space="preserve">appeal</t>
  </si>
  <si>
    <t xml:space="preserve">appeal, appeals, appealed</t>
  </si>
  <si>
    <t xml:space="preserve">hole</t>
  </si>
  <si>
    <t xml:space="preserve">hole, holes, holed</t>
  </si>
  <si>
    <t xml:space="preserve">popular</t>
  </si>
  <si>
    <t xml:space="preserve">primary</t>
  </si>
  <si>
    <t xml:space="preserve">primary, primaries</t>
  </si>
  <si>
    <t xml:space="preserve">purchase</t>
  </si>
  <si>
    <t xml:space="preserve">purchase, purchased, purchases</t>
  </si>
  <si>
    <t xml:space="preserve">Maris purchases $100 suits from Simpson's in New York.</t>
  </si>
  <si>
    <t xml:space="preserve">repeat</t>
  </si>
  <si>
    <t xml:space="preserve">repeated, repeat, repeating</t>
  </si>
  <si>
    <t xml:space="preserve">seat</t>
  </si>
  <si>
    <t xml:space="preserve">seat, seated, seats</t>
  </si>
  <si>
    <t xml:space="preserve">Robert Lovelace and Cedric Burgher Jr. seated guests.</t>
  </si>
  <si>
    <t xml:space="preserve">secret</t>
  </si>
  <si>
    <t xml:space="preserve">secret, secrets</t>
  </si>
  <si>
    <t xml:space="preserve">tone</t>
  </si>
  <si>
    <t xml:space="preserve">tone, tones</t>
  </si>
  <si>
    <t xml:space="preserve">battle</t>
  </si>
  <si>
    <t xml:space="preserve">battle, battles, battling</t>
  </si>
  <si>
    <t xml:space="preserve">beat</t>
  </si>
  <si>
    <t xml:space="preserve">beat, beaten, beating</t>
  </si>
  <si>
    <t xml:space="preserve">behavior</t>
  </si>
  <si>
    <t xml:space="preserve">behavior, behaviors</t>
  </si>
  <si>
    <t xml:space="preserve">She tells him of the consequences of his behavior.</t>
  </si>
  <si>
    <t xml:space="preserve">cattle</t>
  </si>
  <si>
    <t xml:space="preserve">How to feed : beef cattle ( finishing ration )</t>
  </si>
  <si>
    <t xml:space="preserve">complex</t>
  </si>
  <si>
    <t xml:space="preserve">complex, complexes</t>
  </si>
  <si>
    <t xml:space="preserve">First, most products tend to become more complex.</t>
  </si>
  <si>
    <t xml:space="preserve">expense</t>
  </si>
  <si>
    <t xml:space="preserve">expense, expenses</t>
  </si>
  <si>
    <t xml:space="preserve">page</t>
  </si>
  <si>
    <t xml:space="preserve">page, pages</t>
  </si>
  <si>
    <t xml:space="preserve">See page 24 for a complete report on it.</t>
  </si>
  <si>
    <t xml:space="preserve">reveal</t>
  </si>
  <si>
    <t xml:space="preserve">revealed, reveal, reveals</t>
  </si>
  <si>
    <t xml:space="preserve">"This reveals some misunderstanding on your part.</t>
  </si>
  <si>
    <t xml:space="preserve">signal</t>
  </si>
  <si>
    <t xml:space="preserve">signal, signals, signaling</t>
  </si>
  <si>
    <t xml:space="preserve">Figs. 1-6 show typical arrangements of track and signals.</t>
  </si>
  <si>
    <t xml:space="preserve">sir</t>
  </si>
  <si>
    <t xml:space="preserve">sir, sirs</t>
  </si>
  <si>
    <t xml:space="preserve">active</t>
  </si>
  <si>
    <t xml:space="preserve">active, actives</t>
  </si>
  <si>
    <t xml:space="preserve">bond</t>
  </si>
  <si>
    <t xml:space="preserve">bonds, bond, bonded</t>
  </si>
  <si>
    <t xml:space="preserve">bottom</t>
  </si>
  <si>
    <t xml:space="preserve">bottom, bottoms</t>
  </si>
  <si>
    <t xml:space="preserve">Score bottom edge of cylinder and join to disk with slip.</t>
  </si>
  <si>
    <t xml:space="preserve">considerable</t>
  </si>
  <si>
    <t xml:space="preserve">yet it represents a very considerable percentage of the churchgoing population.</t>
  </si>
  <si>
    <t xml:space="preserve">flow</t>
  </si>
  <si>
    <t xml:space="preserve">flow, flowing, flowed</t>
  </si>
  <si>
    <t xml:space="preserve">The quantity of water flow may be critical;;</t>
  </si>
  <si>
    <t xml:space="preserve">hell</t>
  </si>
  <si>
    <t xml:space="preserve">hell, hells</t>
  </si>
  <si>
    <t xml:space="preserve">I thought : What the hell ? ?</t>
  </si>
  <si>
    <t xml:space="preserve">lord</t>
  </si>
  <si>
    <t xml:space="preserve">lord, lords</t>
  </si>
  <si>
    <t xml:space="preserve">"The Lord is my light and my salvation;;</t>
  </si>
  <si>
    <t xml:space="preserve">phase</t>
  </si>
  <si>
    <t xml:space="preserve">phase, phases</t>
  </si>
  <si>
    <t xml:space="preserve">The exhibition presents all phases of Sloan's many-sided art.</t>
  </si>
  <si>
    <t xml:space="preserve">principal</t>
  </si>
  <si>
    <t xml:space="preserve">principal, principals</t>
  </si>
  <si>
    <t xml:space="preserve">soldier</t>
  </si>
  <si>
    <t xml:space="preserve">soldiers, soldier, soldiering</t>
  </si>
  <si>
    <t xml:space="preserve">usual</t>
  </si>
  <si>
    <t xml:space="preserve">As usual, the press photographers were on hand.</t>
  </si>
  <si>
    <t xml:space="preserve">wine</t>
  </si>
  <si>
    <t xml:space="preserve">wine, wines</t>
  </si>
  <si>
    <t xml:space="preserve">Then came coconuts, eggs, and rice wine.</t>
  </si>
  <si>
    <t xml:space="preserve">affect</t>
  </si>
  <si>
    <t xml:space="preserve">affected, affect, affects</t>
  </si>
  <si>
    <t xml:space="preserve">He affected ( most properly ) not to understand my point.</t>
  </si>
  <si>
    <t xml:space="preserve">bottle</t>
  </si>
  <si>
    <t xml:space="preserve">bottle, bottles, bottled</t>
  </si>
  <si>
    <t xml:space="preserve">The bottle was filled up with flour.</t>
  </si>
  <si>
    <t xml:space="preserve">comment</t>
  </si>
  <si>
    <t xml:space="preserve">comment, comments, commented</t>
  </si>
  <si>
    <t xml:space="preserve">communication, communications</t>
  </si>
  <si>
    <t xml:space="preserve">The only way that I can see is through communication.</t>
  </si>
  <si>
    <t xml:space="preserve">conclusion</t>
  </si>
  <si>
    <t xml:space="preserve">conclusion, conclusions</t>
  </si>
  <si>
    <t xml:space="preserve">declare</t>
  </si>
  <si>
    <t xml:space="preserve">declared, declares, declaring</t>
  </si>
  <si>
    <t xml:space="preserve">distribution</t>
  </si>
  <si>
    <t xml:space="preserve">distribution, distributions</t>
  </si>
  <si>
    <t xml:space="preserve">Market concentration and distribution in fewer accounts.</t>
  </si>
  <si>
    <t xml:space="preserve">duty</t>
  </si>
  <si>
    <t xml:space="preserve">duty, duties</t>
  </si>
  <si>
    <t xml:space="preserve">Mrs. Harry M. Rose, Jr., for secretarial duties;;</t>
  </si>
  <si>
    <t xml:space="preserve">editor</t>
  </si>
  <si>
    <t xml:space="preserve">editor, editors</t>
  </si>
  <si>
    <t xml:space="preserve">to the editor of the New York Times :</t>
  </si>
  <si>
    <t xml:space="preserve">king</t>
  </si>
  <si>
    <t xml:space="preserve">king, kings</t>
  </si>
  <si>
    <t xml:space="preserve">How many children did the King have ? ?</t>
  </si>
  <si>
    <t xml:space="preserve">kitchen</t>
  </si>
  <si>
    <t xml:space="preserve">kitchen, kitchens</t>
  </si>
  <si>
    <t xml:space="preserve">liberal</t>
  </si>
  <si>
    <t xml:space="preserve">liberal, liberals</t>
  </si>
  <si>
    <t xml:space="preserve">I write about Northern liberals from considerable personal experience.</t>
  </si>
  <si>
    <t xml:space="preserve">proper</t>
  </si>
  <si>
    <t xml:space="preserve">sex</t>
  </si>
  <si>
    <t xml:space="preserve">sex, sexes</t>
  </si>
  <si>
    <t xml:space="preserve">successful</t>
  </si>
  <si>
    <t xml:space="preserve">It was probably man's first successful flight in a missile.</t>
  </si>
  <si>
    <t xml:space="preserve">suit</t>
  </si>
  <si>
    <t xml:space="preserve">suit, suits, suited</t>
  </si>
  <si>
    <t xml:space="preserve">contact</t>
  </si>
  <si>
    <t xml:space="preserve">contact, contacts, contacted</t>
  </si>
  <si>
    <t xml:space="preserve">contract</t>
  </si>
  <si>
    <t xml:space="preserve">contract, contracts, contracted</t>
  </si>
  <si>
    <t xml:space="preserve">everyone</t>
  </si>
  <si>
    <t xml:space="preserve">Everyone who loves is born of God, and knows God.</t>
  </si>
  <si>
    <t xml:space="preserve">expression</t>
  </si>
  <si>
    <t xml:space="preserve">expression, expressions</t>
  </si>
  <si>
    <t xml:space="preserve">Nowhere have I seen public expression of anti-Catholicism.</t>
  </si>
  <si>
    <t xml:space="preserve">garden</t>
  </si>
  <si>
    <t xml:space="preserve">garden, gardens, gardened</t>
  </si>
  <si>
    <t xml:space="preserve">Miss Sutherland first sang Lucia at Covent Garden in 1959.</t>
  </si>
  <si>
    <t xml:space="preserve">highly</t>
  </si>
  <si>
    <t xml:space="preserve">And as an introduction to American politics it is highly educational.</t>
  </si>
  <si>
    <t xml:space="preserve">mission</t>
  </si>
  <si>
    <t xml:space="preserve">mission, missions</t>
  </si>
  <si>
    <t xml:space="preserve">reality</t>
  </si>
  <si>
    <t xml:space="preserve">reality, realities</t>
  </si>
  <si>
    <t xml:space="preserve">the automobile racing bears little relation to reality.</t>
  </si>
  <si>
    <t xml:space="preserve">someone</t>
  </si>
  <si>
    <t xml:space="preserve">tear</t>
  </si>
  <si>
    <t xml:space="preserve">tears, torn, tore</t>
  </si>
  <si>
    <t xml:space="preserve">but the society which he serves bores him to tears.</t>
  </si>
  <si>
    <t xml:space="preserve">worth</t>
  </si>
  <si>
    <t xml:space="preserve">annual</t>
  </si>
  <si>
    <t xml:space="preserve">application</t>
  </si>
  <si>
    <t xml:space="preserve">application, applications</t>
  </si>
  <si>
    <t xml:space="preserve">failure</t>
  </si>
  <si>
    <t xml:space="preserve">failure, failures</t>
  </si>
  <si>
    <t xml:space="preserve">Actually the Atlanta campaign was a military failure.</t>
  </si>
  <si>
    <t xml:space="preserve">management</t>
  </si>
  <si>
    <t xml:space="preserve">management, managements</t>
  </si>
  <si>
    <t xml:space="preserve">Some men have no talent for or interest in management;;</t>
  </si>
  <si>
    <t xml:space="preserve">slow</t>
  </si>
  <si>
    <t xml:space="preserve">slow, slowed, slower</t>
  </si>
  <si>
    <t xml:space="preserve">struggle</t>
  </si>
  <si>
    <t xml:space="preserve">struggle, struggling, struggled</t>
  </si>
  <si>
    <t xml:space="preserve">Residential associations struggle to insulate themselves against intrusions.</t>
  </si>
  <si>
    <t xml:space="preserve">variety</t>
  </si>
  <si>
    <t xml:space="preserve">variety, varieties</t>
  </si>
  <si>
    <t xml:space="preserve">and at the infinite variety of London.</t>
  </si>
  <si>
    <t xml:space="preserve">youth</t>
  </si>
  <si>
    <t xml:space="preserve">youth, youths</t>
  </si>
  <si>
    <t xml:space="preserve">assure</t>
  </si>
  <si>
    <t xml:space="preserve">assured, assure, assuring</t>
  </si>
  <si>
    <t xml:space="preserve">The performances were assured, communicative and pleasingly informal.</t>
  </si>
  <si>
    <t xml:space="preserve">beginning</t>
  </si>
  <si>
    <t xml:space="preserve">beginning, beginnings</t>
  </si>
  <si>
    <t xml:space="preserve">The article presents the reader with an absurdity at its beginning.</t>
  </si>
  <si>
    <t xml:space="preserve">collection</t>
  </si>
  <si>
    <t xml:space="preserve">collection, collections</t>
  </si>
  <si>
    <t xml:space="preserve">count</t>
  </si>
  <si>
    <t xml:space="preserve">count, counted, counts</t>
  </si>
  <si>
    <t xml:space="preserve">device</t>
  </si>
  <si>
    <t xml:space="preserve">device, devices</t>
  </si>
  <si>
    <t xml:space="preserve">Who are the victims of the device quacks ? ?</t>
  </si>
  <si>
    <t xml:space="preserve">escape</t>
  </si>
  <si>
    <t xml:space="preserve">escape, escaped, escaping</t>
  </si>
  <si>
    <t xml:space="preserve">to escape this fate, it must rule some things out.</t>
  </si>
  <si>
    <t xml:space="preserve">imagine</t>
  </si>
  <si>
    <t xml:space="preserve">imagine, imagined, imagines</t>
  </si>
  <si>
    <t xml:space="preserve">A more dangerous formula for national frustration cannot be imagined.</t>
  </si>
  <si>
    <t xml:space="preserve">index</t>
  </si>
  <si>
    <t xml:space="preserve">index, indices, indexing</t>
  </si>
  <si>
    <t xml:space="preserve">We mentioned odd-lot indices a few paragraphs ago.</t>
  </si>
  <si>
    <t xml:space="preserve">jack</t>
  </si>
  <si>
    <t xml:space="preserve">Jack Boissoneault, who was with us last month;;</t>
  </si>
  <si>
    <t xml:space="preserve">leadership</t>
  </si>
  <si>
    <t xml:space="preserve">lock</t>
  </si>
  <si>
    <t xml:space="preserve">locking, locked, lock</t>
  </si>
  <si>
    <t xml:space="preserve">Close behind the plane of the tappets are the locking bars.</t>
  </si>
  <si>
    <t xml:space="preserve">obvious</t>
  </si>
  <si>
    <t xml:space="preserve">refuse</t>
  </si>
  <si>
    <t xml:space="preserve">refused, refuse, refusing</t>
  </si>
  <si>
    <t xml:space="preserve">To have refused would have been political suicide.</t>
  </si>
  <si>
    <t xml:space="preserve">stick</t>
  </si>
  <si>
    <t xml:space="preserve">stick, stuck, sticks</t>
  </si>
  <si>
    <t xml:space="preserve">The man stuck the nozzle in the gas tank.</t>
  </si>
  <si>
    <t xml:space="preserve">admit</t>
  </si>
  <si>
    <t xml:space="preserve">admitted, admit, admitting</t>
  </si>
  <si>
    <t xml:space="preserve">Last May, they said, she admitted being a prostitute.</t>
  </si>
  <si>
    <t xml:space="preserve">avoid</t>
  </si>
  <si>
    <t xml:space="preserve">avoid, avoided, avoiding</t>
  </si>
  <si>
    <t xml:space="preserve">Would he take pains to avoid it ? ?</t>
  </si>
  <si>
    <t xml:space="preserve">civil</t>
  </si>
  <si>
    <t xml:space="preserve">cook</t>
  </si>
  <si>
    <t xml:space="preserve">cook, cooking, cooked</t>
  </si>
  <si>
    <t xml:space="preserve">entirely</t>
  </si>
  <si>
    <t xml:space="preserve">This approach has not been entirely satisfactory.</t>
  </si>
  <si>
    <t xml:space="preserve">frequently</t>
  </si>
  <si>
    <t xml:space="preserve">governor</t>
  </si>
  <si>
    <t xml:space="preserve">governor, governors</t>
  </si>
  <si>
    <t xml:space="preserve">locate</t>
  </si>
  <si>
    <t xml:space="preserve">located, locate, locating</t>
  </si>
  <si>
    <t xml:space="preserve">memory</t>
  </si>
  <si>
    <t xml:space="preserve">memory, memories</t>
  </si>
  <si>
    <t xml:space="preserve">mike</t>
  </si>
  <si>
    <t xml:space="preserve">And that Menshikov replied : "Just call me Mike".</t>
  </si>
  <si>
    <t xml:space="preserve">swing</t>
  </si>
  <si>
    <t xml:space="preserve">swung, swing, swinging</t>
  </si>
  <si>
    <t xml:space="preserve">They all swung at the same instant in the same direction.</t>
  </si>
  <si>
    <t xml:space="preserve">switch</t>
  </si>
  <si>
    <t xml:space="preserve">switch, switches, switched</t>
  </si>
  <si>
    <t xml:space="preserve">Then Massachusetts switched to its standard tactics.</t>
  </si>
  <si>
    <t xml:space="preserve">training</t>
  </si>
  <si>
    <t xml:space="preserve">warm</t>
  </si>
  <si>
    <t xml:space="preserve">warm, warmed, warming</t>
  </si>
  <si>
    <t xml:space="preserve">employee</t>
  </si>
  <si>
    <t xml:space="preserve">employees, employee</t>
  </si>
  <si>
    <t xml:space="preserve">library</t>
  </si>
  <si>
    <t xml:space="preserve">library, libraries</t>
  </si>
  <si>
    <t xml:space="preserve">shot</t>
  </si>
  <si>
    <t xml:space="preserve">shot, shots</t>
  </si>
  <si>
    <t xml:space="preserve">solid</t>
  </si>
  <si>
    <t xml:space="preserve">solid, solids</t>
  </si>
  <si>
    <t xml:space="preserve">His was a burgomaster's Beethoven, solid and sensible.</t>
  </si>
  <si>
    <t xml:space="preserve">symbol</t>
  </si>
  <si>
    <t xml:space="preserve">symbol, symbols</t>
  </si>
  <si>
    <t xml:space="preserve">The symbol for multiplication is "**b".</t>
  </si>
  <si>
    <t xml:space="preserve">twenty</t>
  </si>
  <si>
    <t xml:space="preserve">twenty, twenties</t>
  </si>
  <si>
    <t xml:space="preserve">Still another denomination had 7,360,187 members twenty years ago.</t>
  </si>
  <si>
    <t xml:space="preserve">capital</t>
  </si>
  <si>
    <t xml:space="preserve">capital, capitals</t>
  </si>
  <si>
    <t xml:space="preserve">such a move may mean a loss of capital.</t>
  </si>
  <si>
    <t xml:space="preserve">chair</t>
  </si>
  <si>
    <t xml:space="preserve">chair, chairs</t>
  </si>
  <si>
    <t xml:space="preserve">Marshall sat in one of the several leather chairs.</t>
  </si>
  <si>
    <t xml:space="preserve">chapter</t>
  </si>
  <si>
    <t xml:space="preserve">chapter, chapters</t>
  </si>
  <si>
    <t xml:space="preserve">Chapter 6 planning for the assimilation and growth of new members</t>
  </si>
  <si>
    <t xml:space="preserve">clothes</t>
  </si>
  <si>
    <t xml:space="preserve">Ma poked her toe in the kid's clothes.</t>
  </si>
  <si>
    <t xml:space="preserve">display</t>
  </si>
  <si>
    <t xml:space="preserve">display, displayed, displays</t>
  </si>
  <si>
    <t xml:space="preserve">As a reviewer, Thompson generally displayed a judicious attitude.</t>
  </si>
  <si>
    <t xml:space="preserve">famous</t>
  </si>
  <si>
    <t xml:space="preserve">Staggeringly condensed versions of famous novels and famous plays were presented.</t>
  </si>
  <si>
    <t xml:space="preserve">mount</t>
  </si>
  <si>
    <t xml:space="preserve">mounted, mount, mounting</t>
  </si>
  <si>
    <t xml:space="preserve">There will be a pilgrimage to Mount Vernon at 2:30 p.m..</t>
  </si>
  <si>
    <t xml:space="preserve">quickly</t>
  </si>
  <si>
    <t xml:space="preserve">Every decision was made quickly on sound grounds.</t>
  </si>
  <si>
    <t xml:space="preserve">regular</t>
  </si>
  <si>
    <t xml:space="preserve">regular, regulars</t>
  </si>
  <si>
    <t xml:space="preserve">She is a regular stub and twister, double geered.</t>
  </si>
  <si>
    <t xml:space="preserve">task</t>
  </si>
  <si>
    <t xml:space="preserve">task, tasks</t>
  </si>
  <si>
    <t xml:space="preserve">Our successors will have an easier task".</t>
  </si>
  <si>
    <t xml:space="preserve">belong</t>
  </si>
  <si>
    <t xml:space="preserve">belong, belongs, belonged</t>
  </si>
  <si>
    <t xml:space="preserve">Perhaps you do not know if you belong to Him.</t>
  </si>
  <si>
    <t xml:space="preserve">bird</t>
  </si>
  <si>
    <t xml:space="preserve">birds, bird</t>
  </si>
  <si>
    <t xml:space="preserve">In 1958, the Birds were 3-10 on May 1.</t>
  </si>
  <si>
    <t xml:space="preserve">capacity</t>
  </si>
  <si>
    <t xml:space="preserve">capacity, capacities</t>
  </si>
  <si>
    <t xml:space="preserve">They began to describe in detail the woman's capacity for response.</t>
  </si>
  <si>
    <t xml:space="preserve">forest</t>
  </si>
  <si>
    <t xml:space="preserve">forest, forests</t>
  </si>
  <si>
    <t xml:space="preserve">measurement</t>
  </si>
  <si>
    <t xml:space="preserve">measurements, measurement</t>
  </si>
  <si>
    <t xml:space="preserve">Measurements of skins are of little value;;</t>
  </si>
  <si>
    <t xml:space="preserve">moreover</t>
  </si>
  <si>
    <t xml:space="preserve">It is, moreover, a perfectly integrated ensemble effort.</t>
  </si>
  <si>
    <t xml:space="preserve">musical</t>
  </si>
  <si>
    <t xml:space="preserve">musical, musicals</t>
  </si>
  <si>
    <t xml:space="preserve">The Warwick Musical Theater presents "Where's Charley ? ?</t>
  </si>
  <si>
    <t xml:space="preserve">philosophy</t>
  </si>
  <si>
    <t xml:space="preserve">philosophy, philosophies</t>
  </si>
  <si>
    <t xml:space="preserve">poetry</t>
  </si>
  <si>
    <t xml:space="preserve">Poetry for a Persian is nothing less than truth and beauty.</t>
  </si>
  <si>
    <t xml:space="preserve">representative</t>
  </si>
  <si>
    <t xml:space="preserve">representative, representatives</t>
  </si>
  <si>
    <t xml:space="preserve">A more official representative is the Secretary of the Interior.</t>
  </si>
  <si>
    <t xml:space="preserve">review</t>
  </si>
  <si>
    <t xml:space="preserve">review, reviewed, reviewing</t>
  </si>
  <si>
    <t xml:space="preserve">solution</t>
  </si>
  <si>
    <t xml:space="preserve">solution, solutions</t>
  </si>
  <si>
    <t xml:space="preserve">The solution, naturally, is the bus.</t>
  </si>
  <si>
    <t xml:space="preserve">vehicle</t>
  </si>
  <si>
    <t xml:space="preserve">vehicles, vehicle</t>
  </si>
  <si>
    <t xml:space="preserve">wheel</t>
  </si>
  <si>
    <t xml:space="preserve">wheel, wheels, wheeled</t>
  </si>
  <si>
    <t xml:space="preserve">winter</t>
  </si>
  <si>
    <t xml:space="preserve">winter, winters, wintered</t>
  </si>
  <si>
    <t xml:space="preserve">Costs were held down, despite a bitter winter.</t>
  </si>
  <si>
    <t xml:space="preserve">ability</t>
  </si>
  <si>
    <t xml:space="preserve">ability, abilities</t>
  </si>
  <si>
    <t xml:space="preserve">assistance</t>
  </si>
  <si>
    <t xml:space="preserve">But they must have technical and investment assistance.</t>
  </si>
  <si>
    <t xml:space="preserve">belief</t>
  </si>
  <si>
    <t xml:space="preserve">belief, beliefs</t>
  </si>
  <si>
    <t xml:space="preserve">carefully</t>
  </si>
  <si>
    <t xml:space="preserve">It must be planned and carefully developed.</t>
  </si>
  <si>
    <t xml:space="preserve">lip</t>
  </si>
  <si>
    <t xml:space="preserve">lips, lip</t>
  </si>
  <si>
    <t xml:space="preserve">On his lips, his men following.</t>
  </si>
  <si>
    <t xml:space="preserve">provision</t>
  </si>
  <si>
    <t xml:space="preserve">provision, provisions, provisioned</t>
  </si>
  <si>
    <t xml:space="preserve">So far, no troublesome cases have arisen under this provision.</t>
  </si>
  <si>
    <t xml:space="preserve">replace</t>
  </si>
  <si>
    <t xml:space="preserve">replaced, replace, replacing</t>
  </si>
  <si>
    <t xml:space="preserve">rifle</t>
  </si>
  <si>
    <t xml:space="preserve">rifle, rifles, rifled</t>
  </si>
  <si>
    <t xml:space="preserve">It's a streamlined rifle, fast and well-made.</t>
  </si>
  <si>
    <t xml:space="preserve">shift</t>
  </si>
  <si>
    <t xml:space="preserve">shift, shifted, shifts</t>
  </si>
  <si>
    <t xml:space="preserve">These shifts will continue in the next 10 yrs..</t>
  </si>
  <si>
    <t xml:space="preserve">significant</t>
  </si>
  <si>
    <t xml:space="preserve">significant, significants</t>
  </si>
  <si>
    <t xml:space="preserve">For some significant new items see the pictures.</t>
  </si>
  <si>
    <t xml:space="preserve">strange</t>
  </si>
  <si>
    <t xml:space="preserve">strange, stranger, strangest</t>
  </si>
  <si>
    <t xml:space="preserve">Scientists and fishermen have occasionally seen strange by-products of the phenomenon.</t>
  </si>
  <si>
    <t xml:space="preserve">box</t>
  </si>
  <si>
    <t xml:space="preserve">box, boxes, boxed</t>
  </si>
  <si>
    <t xml:space="preserve">The Senator had boxed them in with their own restrictions.</t>
  </si>
  <si>
    <t xml:space="preserve">captain</t>
  </si>
  <si>
    <t xml:space="preserve">captain, captains</t>
  </si>
  <si>
    <t xml:space="preserve">The captain was gone, and the mate was gone.</t>
  </si>
  <si>
    <t xml:space="preserve">danger</t>
  </si>
  <si>
    <t xml:space="preserve">danger, dangers</t>
  </si>
  <si>
    <t xml:space="preserve">I am kept from all danger by night and by day,</t>
  </si>
  <si>
    <t xml:space="preserve">daughter</t>
  </si>
  <si>
    <t xml:space="preserve">daughter, daughters</t>
  </si>
  <si>
    <t xml:space="preserve">economy</t>
  </si>
  <si>
    <t xml:space="preserve">economy, economies</t>
  </si>
  <si>
    <t xml:space="preserve">financial</t>
  </si>
  <si>
    <t xml:space="preserve">and financial independence -- 21 per cent.</t>
  </si>
  <si>
    <t xml:space="preserve">formula</t>
  </si>
  <si>
    <t xml:space="preserve">formula, formulas, formulae</t>
  </si>
  <si>
    <t xml:space="preserve">gray</t>
  </si>
  <si>
    <t xml:space="preserve">gray, graying, grayer</t>
  </si>
  <si>
    <t xml:space="preserve">His tweed suit was a baggy gray and green.</t>
  </si>
  <si>
    <t xml:space="preserve">insist</t>
  </si>
  <si>
    <t xml:space="preserve">insisted, insist, insists</t>
  </si>
  <si>
    <t xml:space="preserve">But he insisted that it be housed in a special museum.</t>
  </si>
  <si>
    <t xml:space="preserve">judgment</t>
  </si>
  <si>
    <t xml:space="preserve">judgment, judgments</t>
  </si>
  <si>
    <t xml:space="preserve">Here they are, with my comments and judgments.</t>
  </si>
  <si>
    <t xml:space="preserve">otherwise</t>
  </si>
  <si>
    <t xml:space="preserve">Otherwise, UN will march blindly on to certain defeat.</t>
  </si>
  <si>
    <t xml:space="preserve">rain</t>
  </si>
  <si>
    <t xml:space="preserve">rain, raining, rains</t>
  </si>
  <si>
    <t xml:space="preserve">It was a clear night and it was raining ! !</t>
  </si>
  <si>
    <t xml:space="preserve">scientific</t>
  </si>
  <si>
    <t xml:space="preserve">Then came the scientific revolution in the late 1920's.</t>
  </si>
  <si>
    <t xml:space="preserve">exchange</t>
  </si>
  <si>
    <t xml:space="preserve">exchange, exchanged, exchanges</t>
  </si>
  <si>
    <t xml:space="preserve">The photochemical exchange in the gas phase.</t>
  </si>
  <si>
    <t xml:space="preserve">flower</t>
  </si>
  <si>
    <t xml:space="preserve">flowers, flower, flowered</t>
  </si>
  <si>
    <t xml:space="preserve">The family requests that flowers be omitted.</t>
  </si>
  <si>
    <t xml:space="preserve">narrow</t>
  </si>
  <si>
    <t xml:space="preserve">narrow, narrowed, narrower</t>
  </si>
  <si>
    <t xml:space="preserve">The side ones are a half-inch narrower.</t>
  </si>
  <si>
    <t xml:space="preserve">occasion</t>
  </si>
  <si>
    <t xml:space="preserve">occasion, occasions, occasioned</t>
  </si>
  <si>
    <t xml:space="preserve">They, on occasion, posed as addicts and peddlers".</t>
  </si>
  <si>
    <t xml:space="preserve">perform</t>
  </si>
  <si>
    <t xml:space="preserve">performed, perform, performing</t>
  </si>
  <si>
    <t xml:space="preserve">they perform at many campus social events.</t>
  </si>
  <si>
    <t xml:space="preserve">quiet</t>
  </si>
  <si>
    <t xml:space="preserve">quiet, quieter, quieted</t>
  </si>
  <si>
    <t xml:space="preserve">Instead Sergeant Early was quiet, sharp and confident.</t>
  </si>
  <si>
    <t xml:space="preserve">relatively</t>
  </si>
  <si>
    <t xml:space="preserve">schedule</t>
  </si>
  <si>
    <t xml:space="preserve">scheduled, schedule, schedules</t>
  </si>
  <si>
    <t xml:space="preserve">stretch</t>
  </si>
  <si>
    <t xml:space="preserve">stretched, stretch, stretching</t>
  </si>
  <si>
    <t xml:space="preserve">Such stretches have an inhuman moonlike quality.</t>
  </si>
  <si>
    <t xml:space="preserve">achievement</t>
  </si>
  <si>
    <t xml:space="preserve">achievement, achievements</t>
  </si>
  <si>
    <t xml:space="preserve">Copernicus' achievement was to have invented systematic astronomy.</t>
  </si>
  <si>
    <t xml:space="preserve">assign</t>
  </si>
  <si>
    <t xml:space="preserve">assigned, assign, assigning</t>
  </si>
  <si>
    <t xml:space="preserve">We cannot, of course, assign it any substance.</t>
  </si>
  <si>
    <t xml:space="preserve">atmosphere</t>
  </si>
  <si>
    <t xml:space="preserve">atmosphere, atmospheres</t>
  </si>
  <si>
    <t xml:space="preserve">It had a bucolic atmosphere that it has lost long since.</t>
  </si>
  <si>
    <t xml:space="preserve">aware</t>
  </si>
  <si>
    <t xml:space="preserve">But today we were aware of only two men.</t>
  </si>
  <si>
    <t xml:space="preserve">connection</t>
  </si>
  <si>
    <t xml:space="preserve">connection, connections</t>
  </si>
  <si>
    <t xml:space="preserve">"He has very good connections".</t>
  </si>
  <si>
    <t xml:space="preserve">impossible</t>
  </si>
  <si>
    <t xml:space="preserve">Both eventualities are possible logically, but practically they are impossible.</t>
  </si>
  <si>
    <t xml:space="preserve">indian</t>
  </si>
  <si>
    <t xml:space="preserve">indian, indians</t>
  </si>
  <si>
    <t xml:space="preserve">Probably the last of the original Island Indians.</t>
  </si>
  <si>
    <t xml:space="preserve">neck</t>
  </si>
  <si>
    <t xml:space="preserve">neck, necks, necking</t>
  </si>
  <si>
    <t xml:space="preserve">previous</t>
  </si>
  <si>
    <t xml:space="preserve">rich</t>
  </si>
  <si>
    <t xml:space="preserve">rich, richest, richer</t>
  </si>
  <si>
    <t xml:space="preserve">village</t>
  </si>
  <si>
    <t xml:space="preserve">village, villages</t>
  </si>
  <si>
    <t xml:space="preserve">they read every book that they could borrow in the village.</t>
  </si>
  <si>
    <t xml:space="preserve">agent</t>
  </si>
  <si>
    <t xml:space="preserve">agent, agents</t>
  </si>
  <si>
    <t xml:space="preserve">Have a talk with your insurance agent.</t>
  </si>
  <si>
    <t xml:space="preserve">credit</t>
  </si>
  <si>
    <t xml:space="preserve">credit, credited, credits</t>
  </si>
  <si>
    <t xml:space="preserve">essential</t>
  </si>
  <si>
    <t xml:space="preserve">essential, essentials</t>
  </si>
  <si>
    <t xml:space="preserve">fashion</t>
  </si>
  <si>
    <t xml:space="preserve">fashion, fashioned, fashions</t>
  </si>
  <si>
    <t xml:space="preserve">henry</t>
  </si>
  <si>
    <t xml:space="preserve">Henry Ford spoke of me as "utterly astounding".</t>
  </si>
  <si>
    <t xml:space="preserve">knife</t>
  </si>
  <si>
    <t xml:space="preserve">knife, knives</t>
  </si>
  <si>
    <t xml:space="preserve">Mr. Felix Miranda, of the Imperial Knife Co.;;</t>
  </si>
  <si>
    <t xml:space="preserve">reference</t>
  </si>
  <si>
    <t xml:space="preserve">reference, references</t>
  </si>
  <si>
    <t xml:space="preserve">There is also the problem of the respondent's frame of reference.</t>
  </si>
  <si>
    <t xml:space="preserve">republican</t>
  </si>
  <si>
    <t xml:space="preserve">republican, republicans</t>
  </si>
  <si>
    <t xml:space="preserve">request</t>
  </si>
  <si>
    <t xml:space="preserve">request, requests, requested</t>
  </si>
  <si>
    <t xml:space="preserve">No request for emergency allotment had yet been received, however.</t>
  </si>
  <si>
    <t xml:space="preserve">seed</t>
  </si>
  <si>
    <t xml:space="preserve">seeds, seed</t>
  </si>
  <si>
    <t xml:space="preserve">slightly</t>
  </si>
  <si>
    <t xml:space="preserve">Recess base slightly to allow room for stopper.</t>
  </si>
  <si>
    <t xml:space="preserve">understanding</t>
  </si>
  <si>
    <t xml:space="preserve">understanding, understandings</t>
  </si>
  <si>
    <t xml:space="preserve">yesterday</t>
  </si>
  <si>
    <t xml:space="preserve">aim</t>
  </si>
  <si>
    <t xml:space="preserve">aim, aimed, aims</t>
  </si>
  <si>
    <t xml:space="preserve">appropriate</t>
  </si>
  <si>
    <t xml:space="preserve">appropriate, appropriated, appropriating</t>
  </si>
  <si>
    <t xml:space="preserve">Appropriate experiments showed that this is, indeed, possible.</t>
  </si>
  <si>
    <t xml:space="preserve">award</t>
  </si>
  <si>
    <t xml:space="preserve">award, awards, awarded</t>
  </si>
  <si>
    <t xml:space="preserve">divide</t>
  </si>
  <si>
    <t xml:space="preserve">divided, divide, dividing</t>
  </si>
  <si>
    <t xml:space="preserve">America has divided more than she has united the West.</t>
  </si>
  <si>
    <t xml:space="preserve">fair</t>
  </si>
  <si>
    <t xml:space="preserve">fair, fairing, fairest</t>
  </si>
  <si>
    <t xml:space="preserve">fat</t>
  </si>
  <si>
    <t xml:space="preserve">fat, fats, fatter</t>
  </si>
  <si>
    <t xml:space="preserve">Saturated fats can accommodate no more hydrogens.</t>
  </si>
  <si>
    <t xml:space="preserve">fresh</t>
  </si>
  <si>
    <t xml:space="preserve">guess</t>
  </si>
  <si>
    <t xml:space="preserve">guess, guessed, guessing</t>
  </si>
  <si>
    <t xml:space="preserve">interesting</t>
  </si>
  <si>
    <t xml:space="preserve">The Draft Program was interesting in other respects, too.</t>
  </si>
  <si>
    <t xml:space="preserve">load</t>
  </si>
  <si>
    <t xml:space="preserve">load, loaded, loads</t>
  </si>
  <si>
    <t xml:space="preserve">This is a varmint load, pure and simple;;</t>
  </si>
  <si>
    <t xml:space="preserve">loan</t>
  </si>
  <si>
    <t xml:space="preserve">loan, loans, loaned</t>
  </si>
  <si>
    <t xml:space="preserve">recall</t>
  </si>
  <si>
    <t xml:space="preserve">recall, recalled, recalls</t>
  </si>
  <si>
    <t xml:space="preserve">I recall that several years their taxes exceeded $800.</t>
  </si>
  <si>
    <t xml:space="preserve">ring</t>
  </si>
  <si>
    <t xml:space="preserve">ring, rang, ringing</t>
  </si>
  <si>
    <t xml:space="preserve">four rings, a watch and a set of pearl earrings.</t>
  </si>
  <si>
    <t xml:space="preserve">shout</t>
  </si>
  <si>
    <t xml:space="preserve">shouted, shouting, shout</t>
  </si>
  <si>
    <t xml:space="preserve">Tossing his rope and shouting he attracted her attention.</t>
  </si>
  <si>
    <t xml:space="preserve">speech</t>
  </si>
  <si>
    <t xml:space="preserve">speech, speeches</t>
  </si>
  <si>
    <t xml:space="preserve">Some of their figures of speech were colorful and expressive.</t>
  </si>
  <si>
    <t xml:space="preserve">taste</t>
  </si>
  <si>
    <t xml:space="preserve">taste, tastes, tasted</t>
  </si>
  <si>
    <t xml:space="preserve">beside</t>
  </si>
  <si>
    <t xml:space="preserve">Who will take Stalin's place beside Lenin ? ?</t>
  </si>
  <si>
    <t xml:space="preserve">plus</t>
  </si>
  <si>
    <t xml:space="preserve">We have Af, plus tangent points.</t>
  </si>
  <si>
    <t xml:space="preserve">yourself</t>
  </si>
  <si>
    <t xml:space="preserve">Why are you out here all by yourself ? ?</t>
  </si>
  <si>
    <t xml:space="preserve">ourselves</t>
  </si>
  <si>
    <t xml:space="preserve">towards</t>
  </si>
  <si>
    <t xml:space="preserve">Only imcomplete, imperfect things move towards what they lack.</t>
  </si>
  <si>
    <t xml:space="preserve">concerning</t>
  </si>
  <si>
    <t xml:space="preserve">Your continuing editorials concerning the Schuylkill Expressway are valuable;;</t>
  </si>
  <si>
    <t xml:space="preserve">onto</t>
  </si>
  <si>
    <t xml:space="preserve">See, Communese is easy -- once you get onto it.</t>
  </si>
  <si>
    <t xml:space="preserve">beneath</t>
  </si>
  <si>
    <t xml:space="preserve">Side fences were hidden beneath lilacs and hundred-leaf roses;;</t>
  </si>
  <si>
    <t xml:space="preserve">till</t>
  </si>
  <si>
    <t xml:space="preserve">till, tilled</t>
  </si>
  <si>
    <t xml:space="preserve">We'll wait till you're stronger and then talk about it".</t>
  </si>
  <si>
    <t xml:space="preserve">unlike</t>
  </si>
  <si>
    <t xml:space="preserve">Unlike Susan, she was traveling light;;</t>
  </si>
  <si>
    <t xml:space="preserve">whereas</t>
  </si>
  <si>
    <t xml:space="preserve">regarding</t>
  </si>
  <si>
    <t xml:space="preserve">for example, those regarding material objects and pragmatic ends.</t>
  </si>
  <si>
    <t xml:space="preserve">might</t>
  </si>
  <si>
    <t xml:space="preserve">Some observers speculated that this might be his revenge on his home town.</t>
  </si>
  <si>
    <t xml:space="preserve">Axis (weight)</t>
  </si>
  <si>
    <t xml:space="preserve">Pole</t>
  </si>
  <si>
    <t xml:space="preserve">Side</t>
  </si>
  <si>
    <t xml:space="preserve">Anchor pronoun</t>
  </si>
  <si>
    <t xml:space="preserve">Character</t>
  </si>
  <si>
    <t xml:space="preserve">What goes there</t>
  </si>
  <si>
    <t xml:space="preserve">Context</t>
  </si>
  <si>
    <t xml:space="preserve">up (North)</t>
  </si>
  <si>
    <t xml:space="preserve">We</t>
  </si>
  <si>
    <t xml:space="preserve">Possibility</t>
  </si>
  <si>
    <t xml:space="preserve">future, possibility, condition, purpose; the open, the not yet identified</t>
  </si>
  <si>
    <t xml:space="preserve">World</t>
  </si>
  <si>
    <t xml:space="preserve">down (South)</t>
  </si>
  <si>
    <t xml:space="preserve">That</t>
  </si>
  <si>
    <t xml:space="preserve">logical</t>
  </si>
  <si>
    <t xml:space="preserve">past, negation, danger, closure, result; the established, what already exists</t>
  </si>
  <si>
    <t xml:space="preserve">Imposition</t>
  </si>
  <si>
    <t xml:space="preserve">right (East)</t>
  </si>
  <si>
    <t xml:space="preserve">Sensory</t>
  </si>
  <si>
    <t xml:space="preserve">the sensory, the concrete; the speaker imposes</t>
  </si>
  <si>
    <t xml:space="preserve">Adaptation</t>
  </si>
  <si>
    <t xml:space="preserve">left (West)</t>
  </si>
  <si>
    <t xml:space="preserve">You</t>
  </si>
  <si>
    <t xml:space="preserve">structural</t>
  </si>
  <si>
    <t xml:space="preserve">the relational, structural, social; the listener; what adapts or receives</t>
  </si>
  <si>
    <t xml:space="preserve">SCALE: integers from 0 to 10 (0 = no weight on that axis).</t>
  </si>
  <si>
    <t xml:space="preserve">FORMULAS:  x = (Lv − Gv) / 2    y = (V − I) / 2    column = ceil(x + 5)    row = ceil(5 − y)    (10 × 10 grid; row 1 = Context, row 10 = World; column 1 = Adaptation, column 10 = Imposition).</t>
  </si>
  <si>
    <t xml:space="preserve">TENSE: it runs vertically. Past = South (low y); future = North (high y); the PRESENT is the east–west band (y ≈ 0). A past shift is V−2, I+3; a future one V+3, I−2; negation V−3, I+3.</t>
  </si>
  <si>
    <t xml:space="preserve">MODE: a question lives in the North (V+2, I−2); an exclamation in the South (V−2, I+2).</t>
  </si>
  <si>
    <t xml:space="preserve">PERSPECTIVE: the asker's 'you' is 'I' for the LCM (Imposition) and their 'me' is 'you' (Adaptation).</t>
  </si>
  <si>
    <t xml:space="preserve">TENSION = min(V, I): separates the ambivalent (fire V=I=8) from the neutral (stone V=I=1), which the position collapses to the same point.</t>
  </si>
  <si>
    <t xml:space="preserve">CURRENT DEFAULT WEIGHTS by type (automatic first pass): biological = V + Gv; non_biological = I + Lv; action = Lv; quality = Gv; plus the per-axis lists from Unique Host and the load of 597 hand-made concepts.</t>
  </si>
  <si>
    <t xml:space="preserve">EXISTING ANCHORS (word)</t>
  </si>
  <si>
    <t xml:space="preserve">x, y · cell</t>
  </si>
  <si>
    <t xml:space="preserve">we  [pronombre]</t>
  </si>
  <si>
    <t xml:space="preserve">(+0.0, +5.0) · cell 1,5</t>
  </si>
  <si>
    <t xml:space="preserve">that  [pronombre]</t>
  </si>
  <si>
    <t xml:space="preserve">(+0.0, -5.0) · cell 10,5</t>
  </si>
  <si>
    <t xml:space="preserve">i  [pronombre]</t>
  </si>
  <si>
    <t xml:space="preserve">(+5.0, +2.0) · cell 3,10</t>
  </si>
  <si>
    <t xml:space="preserve">you  [pronombre]</t>
  </si>
  <si>
    <t xml:space="preserve">(-5.0, +2.0) · cell 3,1</t>
  </si>
  <si>
    <t xml:space="preserve">me  [pronombre]</t>
  </si>
  <si>
    <t xml:space="preserve">he  [pronombre]</t>
  </si>
  <si>
    <t xml:space="preserve">(-2.0, +2.5) · cell 3,3</t>
  </si>
  <si>
    <t xml:space="preserve">story  [non_biological]</t>
  </si>
  <si>
    <t xml:space="preserve">(-2.0, -1.5) · cell 7,3</t>
  </si>
  <si>
    <t xml:space="preserve">tell  [action]</t>
  </si>
  <si>
    <t xml:space="preserve">(-2.0, +1.5) · cell 4,3</t>
  </si>
  <si>
    <t xml:space="preserve">then  [CA]</t>
  </si>
  <si>
    <t xml:space="preserve">next  [quality]</t>
  </si>
  <si>
    <t xml:space="preserve">(-2.5, +0.5) · cell 5,3</t>
  </si>
  <si>
    <t xml:space="preserve">finally  [quality]</t>
  </si>
  <si>
    <t xml:space="preserve">(-4.0, +1.0) · cell 4,1</t>
  </si>
  <si>
    <t xml:space="preserve">because  [SC]</t>
  </si>
  <si>
    <t xml:space="preserve">(-3.0, -1.0) · cell 6,2</t>
  </si>
  <si>
    <t xml:space="preserve">but  [CC]</t>
  </si>
  <si>
    <t xml:space="preserve">however  [CA]</t>
  </si>
  <si>
    <t xml:space="preserve">(-1.5, -3.5) · cell 9,4</t>
  </si>
  <si>
    <t xml:space="preserve">if  [SC]</t>
  </si>
  <si>
    <t xml:space="preserve">(-1.5, +4.0) · cell 1,4</t>
  </si>
  <si>
    <t xml:space="preserve">and  [CC]</t>
  </si>
  <si>
    <t xml:space="preserve">(-3.0, +1.0) · cell 4,2</t>
  </si>
  <si>
    <t xml:space="preserve">who  [REL]</t>
  </si>
  <si>
    <t xml:space="preserve">(-3.0, +0.5) · cell 5,2</t>
  </si>
  <si>
    <t xml:space="preserve">PROVISIONAL FUNCTION WORDS (lcm/function_words.py)</t>
  </si>
  <si>
    <t xml:space="preserve">reason (draft assignment, uncalibrated)</t>
  </si>
  <si>
    <t xml:space="preserve">indefinite: new unit, not yet identified = possibility (Context)</t>
  </si>
  <si>
    <t xml:space="preserve">definido: ya identificado y compartido = establecido (World)</t>
  </si>
  <si>
    <t xml:space="preserve">existential: exists in the world, far from the speaker (World, not Imposition)</t>
  </si>
  <si>
    <t xml:space="preserve">FORMAT EXAMPLE (not an accepted assignment)</t>
  </si>
  <si>
    <t xml:space="preserve">existential: exists in the world, far from the speaker (World; little Imposition)</t>
  </si>
  <si>
    <t xml:space="preserve">nodes</t>
  </si>
  <si>
    <t xml:space="preserve">% of the table</t>
  </si>
  <si>
    <t xml:space="preserve">most frequent words in that cell (corpus)</t>
  </si>
  <si>
    <t xml:space="preserve">man, woman, boy, girl, student, god, miss, human, friend, spirit</t>
  </si>
  <si>
    <t xml:space="preserve">he, his, they, her, she, their, him, them, people, himself</t>
  </si>
  <si>
    <t xml:space="preserve">president, secretary, officer, communist, director, manager, soldier, king, governor, captain</t>
  </si>
  <si>
    <t xml:space="preserve">teacher, writer, doctor, artist, representative, reader, attorney, professor, author, witness</t>
  </si>
  <si>
    <t xml:space="preserve">child, member, wife, son, husband, poet, brother, parent, master, kid</t>
  </si>
  <si>
    <t xml:space="preserve">head, foot, arm, hair, leg, tooth, shoulder, mouth, finger, lip</t>
  </si>
  <si>
    <t xml:space="preserve">tree, seed, root, grass, fruit, alexander, crop, corn, nut, bush</t>
  </si>
  <si>
    <t xml:space="preserve">couple, creature, settlement, mouse, bull, pig, faction, freeman, militia, crow</t>
  </si>
  <si>
    <t xml:space="preserve">character, bird, fish, angel, pet, gabriel, michael, fairy, griffin, banshee</t>
  </si>
  <si>
    <t xml:space="preserve">muscle, tissue, bone, stomach, lung, nerve, vessel, organ, liver, gut</t>
  </si>
  <si>
    <t xml:space="preserve">body, flesh, sweat, lid, hormone, plasma, gene, insulin, bodies, cum</t>
  </si>
  <si>
    <t xml:space="preserve">murderer, thief, pirate, assassin, brute, kidnapper, executioner, intruder, raider, pirates</t>
  </si>
  <si>
    <t xml:space="preserve">will, much, say, only, know, two, first, many, think, too</t>
  </si>
  <si>
    <t xml:space="preserve">use, work, little, house, feel, course, open, war, study, service</t>
  </si>
  <si>
    <t xml:space="preserve">have, get, good, give, find, way, need, hold, keep, force</t>
  </si>
  <si>
    <t xml:space="preserve">state, home, area, city, side, field, position, center, town, south</t>
  </si>
  <si>
    <t xml:space="preserve">life, thing, school, line, government, country, church, business, law, company</t>
  </si>
  <si>
    <t xml:space="preserve">new, high, american, social, national, possible, individual, local, really, sure</t>
  </si>
  <si>
    <t xml:space="preserve">place, world, light, night, street, art, road, base, picture, ground</t>
  </si>
  <si>
    <t xml:space="preserve">can, become, begin, start, john, reason, remain, office, grow, happen</t>
  </si>
  <si>
    <t xml:space="preserve">go, come, leave, turn, follow, large, move, bring, big, second</t>
  </si>
  <si>
    <t xml:space="preserve">do, make, take, unite, help, let, kind, require, spend, operate</t>
  </si>
  <si>
    <t xml:space="preserve">stand, put, set, sit, carry, cut, cover, draw, pull, hit</t>
  </si>
  <si>
    <t xml:space="preserve">now, last, part, early, present, always, next, often, later, future</t>
  </si>
  <si>
    <t xml:space="preserve">current axis (most common)</t>
  </si>
  <si>
    <t xml:space="preserve">no. of connectors</t>
  </si>
  <si>
    <t xml:space="preserve">clases</t>
  </si>
  <si>
    <t xml:space="preserve">examples</t>
  </si>
  <si>
    <t xml:space="preserve">clauses</t>
  </si>
  <si>
    <t xml:space="preserve">complementizer (question)</t>
  </si>
  <si>
    <t xml:space="preserve">North</t>
  </si>
  <si>
    <t xml:space="preserve">COMP</t>
  </si>
  <si>
    <t xml:space="preserve">whether, if (complementizer)</t>
  </si>
  <si>
    <t xml:space="preserve">complementizer (that)</t>
  </si>
  <si>
    <t xml:space="preserve">that (complementizer)</t>
  </si>
  <si>
    <t xml:space="preserve">relative</t>
  </si>
  <si>
    <t xml:space="preserve">West</t>
  </si>
  <si>
    <t xml:space="preserve">REL</t>
  </si>
  <si>
    <t xml:space="preserve">who, whom, whose, which, that (relative)</t>
  </si>
  <si>
    <t xml:space="preserve">relative (adverb)</t>
  </si>
  <si>
    <t xml:space="preserve">where, when (relative), why</t>
  </si>
  <si>
    <t xml:space="preserve">stance adjunct</t>
  </si>
  <si>
    <t xml:space="preserve">STANCE</t>
  </si>
  <si>
    <t xml:space="preserve">frankly, honestly, clearly, obviously, apparently, surprisingly</t>
  </si>
  <si>
    <t xml:space="preserve">stance adjunct (+)</t>
  </si>
  <si>
    <t xml:space="preserve">fortunately</t>
  </si>
  <si>
    <t xml:space="preserve">stance adjunct (−)</t>
  </si>
  <si>
    <t xml:space="preserve">unfortunately, sadly</t>
  </si>
  <si>
    <t xml:space="preserve">comparison</t>
  </si>
  <si>
    <t xml:space="preserve">SC</t>
  </si>
  <si>
    <t xml:space="preserve">than, as…as, the more…the more, in the same way</t>
  </si>
  <si>
    <t xml:space="preserve">concession</t>
  </si>
  <si>
    <t xml:space="preserve">although, even though, albeit, despite, in spite of, though (concessive)</t>
  </si>
  <si>
    <t xml:space="preserve">CC, SC, TP</t>
  </si>
  <si>
    <t xml:space="preserve">but, on the other hand, in contrast, by contrast, whereas, while (contrast)</t>
  </si>
  <si>
    <t xml:space="preserve">contrast (discourse)</t>
  </si>
  <si>
    <t xml:space="preserve">South</t>
  </si>
  <si>
    <t xml:space="preserve">CA, TP</t>
  </si>
  <si>
    <t xml:space="preserve">however, nevertheless, nonetheless, conversely, otherwise, still (contrast), yet (contrast)</t>
  </si>
  <si>
    <t xml:space="preserve">as if, as though, like (manner), the way</t>
  </si>
  <si>
    <t xml:space="preserve">contingency</t>
  </si>
  <si>
    <t xml:space="preserve">PREP, SC</t>
  </si>
  <si>
    <t xml:space="preserve">because, now that, given that, since (causal), as (causal), for (causal), because of</t>
  </si>
  <si>
    <t xml:space="preserve">if, even if, provided (that), providing, as long as, so long as, in case</t>
  </si>
  <si>
    <t xml:space="preserve">condition (negative)</t>
  </si>
  <si>
    <t xml:space="preserve">hypothetical</t>
  </si>
  <si>
    <t xml:space="preserve">if only</t>
  </si>
  <si>
    <t xml:space="preserve">so that, in order to, in order that</t>
  </si>
  <si>
    <t xml:space="preserve">purpose (negative)</t>
  </si>
  <si>
    <t xml:space="preserve">lest, for fear that</t>
  </si>
  <si>
    <t xml:space="preserve">CA, CC, TP</t>
  </si>
  <si>
    <t xml:space="preserve">therefore, thus, hence, consequently, accordingly, as a result, so…that</t>
  </si>
  <si>
    <t xml:space="preserve">expansion</t>
  </si>
  <si>
    <t xml:space="preserve">additive</t>
  </si>
  <si>
    <t xml:space="preserve">CC</t>
  </si>
  <si>
    <t xml:space="preserve">and, also, too, plus</t>
  </si>
  <si>
    <t xml:space="preserve">additive (we/us)</t>
  </si>
  <si>
    <t xml:space="preserve">CA, CORR, TP</t>
  </si>
  <si>
    <t xml:space="preserve">moreover, furthermore, besides, additionally, likewise, similarly, in addition</t>
  </si>
  <si>
    <t xml:space="preserve">alternative</t>
  </si>
  <si>
    <t xml:space="preserve">CA, CC, CORR</t>
  </si>
  <si>
    <t xml:space="preserve">or, either…or, alternatively</t>
  </si>
  <si>
    <t xml:space="preserve">alternative (substitution)</t>
  </si>
  <si>
    <t xml:space="preserve">CA</t>
  </si>
  <si>
    <t xml:space="preserve">instead, rather, or else</t>
  </si>
  <si>
    <t xml:space="preserve">clarification</t>
  </si>
  <si>
    <t xml:space="preserve">West/South</t>
  </si>
  <si>
    <t xml:space="preserve">TP</t>
  </si>
  <si>
    <t xml:space="preserve">in other words, that is, i.e., to put it another way</t>
  </si>
  <si>
    <t xml:space="preserve">clarification (speaker)</t>
  </si>
  <si>
    <t xml:space="preserve">I mean, what I mean is</t>
  </si>
  <si>
    <t xml:space="preserve">emphasis</t>
  </si>
  <si>
    <t xml:space="preserve">indeed, in fact, actually, especially, certainly, as a matter of fact, above all</t>
  </si>
  <si>
    <t xml:space="preserve">exception</t>
  </si>
  <si>
    <t xml:space="preserve">except, except that, apart from, other than, but for, save</t>
  </si>
  <si>
    <t xml:space="preserve">exemplification</t>
  </si>
  <si>
    <t xml:space="preserve">for example, for instance, such as, including, e.g., in particular, specifically</t>
  </si>
  <si>
    <t xml:space="preserve">hedge / nuance</t>
  </si>
  <si>
    <t xml:space="preserve">in a way, sort of, kind of, somewhat, a bit, more or less</t>
  </si>
  <si>
    <t xml:space="preserve">negative alternative</t>
  </si>
  <si>
    <t xml:space="preserve">CC, CORR</t>
  </si>
  <si>
    <t xml:space="preserve">nor, neither…nor</t>
  </si>
  <si>
    <t xml:space="preserve">topic shift</t>
  </si>
  <si>
    <t xml:space="preserve">by the way, incidentally, anyway, anyhow, as for, speaking of, regarding</t>
  </si>
  <si>
    <t xml:space="preserve">punctuation</t>
  </si>
  <si>
    <t xml:space="preserve">PUNCT</t>
  </si>
  <si>
    <t xml:space="preserve">?, &amp;, /, …, " ", ,, :</t>
  </si>
  <si>
    <t xml:space="preserve">temporal</t>
  </si>
  <si>
    <t xml:space="preserve">precedence</t>
  </si>
  <si>
    <t xml:space="preserve">CA, SC</t>
  </si>
  <si>
    <t xml:space="preserve">before, until, till, by the time, previously, earlier</t>
  </si>
  <si>
    <t xml:space="preserve">sequence</t>
  </si>
  <si>
    <t xml:space="preserve">second, third</t>
  </si>
  <si>
    <t xml:space="preserve">sequence (opens)</t>
  </si>
  <si>
    <t xml:space="preserve">first, to begin with</t>
  </si>
  <si>
    <t xml:space="preserve">sequence (closes)</t>
  </si>
  <si>
    <t xml:space="preserve">finally, lastly</t>
  </si>
  <si>
    <t xml:space="preserve">simultaneity</t>
  </si>
  <si>
    <t xml:space="preserve">when, whenever, while (temporal), as (temporal)</t>
  </si>
  <si>
    <t xml:space="preserve">simultaneity (now)</t>
  </si>
  <si>
    <t xml:space="preserve">meanwhile, at the same time</t>
  </si>
  <si>
    <t xml:space="preserve">succession</t>
  </si>
  <si>
    <t xml:space="preserve">after, once, as soon as, since (temporal)</t>
  </si>
  <si>
    <t xml:space="preserve">succession (adverb)</t>
  </si>
  <si>
    <t xml:space="preserve">then, next, afterwards, later, subsequently</t>
  </si>
  <si>
    <t xml:space="preserve">summary / conclusion</t>
  </si>
  <si>
    <t xml:space="preserve">in conclusion, to sum up, in short, in summary, overall, all in all, to conclude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</si>
</sst>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2" t="s">
        <v>1</v>
      </c>
    </row>
    <row r="4" customFormat="false" ht="23.2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2" t="s">
        <v>3</v>
      </c>
    </row>
    <row r="7" customFormat="false" ht="23.2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2" t="s">
        <v>6</v>
      </c>
    </row>
    <row r="11" customFormat="false" ht="23.2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2" t="s">
        <v>8</v>
      </c>
    </row>
    <row r="14" customFormat="false" ht="23.25" hidden="false" customHeight="true" outlineLevel="0" collapsed="false">
      <c r="A14" s="3" t="s">
        <v>9</v>
      </c>
    </row>
    <row r="15" customFormat="false" ht="23.25" hidden="false" customHeight="true" outlineLevel="0" collapsed="false">
      <c r="A15" s="3" t="s">
        <v>10</v>
      </c>
    </row>
    <row r="16" customFormat="false" ht="23.2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2" t="s">
        <v>12</v>
      </c>
    </row>
    <row r="19" customFormat="false" ht="23.25" hidden="false" customHeight="true" outlineLevel="0" collapsed="false">
      <c r="A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8" min="7" style="1" width="9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9" min="12" style="1" width="7"/>
    <col collapsed="false" customWidth="true" hidden="false" outlineLevel="0" max="20" min="20" style="1" width="60"/>
    <col collapsed="false" customWidth="true" hidden="false" outlineLevel="0" max="28" min="21" style="1" width="7"/>
    <col collapsed="false" customWidth="true" hidden="false" outlineLevel="0" max="30" min="29" style="1" width="3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</row>
    <row r="2" customFormat="false" ht="15" hidden="false" customHeight="true" outlineLevel="0" collapsed="false">
      <c r="A2" s="5" t="n">
        <v>1</v>
      </c>
      <c r="B2" s="5" t="s">
        <v>44</v>
      </c>
      <c r="C2" s="5" t="s">
        <v>45</v>
      </c>
      <c r="D2" s="5" t="s">
        <v>46</v>
      </c>
      <c r="E2" s="5" t="n">
        <v>69971</v>
      </c>
      <c r="F2" s="5" t="s">
        <v>44</v>
      </c>
      <c r="G2" s="5" t="n">
        <v>1</v>
      </c>
      <c r="H2" s="5" t="s">
        <v>47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48</v>
      </c>
      <c r="U2" s="6"/>
      <c r="V2" s="6"/>
      <c r="W2" s="6"/>
      <c r="X2" s="6"/>
      <c r="Y2" s="7" t="str">
        <f aca="false">IF(COUNT(U2:X2)=4,(W2-X2)/2,"")</f>
        <v/>
      </c>
      <c r="Z2" s="7" t="str">
        <f aca="false">IF(COUNT(U2:X2)=4,(U2-V2)/2,"")</f>
        <v/>
      </c>
      <c r="AA2" s="7" t="str">
        <f aca="false">IF(COUNT(U2:X2)=4,MAX(1,MIN(10,ROUNDUP(5-Z2,0))),"")</f>
        <v/>
      </c>
      <c r="AB2" s="7" t="str">
        <f aca="false">IF(COUNT(U2:X2)=4,MAX(1,MIN(10,ROUNDUP(Y2+5,0))),"")</f>
        <v/>
      </c>
      <c r="AC2" s="6"/>
      <c r="AD2" s="6"/>
    </row>
    <row r="3" customFormat="false" ht="15" hidden="false" customHeight="true" outlineLevel="0" collapsed="false">
      <c r="A3" s="5" t="n">
        <v>2</v>
      </c>
      <c r="B3" s="5" t="s">
        <v>49</v>
      </c>
      <c r="C3" s="5" t="s">
        <v>50</v>
      </c>
      <c r="D3" s="5" t="s">
        <v>51</v>
      </c>
      <c r="E3" s="5" t="n">
        <v>37359</v>
      </c>
      <c r="F3" s="5" t="s">
        <v>52</v>
      </c>
      <c r="G3" s="5" t="n">
        <v>3</v>
      </c>
      <c r="H3" s="5" t="s">
        <v>53</v>
      </c>
      <c r="I3" s="5" t="s">
        <v>54</v>
      </c>
      <c r="J3" s="5" t="s">
        <v>55</v>
      </c>
      <c r="K3" s="5" t="s">
        <v>55</v>
      </c>
      <c r="L3" s="5" t="n">
        <v>4</v>
      </c>
      <c r="M3" s="5" t="n">
        <v>3</v>
      </c>
      <c r="N3" s="5" t="n">
        <v>5</v>
      </c>
      <c r="O3" s="5" t="n">
        <v>5</v>
      </c>
      <c r="P3" s="5" t="n">
        <v>0</v>
      </c>
      <c r="Q3" s="5" t="n">
        <v>0.5</v>
      </c>
      <c r="R3" s="5" t="n">
        <v>5</v>
      </c>
      <c r="S3" s="5" t="n">
        <v>5</v>
      </c>
      <c r="T3" s="5" t="s">
        <v>56</v>
      </c>
      <c r="U3" s="6"/>
      <c r="V3" s="6"/>
      <c r="W3" s="6"/>
      <c r="X3" s="6"/>
      <c r="Y3" s="7" t="str">
        <f aca="false">IF(COUNT(U3:X3)=4,(W3-X3)/2,"")</f>
        <v/>
      </c>
      <c r="Z3" s="7" t="str">
        <f aca="false">IF(COUNT(U3:X3)=4,(U3-V3)/2,"")</f>
        <v/>
      </c>
      <c r="AA3" s="7" t="str">
        <f aca="false">IF(COUNT(U3:X3)=4,MAX(1,MIN(10,ROUNDUP(5-Z3,0))),"")</f>
        <v/>
      </c>
      <c r="AB3" s="7" t="str">
        <f aca="false">IF(COUNT(U3:X3)=4,MAX(1,MIN(10,ROUNDUP(Y3+5,0))),"")</f>
        <v/>
      </c>
      <c r="AC3" s="6"/>
      <c r="AD3" s="6"/>
    </row>
    <row r="4" customFormat="false" ht="15" hidden="false" customHeight="true" outlineLevel="0" collapsed="false">
      <c r="A4" s="5" t="n">
        <v>3</v>
      </c>
      <c r="B4" s="5" t="s">
        <v>57</v>
      </c>
      <c r="C4" s="5" t="s">
        <v>58</v>
      </c>
      <c r="D4" s="5" t="s">
        <v>59</v>
      </c>
      <c r="E4" s="5" t="n">
        <v>36412</v>
      </c>
      <c r="F4" s="5" t="s">
        <v>57</v>
      </c>
      <c r="G4" s="5" t="n">
        <v>1</v>
      </c>
      <c r="H4" s="5" t="s">
        <v>47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">
        <v>60</v>
      </c>
      <c r="U4" s="6"/>
      <c r="V4" s="6"/>
      <c r="W4" s="6"/>
      <c r="X4" s="6"/>
      <c r="Y4" s="7" t="str">
        <f aca="false">IF(COUNT(U4:X4)=4,(W4-X4)/2,"")</f>
        <v/>
      </c>
      <c r="Z4" s="7" t="str">
        <f aca="false">IF(COUNT(U4:X4)=4,(U4-V4)/2,"")</f>
        <v/>
      </c>
      <c r="AA4" s="7" t="str">
        <f aca="false">IF(COUNT(U4:X4)=4,MAX(1,MIN(10,ROUNDUP(5-Z4,0))),"")</f>
        <v/>
      </c>
      <c r="AB4" s="7" t="str">
        <f aca="false">IF(COUNT(U4:X4)=4,MAX(1,MIN(10,ROUNDUP(Y4+5,0))),"")</f>
        <v/>
      </c>
      <c r="AC4" s="6"/>
      <c r="AD4" s="6"/>
    </row>
    <row r="5" customFormat="false" ht="15" hidden="false" customHeight="true" outlineLevel="0" collapsed="false">
      <c r="A5" s="5" t="n">
        <v>4</v>
      </c>
      <c r="B5" s="5" t="s">
        <v>61</v>
      </c>
      <c r="C5" s="5" t="s">
        <v>62</v>
      </c>
      <c r="D5" s="5" t="s">
        <v>63</v>
      </c>
      <c r="E5" s="5" t="n">
        <v>28853</v>
      </c>
      <c r="F5" s="5" t="s">
        <v>61</v>
      </c>
      <c r="G5" s="5" t="n">
        <v>3</v>
      </c>
      <c r="H5" s="5" t="s">
        <v>53</v>
      </c>
      <c r="I5" s="5" t="s">
        <v>64</v>
      </c>
      <c r="J5" s="5"/>
      <c r="K5" s="5"/>
      <c r="L5" s="5" t="n">
        <v>3</v>
      </c>
      <c r="M5" s="5" t="n">
        <v>1</v>
      </c>
      <c r="N5" s="5" t="n">
        <v>2</v>
      </c>
      <c r="O5" s="5" t="n">
        <v>8</v>
      </c>
      <c r="P5" s="5" t="n">
        <v>-3</v>
      </c>
      <c r="Q5" s="5" t="n">
        <v>1</v>
      </c>
      <c r="R5" s="5" t="n">
        <v>4</v>
      </c>
      <c r="S5" s="5" t="n">
        <v>2</v>
      </c>
      <c r="T5" s="5" t="s">
        <v>65</v>
      </c>
      <c r="U5" s="6"/>
      <c r="V5" s="6"/>
      <c r="W5" s="6"/>
      <c r="X5" s="6"/>
      <c r="Y5" s="7" t="str">
        <f aca="false">IF(COUNT(U5:X5)=4,(W5-X5)/2,"")</f>
        <v/>
      </c>
      <c r="Z5" s="7" t="str">
        <f aca="false">IF(COUNT(U5:X5)=4,(U5-V5)/2,"")</f>
        <v/>
      </c>
      <c r="AA5" s="7" t="str">
        <f aca="false">IF(COUNT(U5:X5)=4,MAX(1,MIN(10,ROUNDUP(5-Z5,0))),"")</f>
        <v/>
      </c>
      <c r="AB5" s="7" t="str">
        <f aca="false">IF(COUNT(U5:X5)=4,MAX(1,MIN(10,ROUNDUP(Y5+5,0))),"")</f>
        <v/>
      </c>
      <c r="AC5" s="6"/>
      <c r="AD5" s="6"/>
    </row>
    <row r="6" customFormat="false" ht="15" hidden="false" customHeight="true" outlineLevel="0" collapsed="false">
      <c r="A6" s="5" t="n">
        <v>5</v>
      </c>
      <c r="B6" s="5" t="s">
        <v>66</v>
      </c>
      <c r="C6" s="5" t="s">
        <v>67</v>
      </c>
      <c r="D6" s="5" t="s">
        <v>68</v>
      </c>
      <c r="E6" s="5" t="n">
        <v>26158</v>
      </c>
      <c r="F6" s="5" t="s">
        <v>66</v>
      </c>
      <c r="G6" s="5" t="n">
        <v>1</v>
      </c>
      <c r="H6" s="5" t="s">
        <v>47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 t="s">
        <v>69</v>
      </c>
      <c r="U6" s="6"/>
      <c r="V6" s="6"/>
      <c r="W6" s="6"/>
      <c r="X6" s="6"/>
      <c r="Y6" s="7" t="str">
        <f aca="false">IF(COUNT(U6:X6)=4,(W6-X6)/2,"")</f>
        <v/>
      </c>
      <c r="Z6" s="7" t="str">
        <f aca="false">IF(COUNT(U6:X6)=4,(U6-V6)/2,"")</f>
        <v/>
      </c>
      <c r="AA6" s="7" t="str">
        <f aca="false">IF(COUNT(U6:X6)=4,MAX(1,MIN(10,ROUNDUP(5-Z6,0))),"")</f>
        <v/>
      </c>
      <c r="AB6" s="7" t="str">
        <f aca="false">IF(COUNT(U6:X6)=4,MAX(1,MIN(10,ROUNDUP(Y6+5,0))),"")</f>
        <v/>
      </c>
      <c r="AC6" s="6"/>
      <c r="AD6" s="6"/>
    </row>
    <row r="7" customFormat="false" ht="15" hidden="false" customHeight="true" outlineLevel="0" collapsed="false">
      <c r="A7" s="5" t="n">
        <v>6</v>
      </c>
      <c r="B7" s="5" t="s">
        <v>70</v>
      </c>
      <c r="C7" s="5" t="s">
        <v>45</v>
      </c>
      <c r="D7" s="5" t="s">
        <v>46</v>
      </c>
      <c r="E7" s="5" t="n">
        <v>23195</v>
      </c>
      <c r="F7" s="5" t="s">
        <v>70</v>
      </c>
      <c r="G7" s="5" t="n">
        <v>1</v>
      </c>
      <c r="H7" s="5" t="s">
        <v>47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71</v>
      </c>
      <c r="U7" s="6"/>
      <c r="V7" s="6"/>
      <c r="W7" s="6"/>
      <c r="X7" s="6"/>
      <c r="Y7" s="7" t="str">
        <f aca="false">IF(COUNT(U7:X7)=4,(W7-X7)/2,"")</f>
        <v/>
      </c>
      <c r="Z7" s="7" t="str">
        <f aca="false">IF(COUNT(U7:X7)=4,(U7-V7)/2,"")</f>
        <v/>
      </c>
      <c r="AA7" s="7" t="str">
        <f aca="false">IF(COUNT(U7:X7)=4,MAX(1,MIN(10,ROUNDUP(5-Z7,0))),"")</f>
        <v/>
      </c>
      <c r="AB7" s="7" t="str">
        <f aca="false">IF(COUNT(U7:X7)=4,MAX(1,MIN(10,ROUNDUP(Y7+5,0))),"")</f>
        <v/>
      </c>
      <c r="AC7" s="6"/>
      <c r="AD7" s="6"/>
    </row>
    <row r="8" customFormat="false" ht="15" hidden="false" customHeight="true" outlineLevel="0" collapsed="false">
      <c r="A8" s="5" t="n">
        <v>7</v>
      </c>
      <c r="B8" s="5" t="s">
        <v>72</v>
      </c>
      <c r="C8" s="5" t="s">
        <v>58</v>
      </c>
      <c r="D8" s="5" t="s">
        <v>59</v>
      </c>
      <c r="E8" s="5" t="n">
        <v>21337</v>
      </c>
      <c r="F8" s="5" t="s">
        <v>72</v>
      </c>
      <c r="G8" s="5" t="n">
        <v>1</v>
      </c>
      <c r="H8" s="5" t="s">
        <v>47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 t="s">
        <v>73</v>
      </c>
      <c r="U8" s="6"/>
      <c r="V8" s="6"/>
      <c r="W8" s="6"/>
      <c r="X8" s="6"/>
      <c r="Y8" s="7" t="str">
        <f aca="false">IF(COUNT(U8:X8)=4,(W8-X8)/2,"")</f>
        <v/>
      </c>
      <c r="Z8" s="7" t="str">
        <f aca="false">IF(COUNT(U8:X8)=4,(U8-V8)/2,"")</f>
        <v/>
      </c>
      <c r="AA8" s="7" t="str">
        <f aca="false">IF(COUNT(U8:X8)=4,MAX(1,MIN(10,ROUNDUP(5-Z8,0))),"")</f>
        <v/>
      </c>
      <c r="AB8" s="7" t="str">
        <f aca="false">IF(COUNT(U8:X8)=4,MAX(1,MIN(10,ROUNDUP(Y8+5,0))),"")</f>
        <v/>
      </c>
      <c r="AC8" s="6"/>
      <c r="AD8" s="6"/>
    </row>
    <row r="9" customFormat="false" ht="15" hidden="false" customHeight="true" outlineLevel="0" collapsed="false">
      <c r="A9" s="5" t="n">
        <v>8</v>
      </c>
      <c r="B9" s="5" t="s">
        <v>74</v>
      </c>
      <c r="C9" s="5" t="s">
        <v>50</v>
      </c>
      <c r="D9" s="5" t="s">
        <v>51</v>
      </c>
      <c r="E9" s="5" t="n">
        <v>11789</v>
      </c>
      <c r="F9" s="5" t="s">
        <v>75</v>
      </c>
      <c r="G9" s="5" t="n">
        <v>3</v>
      </c>
      <c r="H9" s="5" t="s">
        <v>53</v>
      </c>
      <c r="I9" s="5" t="s">
        <v>54</v>
      </c>
      <c r="J9" s="5" t="s">
        <v>55</v>
      </c>
      <c r="K9" s="5" t="s">
        <v>55</v>
      </c>
      <c r="L9" s="5" t="n">
        <v>4</v>
      </c>
      <c r="M9" s="5" t="n">
        <v>3</v>
      </c>
      <c r="N9" s="5" t="n">
        <v>4</v>
      </c>
      <c r="O9" s="5" t="n">
        <v>6</v>
      </c>
      <c r="P9" s="5" t="n">
        <v>-1</v>
      </c>
      <c r="Q9" s="5" t="n">
        <v>0.5</v>
      </c>
      <c r="R9" s="5" t="n">
        <v>5</v>
      </c>
      <c r="S9" s="5" t="n">
        <v>4</v>
      </c>
      <c r="T9" s="5" t="s">
        <v>76</v>
      </c>
      <c r="U9" s="6"/>
      <c r="V9" s="6"/>
      <c r="W9" s="6"/>
      <c r="X9" s="6"/>
      <c r="Y9" s="7" t="str">
        <f aca="false">IF(COUNT(U9:X9)=4,(W9-X9)/2,"")</f>
        <v/>
      </c>
      <c r="Z9" s="7" t="str">
        <f aca="false">IF(COUNT(U9:X9)=4,(U9-V9)/2,"")</f>
        <v/>
      </c>
      <c r="AA9" s="7" t="str">
        <f aca="false">IF(COUNT(U9:X9)=4,MAX(1,MIN(10,ROUNDUP(5-Z9,0))),"")</f>
        <v/>
      </c>
      <c r="AB9" s="7" t="str">
        <f aca="false">IF(COUNT(U9:X9)=4,MAX(1,MIN(10,ROUNDUP(Y9+5,0))),"")</f>
        <v/>
      </c>
      <c r="AC9" s="6"/>
      <c r="AD9" s="6"/>
    </row>
    <row r="10" customFormat="false" ht="15" hidden="false" customHeight="true" outlineLevel="0" collapsed="false">
      <c r="A10" s="5" t="n">
        <v>9</v>
      </c>
      <c r="B10" s="5" t="s">
        <v>77</v>
      </c>
      <c r="C10" s="5" t="s">
        <v>58</v>
      </c>
      <c r="D10" s="5" t="s">
        <v>59</v>
      </c>
      <c r="E10" s="5" t="n">
        <v>10594</v>
      </c>
      <c r="F10" s="5" t="s">
        <v>77</v>
      </c>
      <c r="G10" s="5" t="n">
        <v>3</v>
      </c>
      <c r="H10" s="5" t="s">
        <v>53</v>
      </c>
      <c r="I10" s="5" t="s">
        <v>64</v>
      </c>
      <c r="J10" s="5"/>
      <c r="K10" s="5"/>
      <c r="L10" s="5" t="n">
        <v>7</v>
      </c>
      <c r="M10" s="5" t="n">
        <v>2</v>
      </c>
      <c r="N10" s="5" t="n">
        <v>2</v>
      </c>
      <c r="O10" s="5" t="n">
        <v>8</v>
      </c>
      <c r="P10" s="5" t="n">
        <v>-3</v>
      </c>
      <c r="Q10" s="5" t="n">
        <v>2.5</v>
      </c>
      <c r="R10" s="5" t="n">
        <v>3</v>
      </c>
      <c r="S10" s="5" t="n">
        <v>2</v>
      </c>
      <c r="T10" s="5" t="s">
        <v>48</v>
      </c>
      <c r="U10" s="6"/>
      <c r="V10" s="6"/>
      <c r="W10" s="6"/>
      <c r="X10" s="6"/>
      <c r="Y10" s="7" t="str">
        <f aca="false">IF(COUNT(U10:X10)=4,(W10-X10)/2,"")</f>
        <v/>
      </c>
      <c r="Z10" s="7" t="str">
        <f aca="false">IF(COUNT(U10:X10)=4,(U10-V10)/2,"")</f>
        <v/>
      </c>
      <c r="AA10" s="7" t="str">
        <f aca="false">IF(COUNT(U10:X10)=4,MAX(1,MIN(10,ROUNDUP(5-Z10,0))),"")</f>
        <v/>
      </c>
      <c r="AB10" s="7" t="str">
        <f aca="false">IF(COUNT(U10:X10)=4,MAX(1,MIN(10,ROUNDUP(Y10+5,0))),"")</f>
        <v/>
      </c>
      <c r="AC10" s="6"/>
      <c r="AD10" s="6"/>
    </row>
    <row r="11" customFormat="false" ht="15" hidden="false" customHeight="true" outlineLevel="0" collapsed="false">
      <c r="A11" s="5" t="n">
        <v>10</v>
      </c>
      <c r="B11" s="5" t="s">
        <v>78</v>
      </c>
      <c r="C11" s="5" t="s">
        <v>79</v>
      </c>
      <c r="D11" s="5" t="s">
        <v>80</v>
      </c>
      <c r="E11" s="5" t="n">
        <v>9548</v>
      </c>
      <c r="F11" s="5" t="s">
        <v>78</v>
      </c>
      <c r="G11" s="5" t="n">
        <v>3</v>
      </c>
      <c r="H11" s="5" t="s">
        <v>53</v>
      </c>
      <c r="I11" s="5" t="s">
        <v>81</v>
      </c>
      <c r="J11" s="5" t="s">
        <v>79</v>
      </c>
      <c r="K11" s="5" t="s">
        <v>82</v>
      </c>
      <c r="L11" s="5" t="n">
        <v>7</v>
      </c>
      <c r="M11" s="5" t="n">
        <v>2</v>
      </c>
      <c r="N11" s="5" t="n">
        <v>3</v>
      </c>
      <c r="O11" s="5" t="n">
        <v>7</v>
      </c>
      <c r="P11" s="5" t="n">
        <v>-2</v>
      </c>
      <c r="Q11" s="5" t="n">
        <v>2.5</v>
      </c>
      <c r="R11" s="5" t="n">
        <v>3</v>
      </c>
      <c r="S11" s="5" t="n">
        <v>3</v>
      </c>
      <c r="T11" s="5" t="s">
        <v>83</v>
      </c>
      <c r="U11" s="6"/>
      <c r="V11" s="6"/>
      <c r="W11" s="6"/>
      <c r="X11" s="6"/>
      <c r="Y11" s="7" t="str">
        <f aca="false">IF(COUNT(U11:X11)=4,(W11-X11)/2,"")</f>
        <v/>
      </c>
      <c r="Z11" s="7" t="str">
        <f aca="false">IF(COUNT(U11:X11)=4,(U11-V11)/2,"")</f>
        <v/>
      </c>
      <c r="AA11" s="7" t="str">
        <f aca="false">IF(COUNT(U11:X11)=4,MAX(1,MIN(10,ROUNDUP(5-Z11,0))),"")</f>
        <v/>
      </c>
      <c r="AB11" s="7" t="str">
        <f aca="false">IF(COUNT(U11:X11)=4,MAX(1,MIN(10,ROUNDUP(Y11+5,0))),"")</f>
        <v/>
      </c>
      <c r="AC11" s="6"/>
      <c r="AD11" s="6"/>
    </row>
    <row r="12" customFormat="false" ht="15" hidden="false" customHeight="true" outlineLevel="0" collapsed="false">
      <c r="A12" s="5" t="n">
        <v>11</v>
      </c>
      <c r="B12" s="5" t="s">
        <v>84</v>
      </c>
      <c r="C12" s="5" t="s">
        <v>58</v>
      </c>
      <c r="D12" s="5" t="s">
        <v>59</v>
      </c>
      <c r="E12" s="5" t="n">
        <v>9489</v>
      </c>
      <c r="F12" s="5" t="s">
        <v>84</v>
      </c>
      <c r="G12" s="5" t="n">
        <v>3</v>
      </c>
      <c r="H12" s="5" t="s">
        <v>53</v>
      </c>
      <c r="I12" s="5" t="s">
        <v>64</v>
      </c>
      <c r="J12" s="5"/>
      <c r="K12" s="5"/>
      <c r="L12" s="5" t="n">
        <v>3</v>
      </c>
      <c r="M12" s="5" t="n">
        <v>5</v>
      </c>
      <c r="N12" s="5" t="n">
        <v>2</v>
      </c>
      <c r="O12" s="5" t="n">
        <v>8</v>
      </c>
      <c r="P12" s="5" t="n">
        <v>-3</v>
      </c>
      <c r="Q12" s="5" t="n">
        <v>-1</v>
      </c>
      <c r="R12" s="5" t="n">
        <v>6</v>
      </c>
      <c r="S12" s="5" t="n">
        <v>2</v>
      </c>
      <c r="T12" s="5" t="s">
        <v>76</v>
      </c>
      <c r="U12" s="6"/>
      <c r="V12" s="6"/>
      <c r="W12" s="6"/>
      <c r="X12" s="6"/>
      <c r="Y12" s="7" t="str">
        <f aca="false">IF(COUNT(U12:X12)=4,(W12-X12)/2,"")</f>
        <v/>
      </c>
      <c r="Z12" s="7" t="str">
        <f aca="false">IF(COUNT(U12:X12)=4,(U12-V12)/2,"")</f>
        <v/>
      </c>
      <c r="AA12" s="7" t="str">
        <f aca="false">IF(COUNT(U12:X12)=4,MAX(1,MIN(10,ROUNDUP(5-Z12,0))),"")</f>
        <v/>
      </c>
      <c r="AB12" s="7" t="str">
        <f aca="false">IF(COUNT(U12:X12)=4,MAX(1,MIN(10,ROUNDUP(Y12+5,0))),"")</f>
        <v/>
      </c>
      <c r="AC12" s="6"/>
      <c r="AD12" s="6"/>
    </row>
    <row r="13" customFormat="false" ht="15" hidden="false" customHeight="true" outlineLevel="0" collapsed="false">
      <c r="A13" s="5" t="n">
        <v>12</v>
      </c>
      <c r="B13" s="5" t="s">
        <v>85</v>
      </c>
      <c r="C13" s="5" t="s">
        <v>79</v>
      </c>
      <c r="D13" s="5" t="s">
        <v>80</v>
      </c>
      <c r="E13" s="5" t="n">
        <v>8760</v>
      </c>
      <c r="F13" s="5" t="s">
        <v>85</v>
      </c>
      <c r="G13" s="5" t="n">
        <v>3</v>
      </c>
      <c r="H13" s="5" t="s">
        <v>53</v>
      </c>
      <c r="I13" s="5" t="s">
        <v>81</v>
      </c>
      <c r="J13" s="5" t="s">
        <v>79</v>
      </c>
      <c r="K13" s="5" t="s">
        <v>86</v>
      </c>
      <c r="L13" s="5" t="n">
        <v>0</v>
      </c>
      <c r="M13" s="5" t="n">
        <v>10</v>
      </c>
      <c r="N13" s="5" t="n">
        <v>5</v>
      </c>
      <c r="O13" s="5" t="n">
        <v>5</v>
      </c>
      <c r="P13" s="5" t="n">
        <v>0</v>
      </c>
      <c r="Q13" s="5" t="n">
        <v>-5</v>
      </c>
      <c r="R13" s="5" t="n">
        <v>10</v>
      </c>
      <c r="S13" s="5" t="n">
        <v>5</v>
      </c>
      <c r="T13" s="5" t="s">
        <v>69</v>
      </c>
      <c r="U13" s="6"/>
      <c r="V13" s="6"/>
      <c r="W13" s="6"/>
      <c r="X13" s="6"/>
      <c r="Y13" s="7" t="str">
        <f aca="false">IF(COUNT(U13:X13)=4,(W13-X13)/2,"")</f>
        <v/>
      </c>
      <c r="Z13" s="7" t="str">
        <f aca="false">IF(COUNT(U13:X13)=4,(U13-V13)/2,"")</f>
        <v/>
      </c>
      <c r="AA13" s="7" t="str">
        <f aca="false">IF(COUNT(U13:X13)=4,MAX(1,MIN(10,ROUNDUP(5-Z13,0))),"")</f>
        <v/>
      </c>
      <c r="AB13" s="7" t="str">
        <f aca="false">IF(COUNT(U13:X13)=4,MAX(1,MIN(10,ROUNDUP(Y13+5,0))),"")</f>
        <v/>
      </c>
      <c r="AC13" s="6"/>
      <c r="AD13" s="6"/>
    </row>
    <row r="14" customFormat="false" ht="15" hidden="false" customHeight="true" outlineLevel="0" collapsed="false">
      <c r="A14" s="5" t="n">
        <v>13</v>
      </c>
      <c r="B14" s="5" t="s">
        <v>87</v>
      </c>
      <c r="C14" s="5" t="s">
        <v>58</v>
      </c>
      <c r="D14" s="5" t="s">
        <v>59</v>
      </c>
      <c r="E14" s="5" t="n">
        <v>7289</v>
      </c>
      <c r="F14" s="5" t="s">
        <v>87</v>
      </c>
      <c r="G14" s="5" t="n">
        <v>1</v>
      </c>
      <c r="H14" s="5" t="s">
        <v>47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 t="s">
        <v>88</v>
      </c>
      <c r="U14" s="6"/>
      <c r="V14" s="6"/>
      <c r="W14" s="6"/>
      <c r="X14" s="6"/>
      <c r="Y14" s="7" t="str">
        <f aca="false">IF(COUNT(U14:X14)=4,(W14-X14)/2,"")</f>
        <v/>
      </c>
      <c r="Z14" s="7" t="str">
        <f aca="false">IF(COUNT(U14:X14)=4,(U14-V14)/2,"")</f>
        <v/>
      </c>
      <c r="AA14" s="7" t="str">
        <f aca="false">IF(COUNT(U14:X14)=4,MAX(1,MIN(10,ROUNDUP(5-Z14,0))),"")</f>
        <v/>
      </c>
      <c r="AB14" s="7" t="str">
        <f aca="false">IF(COUNT(U14:X14)=4,MAX(1,MIN(10,ROUNDUP(Y14+5,0))),"")</f>
        <v/>
      </c>
      <c r="AC14" s="6"/>
      <c r="AD14" s="6"/>
    </row>
    <row r="15" customFormat="false" ht="15" hidden="false" customHeight="true" outlineLevel="0" collapsed="false">
      <c r="A15" s="5" t="n">
        <v>14</v>
      </c>
      <c r="B15" s="5" t="s">
        <v>89</v>
      </c>
      <c r="C15" s="5" t="s">
        <v>58</v>
      </c>
      <c r="D15" s="5" t="s">
        <v>59</v>
      </c>
      <c r="E15" s="5" t="n">
        <v>7253</v>
      </c>
      <c r="F15" s="5" t="s">
        <v>89</v>
      </c>
      <c r="G15" s="5" t="n">
        <v>3</v>
      </c>
      <c r="H15" s="5" t="s">
        <v>53</v>
      </c>
      <c r="I15" s="5" t="s">
        <v>64</v>
      </c>
      <c r="J15" s="5"/>
      <c r="K15" s="5"/>
      <c r="L15" s="5" t="n">
        <v>2</v>
      </c>
      <c r="M15" s="5" t="n">
        <v>2</v>
      </c>
      <c r="N15" s="5" t="n">
        <v>2</v>
      </c>
      <c r="O15" s="5" t="n">
        <v>8</v>
      </c>
      <c r="P15" s="5" t="n">
        <v>-3</v>
      </c>
      <c r="Q15" s="5" t="n">
        <v>0</v>
      </c>
      <c r="R15" s="5" t="n">
        <v>5</v>
      </c>
      <c r="S15" s="5" t="n">
        <v>2</v>
      </c>
      <c r="T15" s="5" t="s">
        <v>90</v>
      </c>
      <c r="U15" s="6"/>
      <c r="V15" s="6"/>
      <c r="W15" s="6"/>
      <c r="X15" s="6"/>
      <c r="Y15" s="7" t="str">
        <f aca="false">IF(COUNT(U15:X15)=4,(W15-X15)/2,"")</f>
        <v/>
      </c>
      <c r="Z15" s="7" t="str">
        <f aca="false">IF(COUNT(U15:X15)=4,(U15-V15)/2,"")</f>
        <v/>
      </c>
      <c r="AA15" s="7" t="str">
        <f aca="false">IF(COUNT(U15:X15)=4,MAX(1,MIN(10,ROUNDUP(5-Z15,0))),"")</f>
        <v/>
      </c>
      <c r="AB15" s="7" t="str">
        <f aca="false">IF(COUNT(U15:X15)=4,MAX(1,MIN(10,ROUNDUP(Y15+5,0))),"")</f>
        <v/>
      </c>
      <c r="AC15" s="6"/>
      <c r="AD15" s="6"/>
    </row>
    <row r="16" customFormat="false" ht="15" hidden="false" customHeight="true" outlineLevel="0" collapsed="false">
      <c r="A16" s="5" t="n">
        <v>15</v>
      </c>
      <c r="B16" s="5" t="s">
        <v>91</v>
      </c>
      <c r="C16" s="5" t="s">
        <v>45</v>
      </c>
      <c r="D16" s="5" t="s">
        <v>46</v>
      </c>
      <c r="E16" s="5" t="n">
        <v>6996</v>
      </c>
      <c r="F16" s="5" t="s">
        <v>91</v>
      </c>
      <c r="G16" s="5" t="n">
        <v>3</v>
      </c>
      <c r="H16" s="5" t="s">
        <v>53</v>
      </c>
      <c r="I16" s="5" t="s">
        <v>81</v>
      </c>
      <c r="J16" s="5" t="s">
        <v>79</v>
      </c>
      <c r="K16" s="5" t="s">
        <v>82</v>
      </c>
      <c r="L16" s="5" t="n">
        <v>7</v>
      </c>
      <c r="M16" s="5" t="n">
        <v>2</v>
      </c>
      <c r="N16" s="5" t="n">
        <v>3</v>
      </c>
      <c r="O16" s="5" t="n">
        <v>7</v>
      </c>
      <c r="P16" s="5" t="n">
        <v>-2</v>
      </c>
      <c r="Q16" s="5" t="n">
        <v>2.5</v>
      </c>
      <c r="R16" s="5" t="n">
        <v>3</v>
      </c>
      <c r="S16" s="5" t="n">
        <v>3</v>
      </c>
      <c r="T16" s="5" t="s">
        <v>92</v>
      </c>
      <c r="U16" s="6"/>
      <c r="V16" s="6"/>
      <c r="W16" s="6"/>
      <c r="X16" s="6"/>
      <c r="Y16" s="7" t="str">
        <f aca="false">IF(COUNT(U16:X16)=4,(W16-X16)/2,"")</f>
        <v/>
      </c>
      <c r="Z16" s="7" t="str">
        <f aca="false">IF(COUNT(U16:X16)=4,(U16-V16)/2,"")</f>
        <v/>
      </c>
      <c r="AA16" s="7" t="str">
        <f aca="false">IF(COUNT(U16:X16)=4,MAX(1,MIN(10,ROUNDUP(5-Z16,0))),"")</f>
        <v/>
      </c>
      <c r="AB16" s="7" t="str">
        <f aca="false">IF(COUNT(U16:X16)=4,MAX(1,MIN(10,ROUNDUP(Y16+5,0))),"")</f>
        <v/>
      </c>
      <c r="AC16" s="6"/>
      <c r="AD16" s="6"/>
    </row>
    <row r="17" customFormat="false" ht="15" hidden="false" customHeight="true" outlineLevel="0" collapsed="false">
      <c r="A17" s="5" t="n">
        <v>16</v>
      </c>
      <c r="B17" s="5" t="s">
        <v>93</v>
      </c>
      <c r="C17" s="5" t="s">
        <v>58</v>
      </c>
      <c r="D17" s="5" t="s">
        <v>59</v>
      </c>
      <c r="E17" s="5" t="n">
        <v>6741</v>
      </c>
      <c r="F17" s="5" t="s">
        <v>93</v>
      </c>
      <c r="G17" s="5" t="n">
        <v>1</v>
      </c>
      <c r="H17" s="5" t="s">
        <v>47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 t="s">
        <v>48</v>
      </c>
      <c r="U17" s="6"/>
      <c r="V17" s="6"/>
      <c r="W17" s="6"/>
      <c r="X17" s="6"/>
      <c r="Y17" s="7" t="str">
        <f aca="false">IF(COUNT(U17:X17)=4,(W17-X17)/2,"")</f>
        <v/>
      </c>
      <c r="Z17" s="7" t="str">
        <f aca="false">IF(COUNT(U17:X17)=4,(U17-V17)/2,"")</f>
        <v/>
      </c>
      <c r="AA17" s="7" t="str">
        <f aca="false">IF(COUNT(U17:X17)=4,MAX(1,MIN(10,ROUNDUP(5-Z17,0))),"")</f>
        <v/>
      </c>
      <c r="AB17" s="7" t="str">
        <f aca="false">IF(COUNT(U17:X17)=4,MAX(1,MIN(10,ROUNDUP(Y17+5,0))),"")</f>
        <v/>
      </c>
      <c r="AC17" s="6"/>
      <c r="AD17" s="6"/>
    </row>
    <row r="18" customFormat="false" ht="15" hidden="false" customHeight="true" outlineLevel="0" collapsed="false">
      <c r="A18" s="5" t="n">
        <v>17</v>
      </c>
      <c r="B18" s="5" t="s">
        <v>94</v>
      </c>
      <c r="C18" s="5" t="s">
        <v>58</v>
      </c>
      <c r="D18" s="5" t="s">
        <v>59</v>
      </c>
      <c r="E18" s="5" t="n">
        <v>5372</v>
      </c>
      <c r="F18" s="5" t="s">
        <v>94</v>
      </c>
      <c r="G18" s="5" t="n">
        <v>1</v>
      </c>
      <c r="H18" s="5" t="s">
        <v>47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95</v>
      </c>
      <c r="U18" s="6"/>
      <c r="V18" s="6"/>
      <c r="W18" s="6"/>
      <c r="X18" s="6"/>
      <c r="Y18" s="7" t="str">
        <f aca="false">IF(COUNT(U18:X18)=4,(W18-X18)/2,"")</f>
        <v/>
      </c>
      <c r="Z18" s="7" t="str">
        <f aca="false">IF(COUNT(U18:X18)=4,(U18-V18)/2,"")</f>
        <v/>
      </c>
      <c r="AA18" s="7" t="str">
        <f aca="false">IF(COUNT(U18:X18)=4,MAX(1,MIN(10,ROUNDUP(5-Z18,0))),"")</f>
        <v/>
      </c>
      <c r="AB18" s="7" t="str">
        <f aca="false">IF(COUNT(U18:X18)=4,MAX(1,MIN(10,ROUNDUP(Y18+5,0))),"")</f>
        <v/>
      </c>
      <c r="AC18" s="6"/>
      <c r="AD18" s="6"/>
    </row>
    <row r="19" customFormat="false" ht="15" hidden="false" customHeight="true" outlineLevel="0" collapsed="false">
      <c r="A19" s="5" t="n">
        <v>18</v>
      </c>
      <c r="B19" s="5" t="s">
        <v>96</v>
      </c>
      <c r="C19" s="5" t="s">
        <v>58</v>
      </c>
      <c r="D19" s="5" t="s">
        <v>59</v>
      </c>
      <c r="E19" s="5" t="n">
        <v>5306</v>
      </c>
      <c r="F19" s="5" t="s">
        <v>96</v>
      </c>
      <c r="G19" s="5" t="n">
        <v>1</v>
      </c>
      <c r="H19" s="5" t="s">
        <v>47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 t="s">
        <v>97</v>
      </c>
      <c r="U19" s="6"/>
      <c r="V19" s="6"/>
      <c r="W19" s="6"/>
      <c r="X19" s="6"/>
      <c r="Y19" s="7" t="str">
        <f aca="false">IF(COUNT(U19:X19)=4,(W19-X19)/2,"")</f>
        <v/>
      </c>
      <c r="Z19" s="7" t="str">
        <f aca="false">IF(COUNT(U19:X19)=4,(U19-V19)/2,"")</f>
        <v/>
      </c>
      <c r="AA19" s="7" t="str">
        <f aca="false">IF(COUNT(U19:X19)=4,MAX(1,MIN(10,ROUNDUP(5-Z19,0))),"")</f>
        <v/>
      </c>
      <c r="AB19" s="7" t="str">
        <f aca="false">IF(COUNT(U19:X19)=4,MAX(1,MIN(10,ROUNDUP(Y19+5,0))),"")</f>
        <v/>
      </c>
      <c r="AC19" s="6"/>
      <c r="AD19" s="6"/>
    </row>
    <row r="20" customFormat="false" ht="15" hidden="false" customHeight="true" outlineLevel="0" collapsed="false">
      <c r="A20" s="5" t="n">
        <v>19</v>
      </c>
      <c r="B20" s="5" t="s">
        <v>98</v>
      </c>
      <c r="C20" s="5" t="s">
        <v>79</v>
      </c>
      <c r="D20" s="5" t="s">
        <v>80</v>
      </c>
      <c r="E20" s="5" t="n">
        <v>5164</v>
      </c>
      <c r="F20" s="5" t="s">
        <v>98</v>
      </c>
      <c r="G20" s="5" t="n">
        <v>3</v>
      </c>
      <c r="H20" s="5" t="s">
        <v>53</v>
      </c>
      <c r="I20" s="5" t="s">
        <v>81</v>
      </c>
      <c r="J20" s="5" t="s">
        <v>79</v>
      </c>
      <c r="K20" s="5" t="s">
        <v>99</v>
      </c>
      <c r="L20" s="5" t="n">
        <v>6</v>
      </c>
      <c r="M20" s="5" t="n">
        <v>2</v>
      </c>
      <c r="N20" s="5" t="n">
        <v>10</v>
      </c>
      <c r="O20" s="5" t="n">
        <v>0</v>
      </c>
      <c r="P20" s="5" t="n">
        <v>5</v>
      </c>
      <c r="Q20" s="5" t="n">
        <v>2</v>
      </c>
      <c r="R20" s="5" t="n">
        <v>3</v>
      </c>
      <c r="S20" s="5" t="n">
        <v>10</v>
      </c>
      <c r="T20" s="5" t="s">
        <v>100</v>
      </c>
      <c r="U20" s="6"/>
      <c r="V20" s="6"/>
      <c r="W20" s="6"/>
      <c r="X20" s="6"/>
      <c r="Y20" s="7" t="str">
        <f aca="false">IF(COUNT(U20:X20)=4,(W20-X20)/2,"")</f>
        <v/>
      </c>
      <c r="Z20" s="7" t="str">
        <f aca="false">IF(COUNT(U20:X20)=4,(U20-V20)/2,"")</f>
        <v/>
      </c>
      <c r="AA20" s="7" t="str">
        <f aca="false">IF(COUNT(U20:X20)=4,MAX(1,MIN(10,ROUNDUP(5-Z20,0))),"")</f>
        <v/>
      </c>
      <c r="AB20" s="7" t="str">
        <f aca="false">IF(COUNT(U20:X20)=4,MAX(1,MIN(10,ROUNDUP(Y20+5,0))),"")</f>
        <v/>
      </c>
      <c r="AC20" s="6"/>
      <c r="AD20" s="6"/>
    </row>
    <row r="21" customFormat="false" ht="15" hidden="false" customHeight="true" outlineLevel="0" collapsed="false">
      <c r="A21" s="5" t="n">
        <v>20</v>
      </c>
      <c r="B21" s="5" t="s">
        <v>101</v>
      </c>
      <c r="C21" s="5" t="s">
        <v>45</v>
      </c>
      <c r="D21" s="5" t="s">
        <v>46</v>
      </c>
      <c r="E21" s="5" t="n">
        <v>5144</v>
      </c>
      <c r="F21" s="5" t="s">
        <v>101</v>
      </c>
      <c r="G21" s="5" t="n">
        <v>3</v>
      </c>
      <c r="H21" s="5" t="s">
        <v>53</v>
      </c>
      <c r="I21" s="5" t="s">
        <v>81</v>
      </c>
      <c r="J21" s="5" t="s">
        <v>79</v>
      </c>
      <c r="K21" s="5" t="s">
        <v>102</v>
      </c>
      <c r="L21" s="5" t="n">
        <v>1</v>
      </c>
      <c r="M21" s="5" t="n">
        <v>8</v>
      </c>
      <c r="N21" s="5" t="n">
        <v>8</v>
      </c>
      <c r="O21" s="5" t="n">
        <v>2</v>
      </c>
      <c r="P21" s="5" t="n">
        <v>3</v>
      </c>
      <c r="Q21" s="5" t="n">
        <v>-3.5</v>
      </c>
      <c r="R21" s="5" t="n">
        <v>9</v>
      </c>
      <c r="S21" s="5" t="n">
        <v>8</v>
      </c>
      <c r="T21" s="5" t="s">
        <v>103</v>
      </c>
      <c r="U21" s="6"/>
      <c r="V21" s="6"/>
      <c r="W21" s="6"/>
      <c r="X21" s="6"/>
      <c r="Y21" s="7" t="str">
        <f aca="false">IF(COUNT(U21:X21)=4,(W21-X21)/2,"")</f>
        <v/>
      </c>
      <c r="Z21" s="7" t="str">
        <f aca="false">IF(COUNT(U21:X21)=4,(U21-V21)/2,"")</f>
        <v/>
      </c>
      <c r="AA21" s="7" t="str">
        <f aca="false">IF(COUNT(U21:X21)=4,MAX(1,MIN(10,ROUNDUP(5-Z21,0))),"")</f>
        <v/>
      </c>
      <c r="AB21" s="7" t="str">
        <f aca="false">IF(COUNT(U21:X21)=4,MAX(1,MIN(10,ROUNDUP(Y21+5,0))),"")</f>
        <v/>
      </c>
      <c r="AC21" s="6"/>
      <c r="AD21" s="6"/>
    </row>
    <row r="22" customFormat="false" ht="15" hidden="false" customHeight="true" outlineLevel="0" collapsed="false">
      <c r="A22" s="5" t="n">
        <v>21</v>
      </c>
      <c r="B22" s="5" t="s">
        <v>104</v>
      </c>
      <c r="C22" s="5" t="s">
        <v>50</v>
      </c>
      <c r="D22" s="5" t="s">
        <v>51</v>
      </c>
      <c r="E22" s="5" t="n">
        <v>4966</v>
      </c>
      <c r="F22" s="5" t="s">
        <v>105</v>
      </c>
      <c r="G22" s="5" t="n">
        <v>3</v>
      </c>
      <c r="H22" s="5" t="s">
        <v>53</v>
      </c>
      <c r="I22" s="5" t="s">
        <v>54</v>
      </c>
      <c r="J22" s="5" t="s">
        <v>55</v>
      </c>
      <c r="K22" s="5" t="s">
        <v>55</v>
      </c>
      <c r="L22" s="5" t="n">
        <v>5</v>
      </c>
      <c r="M22" s="5" t="n">
        <v>2</v>
      </c>
      <c r="N22" s="5" t="n">
        <v>4</v>
      </c>
      <c r="O22" s="5" t="n">
        <v>8</v>
      </c>
      <c r="P22" s="5" t="n">
        <v>-2</v>
      </c>
      <c r="Q22" s="5" t="n">
        <v>1.5</v>
      </c>
      <c r="R22" s="5" t="n">
        <v>4</v>
      </c>
      <c r="S22" s="5" t="n">
        <v>3</v>
      </c>
      <c r="T22" s="5" t="s">
        <v>106</v>
      </c>
      <c r="U22" s="6"/>
      <c r="V22" s="6"/>
      <c r="W22" s="6"/>
      <c r="X22" s="6"/>
      <c r="Y22" s="7" t="str">
        <f aca="false">IF(COUNT(U22:X22)=4,(W22-X22)/2,"")</f>
        <v/>
      </c>
      <c r="Z22" s="7" t="str">
        <f aca="false">IF(COUNT(U22:X22)=4,(U22-V22)/2,"")</f>
        <v/>
      </c>
      <c r="AA22" s="7" t="str">
        <f aca="false">IF(COUNT(U22:X22)=4,MAX(1,MIN(10,ROUNDUP(5-Z22,0))),"")</f>
        <v/>
      </c>
      <c r="AB22" s="7" t="str">
        <f aca="false">IF(COUNT(U22:X22)=4,MAX(1,MIN(10,ROUNDUP(Y22+5,0))),"")</f>
        <v/>
      </c>
      <c r="AC22" s="6"/>
      <c r="AD22" s="6"/>
    </row>
    <row r="23" customFormat="false" ht="15" hidden="false" customHeight="true" outlineLevel="0" collapsed="false">
      <c r="A23" s="5" t="n">
        <v>22</v>
      </c>
      <c r="B23" s="5" t="s">
        <v>107</v>
      </c>
      <c r="C23" s="5" t="s">
        <v>108</v>
      </c>
      <c r="D23" s="5" t="s">
        <v>109</v>
      </c>
      <c r="E23" s="5" t="n">
        <v>4610</v>
      </c>
      <c r="F23" s="5" t="s">
        <v>107</v>
      </c>
      <c r="G23" s="5" t="n">
        <v>2</v>
      </c>
      <c r="H23" s="5" t="s">
        <v>47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 t="s">
        <v>110</v>
      </c>
      <c r="U23" s="6"/>
      <c r="V23" s="6"/>
      <c r="W23" s="6"/>
      <c r="X23" s="6"/>
      <c r="Y23" s="7" t="str">
        <f aca="false">IF(COUNT(U23:X23)=4,(W23-X23)/2,"")</f>
        <v/>
      </c>
      <c r="Z23" s="7" t="str">
        <f aca="false">IF(COUNT(U23:X23)=4,(U23-V23)/2,"")</f>
        <v/>
      </c>
      <c r="AA23" s="7" t="str">
        <f aca="false">IF(COUNT(U23:X23)=4,MAX(1,MIN(10,ROUNDUP(5-Z23,0))),"")</f>
        <v/>
      </c>
      <c r="AB23" s="7" t="str">
        <f aca="false">IF(COUNT(U23:X23)=4,MAX(1,MIN(10,ROUNDUP(Y23+5,0))),"")</f>
        <v/>
      </c>
      <c r="AC23" s="6"/>
      <c r="AD23" s="6"/>
    </row>
    <row r="24" customFormat="false" ht="15" hidden="false" customHeight="true" outlineLevel="0" collapsed="false">
      <c r="A24" s="5" t="n">
        <v>23</v>
      </c>
      <c r="B24" s="5" t="s">
        <v>111</v>
      </c>
      <c r="C24" s="5" t="s">
        <v>62</v>
      </c>
      <c r="D24" s="5" t="s">
        <v>63</v>
      </c>
      <c r="E24" s="5" t="n">
        <v>4381</v>
      </c>
      <c r="F24" s="5" t="s">
        <v>111</v>
      </c>
      <c r="G24" s="5" t="n">
        <v>3</v>
      </c>
      <c r="H24" s="5" t="s">
        <v>53</v>
      </c>
      <c r="I24" s="5" t="s">
        <v>64</v>
      </c>
      <c r="J24" s="5"/>
      <c r="K24" s="5"/>
      <c r="L24" s="5" t="n">
        <v>3</v>
      </c>
      <c r="M24" s="5" t="n">
        <v>5</v>
      </c>
      <c r="N24" s="5" t="n">
        <v>2</v>
      </c>
      <c r="O24" s="5" t="n">
        <v>8</v>
      </c>
      <c r="P24" s="5" t="n">
        <v>-3</v>
      </c>
      <c r="Q24" s="5" t="n">
        <v>-1</v>
      </c>
      <c r="R24" s="5" t="n">
        <v>6</v>
      </c>
      <c r="S24" s="5" t="n">
        <v>2</v>
      </c>
      <c r="T24" s="5" t="s">
        <v>112</v>
      </c>
      <c r="U24" s="6"/>
      <c r="V24" s="6"/>
      <c r="W24" s="6"/>
      <c r="X24" s="6"/>
      <c r="Y24" s="7" t="str">
        <f aca="false">IF(COUNT(U24:X24)=4,(W24-X24)/2,"")</f>
        <v/>
      </c>
      <c r="Z24" s="7" t="str">
        <f aca="false">IF(COUNT(U24:X24)=4,(U24-V24)/2,"")</f>
        <v/>
      </c>
      <c r="AA24" s="7" t="str">
        <f aca="false">IF(COUNT(U24:X24)=4,MAX(1,MIN(10,ROUNDUP(5-Z24,0))),"")</f>
        <v/>
      </c>
      <c r="AB24" s="7" t="str">
        <f aca="false">IF(COUNT(U24:X24)=4,MAX(1,MIN(10,ROUNDUP(Y24+5,0))),"")</f>
        <v/>
      </c>
      <c r="AC24" s="6"/>
      <c r="AD24" s="6"/>
    </row>
    <row r="25" customFormat="false" ht="15" hidden="false" customHeight="true" outlineLevel="0" collapsed="false">
      <c r="A25" s="5" t="n">
        <v>24</v>
      </c>
      <c r="B25" s="5" t="s">
        <v>113</v>
      </c>
      <c r="C25" s="5" t="s">
        <v>58</v>
      </c>
      <c r="D25" s="5" t="s">
        <v>59</v>
      </c>
      <c r="E25" s="5" t="n">
        <v>4370</v>
      </c>
      <c r="F25" s="5" t="s">
        <v>113</v>
      </c>
      <c r="G25" s="5" t="n">
        <v>1</v>
      </c>
      <c r="H25" s="5" t="s">
        <v>47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 t="s">
        <v>114</v>
      </c>
      <c r="U25" s="6"/>
      <c r="V25" s="6"/>
      <c r="W25" s="6"/>
      <c r="X25" s="6"/>
      <c r="Y25" s="7" t="str">
        <f aca="false">IF(COUNT(U25:X25)=4,(W25-X25)/2,"")</f>
        <v/>
      </c>
      <c r="Z25" s="7" t="str">
        <f aca="false">IF(COUNT(U25:X25)=4,(U25-V25)/2,"")</f>
        <v/>
      </c>
      <c r="AA25" s="7" t="str">
        <f aca="false">IF(COUNT(U25:X25)=4,MAX(1,MIN(10,ROUNDUP(5-Z25,0))),"")</f>
        <v/>
      </c>
      <c r="AB25" s="7" t="str">
        <f aca="false">IF(COUNT(U25:X25)=4,MAX(1,MIN(10,ROUNDUP(Y25+5,0))),"")</f>
        <v/>
      </c>
      <c r="AC25" s="6"/>
      <c r="AD25" s="6"/>
    </row>
    <row r="26" customFormat="false" ht="15" hidden="false" customHeight="true" outlineLevel="0" collapsed="false">
      <c r="A26" s="5" t="n">
        <v>25</v>
      </c>
      <c r="B26" s="5" t="s">
        <v>115</v>
      </c>
      <c r="C26" s="5" t="s">
        <v>108</v>
      </c>
      <c r="D26" s="5" t="s">
        <v>109</v>
      </c>
      <c r="E26" s="5" t="n">
        <v>4297</v>
      </c>
      <c r="F26" s="5" t="s">
        <v>116</v>
      </c>
      <c r="G26" s="5" t="n">
        <v>4</v>
      </c>
      <c r="H26" s="5" t="s">
        <v>53</v>
      </c>
      <c r="I26" s="5" t="s">
        <v>54</v>
      </c>
      <c r="J26" s="5" t="s">
        <v>117</v>
      </c>
      <c r="K26" s="5" t="s">
        <v>117</v>
      </c>
      <c r="L26" s="5" t="n">
        <v>3</v>
      </c>
      <c r="M26" s="5" t="n">
        <v>1</v>
      </c>
      <c r="N26" s="5" t="n">
        <v>2</v>
      </c>
      <c r="O26" s="5" t="n">
        <v>7</v>
      </c>
      <c r="P26" s="5" t="n">
        <v>-2.5</v>
      </c>
      <c r="Q26" s="5" t="n">
        <v>1</v>
      </c>
      <c r="R26" s="5" t="n">
        <v>4</v>
      </c>
      <c r="S26" s="5" t="n">
        <v>3</v>
      </c>
      <c r="T26" s="5" t="s">
        <v>118</v>
      </c>
      <c r="U26" s="6"/>
      <c r="V26" s="6"/>
      <c r="W26" s="6"/>
      <c r="X26" s="6"/>
      <c r="Y26" s="7" t="str">
        <f aca="false">IF(COUNT(U26:X26)=4,(W26-X26)/2,"")</f>
        <v/>
      </c>
      <c r="Z26" s="7" t="str">
        <f aca="false">IF(COUNT(U26:X26)=4,(U26-V26)/2,"")</f>
        <v/>
      </c>
      <c r="AA26" s="7" t="str">
        <f aca="false">IF(COUNT(U26:X26)=4,MAX(1,MIN(10,ROUNDUP(5-Z26,0))),"")</f>
        <v/>
      </c>
      <c r="AB26" s="7" t="str">
        <f aca="false">IF(COUNT(U26:X26)=4,MAX(1,MIN(10,ROUNDUP(Y26+5,0))),"")</f>
        <v/>
      </c>
      <c r="AC26" s="6"/>
      <c r="AD26" s="6"/>
    </row>
    <row r="27" customFormat="false" ht="15" hidden="false" customHeight="true" outlineLevel="0" collapsed="false">
      <c r="A27" s="5" t="n">
        <v>26</v>
      </c>
      <c r="B27" s="5" t="s">
        <v>119</v>
      </c>
      <c r="C27" s="5" t="s">
        <v>62</v>
      </c>
      <c r="D27" s="5" t="s">
        <v>63</v>
      </c>
      <c r="E27" s="5" t="n">
        <v>4206</v>
      </c>
      <c r="F27" s="5" t="s">
        <v>119</v>
      </c>
      <c r="G27" s="5" t="n">
        <v>3</v>
      </c>
      <c r="H27" s="5" t="s">
        <v>53</v>
      </c>
      <c r="I27" s="5" t="s">
        <v>64</v>
      </c>
      <c r="J27" s="5"/>
      <c r="K27" s="5"/>
      <c r="L27" s="5" t="n">
        <v>5</v>
      </c>
      <c r="M27" s="5" t="n">
        <v>3</v>
      </c>
      <c r="N27" s="5" t="n">
        <v>3</v>
      </c>
      <c r="O27" s="5" t="n">
        <v>7</v>
      </c>
      <c r="P27" s="5" t="n">
        <v>-2</v>
      </c>
      <c r="Q27" s="5" t="n">
        <v>1</v>
      </c>
      <c r="R27" s="5" t="n">
        <v>4</v>
      </c>
      <c r="S27" s="5" t="n">
        <v>3</v>
      </c>
      <c r="T27" s="5" t="s">
        <v>120</v>
      </c>
      <c r="U27" s="6"/>
      <c r="V27" s="6"/>
      <c r="W27" s="6"/>
      <c r="X27" s="6"/>
      <c r="Y27" s="7" t="str">
        <f aca="false">IF(COUNT(U27:X27)=4,(W27-X27)/2,"")</f>
        <v/>
      </c>
      <c r="Z27" s="7" t="str">
        <f aca="false">IF(COUNT(U27:X27)=4,(U27-V27)/2,"")</f>
        <v/>
      </c>
      <c r="AA27" s="7" t="str">
        <f aca="false">IF(COUNT(U27:X27)=4,MAX(1,MIN(10,ROUNDUP(5-Z27,0))),"")</f>
        <v/>
      </c>
      <c r="AB27" s="7" t="str">
        <f aca="false">IF(COUNT(U27:X27)=4,MAX(1,MIN(10,ROUNDUP(Y27+5,0))),"")</f>
        <v/>
      </c>
      <c r="AC27" s="6"/>
      <c r="AD27" s="6"/>
    </row>
    <row r="28" customFormat="false" ht="15" hidden="false" customHeight="true" outlineLevel="0" collapsed="false">
      <c r="A28" s="5" t="n">
        <v>27</v>
      </c>
      <c r="B28" s="5" t="s">
        <v>121</v>
      </c>
      <c r="C28" s="5" t="s">
        <v>45</v>
      </c>
      <c r="D28" s="5" t="s">
        <v>46</v>
      </c>
      <c r="E28" s="5" t="n">
        <v>3740</v>
      </c>
      <c r="F28" s="5" t="s">
        <v>121</v>
      </c>
      <c r="G28" s="5" t="n">
        <v>1</v>
      </c>
      <c r="H28" s="5" t="s">
        <v>47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 t="s">
        <v>83</v>
      </c>
      <c r="U28" s="6"/>
      <c r="V28" s="6"/>
      <c r="W28" s="6"/>
      <c r="X28" s="6"/>
      <c r="Y28" s="7" t="str">
        <f aca="false">IF(COUNT(U28:X28)=4,(W28-X28)/2,"")</f>
        <v/>
      </c>
      <c r="Z28" s="7" t="str">
        <f aca="false">IF(COUNT(U28:X28)=4,(U28-V28)/2,"")</f>
        <v/>
      </c>
      <c r="AA28" s="7" t="str">
        <f aca="false">IF(COUNT(U28:X28)=4,MAX(1,MIN(10,ROUNDUP(5-Z28,0))),"")</f>
        <v/>
      </c>
      <c r="AB28" s="7" t="str">
        <f aca="false">IF(COUNT(U28:X28)=4,MAX(1,MIN(10,ROUNDUP(Y28+5,0))),"")</f>
        <v/>
      </c>
      <c r="AC28" s="6"/>
      <c r="AD28" s="6"/>
    </row>
    <row r="29" customFormat="false" ht="15" hidden="false" customHeight="true" outlineLevel="0" collapsed="false">
      <c r="A29" s="5" t="n">
        <v>28</v>
      </c>
      <c r="B29" s="5" t="s">
        <v>122</v>
      </c>
      <c r="C29" s="5" t="s">
        <v>79</v>
      </c>
      <c r="D29" s="5" t="s">
        <v>80</v>
      </c>
      <c r="E29" s="5" t="n">
        <v>3620</v>
      </c>
      <c r="F29" s="5" t="s">
        <v>122</v>
      </c>
      <c r="G29" s="5" t="n">
        <v>3</v>
      </c>
      <c r="H29" s="5" t="s">
        <v>53</v>
      </c>
      <c r="I29" s="5" t="s">
        <v>81</v>
      </c>
      <c r="J29" s="5" t="s">
        <v>79</v>
      </c>
      <c r="K29" s="5" t="s">
        <v>82</v>
      </c>
      <c r="L29" s="5" t="n">
        <v>7</v>
      </c>
      <c r="M29" s="5" t="n">
        <v>2</v>
      </c>
      <c r="N29" s="5" t="n">
        <v>3</v>
      </c>
      <c r="O29" s="5" t="n">
        <v>7</v>
      </c>
      <c r="P29" s="5" t="n">
        <v>-2</v>
      </c>
      <c r="Q29" s="5" t="n">
        <v>2.5</v>
      </c>
      <c r="R29" s="5" t="n">
        <v>3</v>
      </c>
      <c r="S29" s="5" t="n">
        <v>3</v>
      </c>
      <c r="T29" s="5" t="s">
        <v>123</v>
      </c>
      <c r="U29" s="6"/>
      <c r="V29" s="6"/>
      <c r="W29" s="6"/>
      <c r="X29" s="6"/>
      <c r="Y29" s="7" t="str">
        <f aca="false">IF(COUNT(U29:X29)=4,(W29-X29)/2,"")</f>
        <v/>
      </c>
      <c r="Z29" s="7" t="str">
        <f aca="false">IF(COUNT(U29:X29)=4,(U29-V29)/2,"")</f>
        <v/>
      </c>
      <c r="AA29" s="7" t="str">
        <f aca="false">IF(COUNT(U29:X29)=4,MAX(1,MIN(10,ROUNDUP(5-Z29,0))),"")</f>
        <v/>
      </c>
      <c r="AB29" s="7" t="str">
        <f aca="false">IF(COUNT(U29:X29)=4,MAX(1,MIN(10,ROUNDUP(Y29+5,0))),"")</f>
        <v/>
      </c>
      <c r="AC29" s="6"/>
      <c r="AD29" s="6"/>
    </row>
    <row r="30" customFormat="false" ht="15" hidden="false" customHeight="true" outlineLevel="0" collapsed="false">
      <c r="A30" s="5" t="n">
        <v>29</v>
      </c>
      <c r="B30" s="5" t="s">
        <v>124</v>
      </c>
      <c r="C30" s="5" t="s">
        <v>45</v>
      </c>
      <c r="D30" s="5" t="s">
        <v>46</v>
      </c>
      <c r="E30" s="5" t="n">
        <v>3561</v>
      </c>
      <c r="F30" s="5" t="s">
        <v>124</v>
      </c>
      <c r="G30" s="5" t="n">
        <v>3</v>
      </c>
      <c r="H30" s="5" t="s">
        <v>53</v>
      </c>
      <c r="I30" s="5" t="s">
        <v>64</v>
      </c>
      <c r="J30" s="5"/>
      <c r="K30" s="5"/>
      <c r="L30" s="5" t="n">
        <v>4</v>
      </c>
      <c r="M30" s="5" t="n">
        <v>3</v>
      </c>
      <c r="N30" s="5" t="n">
        <v>2</v>
      </c>
      <c r="O30" s="5" t="n">
        <v>8</v>
      </c>
      <c r="P30" s="5" t="n">
        <v>-3</v>
      </c>
      <c r="Q30" s="5" t="n">
        <v>0.5</v>
      </c>
      <c r="R30" s="5" t="n">
        <v>5</v>
      </c>
      <c r="S30" s="5" t="n">
        <v>2</v>
      </c>
      <c r="T30" s="5" t="s">
        <v>125</v>
      </c>
      <c r="U30" s="6"/>
      <c r="V30" s="6"/>
      <c r="W30" s="6"/>
      <c r="X30" s="6"/>
      <c r="Y30" s="7" t="str">
        <f aca="false">IF(COUNT(U30:X30)=4,(W30-X30)/2,"")</f>
        <v/>
      </c>
      <c r="Z30" s="7" t="str">
        <f aca="false">IF(COUNT(U30:X30)=4,(U30-V30)/2,"")</f>
        <v/>
      </c>
      <c r="AA30" s="7" t="str">
        <f aca="false">IF(COUNT(U30:X30)=4,MAX(1,MIN(10,ROUNDUP(5-Z30,0))),"")</f>
        <v/>
      </c>
      <c r="AB30" s="7" t="str">
        <f aca="false">IF(COUNT(U30:X30)=4,MAX(1,MIN(10,ROUNDUP(Y30+5,0))),"")</f>
        <v/>
      </c>
      <c r="AC30" s="6"/>
      <c r="AD30" s="6"/>
    </row>
    <row r="31" customFormat="false" ht="15" hidden="false" customHeight="true" outlineLevel="0" collapsed="false">
      <c r="A31" s="5" t="n">
        <v>30</v>
      </c>
      <c r="B31" s="5" t="s">
        <v>126</v>
      </c>
      <c r="C31" s="5" t="s">
        <v>127</v>
      </c>
      <c r="D31" s="5" t="s">
        <v>128</v>
      </c>
      <c r="E31" s="5" t="n">
        <v>3408</v>
      </c>
      <c r="F31" s="5" t="s">
        <v>129</v>
      </c>
      <c r="G31" s="5" t="n">
        <v>2</v>
      </c>
      <c r="H31" s="5" t="s">
        <v>47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130</v>
      </c>
      <c r="U31" s="6"/>
      <c r="V31" s="6"/>
      <c r="W31" s="6"/>
      <c r="X31" s="6"/>
      <c r="Y31" s="7" t="str">
        <f aca="false">IF(COUNT(U31:X31)=4,(W31-X31)/2,"")</f>
        <v/>
      </c>
      <c r="Z31" s="7" t="str">
        <f aca="false">IF(COUNT(U31:X31)=4,(U31-V31)/2,"")</f>
        <v/>
      </c>
      <c r="AA31" s="7" t="str">
        <f aca="false">IF(COUNT(U31:X31)=4,MAX(1,MIN(10,ROUNDUP(5-Z31,0))),"")</f>
        <v/>
      </c>
      <c r="AB31" s="7" t="str">
        <f aca="false">IF(COUNT(U31:X31)=4,MAX(1,MIN(10,ROUNDUP(Y31+5,0))),"")</f>
        <v/>
      </c>
      <c r="AC31" s="6"/>
      <c r="AD31" s="6"/>
    </row>
    <row r="32" customFormat="false" ht="15" hidden="false" customHeight="true" outlineLevel="0" collapsed="false">
      <c r="A32" s="5" t="n">
        <v>31</v>
      </c>
      <c r="B32" s="5" t="s">
        <v>131</v>
      </c>
      <c r="C32" s="5" t="s">
        <v>50</v>
      </c>
      <c r="D32" s="5" t="s">
        <v>51</v>
      </c>
      <c r="E32" s="5" t="n">
        <v>3390</v>
      </c>
      <c r="F32" s="5" t="s">
        <v>132</v>
      </c>
      <c r="G32" s="5" t="n">
        <v>3</v>
      </c>
      <c r="H32" s="5" t="s">
        <v>53</v>
      </c>
      <c r="I32" s="5" t="s">
        <v>54</v>
      </c>
      <c r="J32" s="5" t="s">
        <v>55</v>
      </c>
      <c r="K32" s="5" t="s">
        <v>55</v>
      </c>
      <c r="L32" s="5" t="n">
        <v>4</v>
      </c>
      <c r="M32" s="5" t="n">
        <v>3</v>
      </c>
      <c r="N32" s="5" t="n">
        <v>6</v>
      </c>
      <c r="O32" s="5" t="n">
        <v>4</v>
      </c>
      <c r="P32" s="5" t="n">
        <v>1</v>
      </c>
      <c r="Q32" s="5" t="n">
        <v>0.5</v>
      </c>
      <c r="R32" s="5" t="n">
        <v>5</v>
      </c>
      <c r="S32" s="5" t="n">
        <v>6</v>
      </c>
      <c r="T32" s="5" t="s">
        <v>65</v>
      </c>
      <c r="U32" s="6"/>
      <c r="V32" s="6"/>
      <c r="W32" s="6"/>
      <c r="X32" s="6"/>
      <c r="Y32" s="7" t="str">
        <f aca="false">IF(COUNT(U32:X32)=4,(W32-X32)/2,"")</f>
        <v/>
      </c>
      <c r="Z32" s="7" t="str">
        <f aca="false">IF(COUNT(U32:X32)=4,(U32-V32)/2,"")</f>
        <v/>
      </c>
      <c r="AA32" s="7" t="str">
        <f aca="false">IF(COUNT(U32:X32)=4,MAX(1,MIN(10,ROUNDUP(5-Z32,0))),"")</f>
        <v/>
      </c>
      <c r="AB32" s="7" t="str">
        <f aca="false">IF(COUNT(U32:X32)=4,MAX(1,MIN(10,ROUNDUP(Y32+5,0))),"")</f>
        <v/>
      </c>
      <c r="AC32" s="6"/>
      <c r="AD32" s="6"/>
    </row>
    <row r="33" customFormat="false" ht="15" hidden="false" customHeight="true" outlineLevel="0" collapsed="false">
      <c r="A33" s="5" t="n">
        <v>32</v>
      </c>
      <c r="B33" s="5" t="s">
        <v>133</v>
      </c>
      <c r="C33" s="5" t="s">
        <v>50</v>
      </c>
      <c r="D33" s="5" t="s">
        <v>51</v>
      </c>
      <c r="E33" s="5" t="n">
        <v>3370</v>
      </c>
      <c r="F33" s="5" t="s">
        <v>134</v>
      </c>
      <c r="G33" s="5" t="n">
        <v>3</v>
      </c>
      <c r="H33" s="5" t="s">
        <v>53</v>
      </c>
      <c r="I33" s="5" t="s">
        <v>54</v>
      </c>
      <c r="J33" s="5" t="s">
        <v>55</v>
      </c>
      <c r="K33" s="5" t="s">
        <v>55</v>
      </c>
      <c r="L33" s="5" t="n">
        <v>5</v>
      </c>
      <c r="M33" s="5" t="n">
        <v>2</v>
      </c>
      <c r="N33" s="5" t="n">
        <v>5</v>
      </c>
      <c r="O33" s="5" t="n">
        <v>8</v>
      </c>
      <c r="P33" s="5" t="n">
        <v>-1.5</v>
      </c>
      <c r="Q33" s="5" t="n">
        <v>1.5</v>
      </c>
      <c r="R33" s="5" t="n">
        <v>4</v>
      </c>
      <c r="S33" s="5" t="n">
        <v>4</v>
      </c>
      <c r="T33" s="5" t="s">
        <v>135</v>
      </c>
      <c r="U33" s="6"/>
      <c r="V33" s="6"/>
      <c r="W33" s="6"/>
      <c r="X33" s="6"/>
      <c r="Y33" s="7" t="str">
        <f aca="false">IF(COUNT(U33:X33)=4,(W33-X33)/2,"")</f>
        <v/>
      </c>
      <c r="Z33" s="7" t="str">
        <f aca="false">IF(COUNT(U33:X33)=4,(U33-V33)/2,"")</f>
        <v/>
      </c>
      <c r="AA33" s="7" t="str">
        <f aca="false">IF(COUNT(U33:X33)=4,MAX(1,MIN(10,ROUNDUP(5-Z33,0))),"")</f>
        <v/>
      </c>
      <c r="AB33" s="7" t="str">
        <f aca="false">IF(COUNT(U33:X33)=4,MAX(1,MIN(10,ROUNDUP(Y33+5,0))),"")</f>
        <v/>
      </c>
      <c r="AC33" s="6"/>
      <c r="AD33" s="6"/>
    </row>
    <row r="34" customFormat="false" ht="15" hidden="false" customHeight="true" outlineLevel="0" collapsed="false">
      <c r="A34" s="5" t="n">
        <v>33</v>
      </c>
      <c r="B34" s="5" t="s">
        <v>136</v>
      </c>
      <c r="C34" s="5" t="s">
        <v>79</v>
      </c>
      <c r="D34" s="5" t="s">
        <v>80</v>
      </c>
      <c r="E34" s="5" t="n">
        <v>3286</v>
      </c>
      <c r="F34" s="5" t="s">
        <v>136</v>
      </c>
      <c r="G34" s="5" t="n">
        <v>3</v>
      </c>
      <c r="H34" s="5" t="s">
        <v>53</v>
      </c>
      <c r="I34" s="5" t="s">
        <v>81</v>
      </c>
      <c r="J34" s="5" t="s">
        <v>79</v>
      </c>
      <c r="K34" s="5" t="s">
        <v>137</v>
      </c>
      <c r="L34" s="5" t="n">
        <v>6</v>
      </c>
      <c r="M34" s="5" t="n">
        <v>2</v>
      </c>
      <c r="N34" s="5" t="n">
        <v>0</v>
      </c>
      <c r="O34" s="5" t="n">
        <v>10</v>
      </c>
      <c r="P34" s="5" t="n">
        <v>-5</v>
      </c>
      <c r="Q34" s="5" t="n">
        <v>2</v>
      </c>
      <c r="R34" s="5" t="n">
        <v>3</v>
      </c>
      <c r="S34" s="5" t="n">
        <v>1</v>
      </c>
      <c r="T34" s="5" t="s">
        <v>138</v>
      </c>
      <c r="U34" s="6"/>
      <c r="V34" s="6"/>
      <c r="W34" s="6"/>
      <c r="X34" s="6"/>
      <c r="Y34" s="7" t="str">
        <f aca="false">IF(COUNT(U34:X34)=4,(W34-X34)/2,"")</f>
        <v/>
      </c>
      <c r="Z34" s="7" t="str">
        <f aca="false">IF(COUNT(U34:X34)=4,(U34-V34)/2,"")</f>
        <v/>
      </c>
      <c r="AA34" s="7" t="str">
        <f aca="false">IF(COUNT(U34:X34)=4,MAX(1,MIN(10,ROUNDUP(5-Z34,0))),"")</f>
        <v/>
      </c>
      <c r="AB34" s="7" t="str">
        <f aca="false">IF(COUNT(U34:X34)=4,MAX(1,MIN(10,ROUNDUP(Y34+5,0))),"")</f>
        <v/>
      </c>
      <c r="AC34" s="6"/>
      <c r="AD34" s="6"/>
    </row>
    <row r="35" customFormat="false" ht="15" hidden="false" customHeight="true" outlineLevel="0" collapsed="false">
      <c r="A35" s="5" t="n">
        <v>34</v>
      </c>
      <c r="B35" s="5" t="s">
        <v>139</v>
      </c>
      <c r="C35" s="5" t="s">
        <v>45</v>
      </c>
      <c r="D35" s="5" t="s">
        <v>46</v>
      </c>
      <c r="E35" s="5" t="n">
        <v>3036</v>
      </c>
      <c r="F35" s="5" t="s">
        <v>139</v>
      </c>
      <c r="G35" s="5" t="n">
        <v>3</v>
      </c>
      <c r="H35" s="5" t="s">
        <v>53</v>
      </c>
      <c r="I35" s="5" t="s">
        <v>81</v>
      </c>
      <c r="J35" s="5" t="s">
        <v>79</v>
      </c>
      <c r="K35" s="5" t="s">
        <v>82</v>
      </c>
      <c r="L35" s="5" t="n">
        <v>7</v>
      </c>
      <c r="M35" s="5" t="n">
        <v>2</v>
      </c>
      <c r="N35" s="5" t="n">
        <v>3</v>
      </c>
      <c r="O35" s="5" t="n">
        <v>7</v>
      </c>
      <c r="P35" s="5" t="n">
        <v>-2</v>
      </c>
      <c r="Q35" s="5" t="n">
        <v>2.5</v>
      </c>
      <c r="R35" s="5" t="n">
        <v>3</v>
      </c>
      <c r="S35" s="5" t="n">
        <v>3</v>
      </c>
      <c r="T35" s="5" t="s">
        <v>140</v>
      </c>
      <c r="U35" s="6"/>
      <c r="V35" s="6"/>
      <c r="W35" s="6"/>
      <c r="X35" s="6"/>
      <c r="Y35" s="7" t="str">
        <f aca="false">IF(COUNT(U35:X35)=4,(W35-X35)/2,"")</f>
        <v/>
      </c>
      <c r="Z35" s="7" t="str">
        <f aca="false">IF(COUNT(U35:X35)=4,(U35-V35)/2,"")</f>
        <v/>
      </c>
      <c r="AA35" s="7" t="str">
        <f aca="false">IF(COUNT(U35:X35)=4,MAX(1,MIN(10,ROUNDUP(5-Z35,0))),"")</f>
        <v/>
      </c>
      <c r="AB35" s="7" t="str">
        <f aca="false">IF(COUNT(U35:X35)=4,MAX(1,MIN(10,ROUNDUP(Y35+5,0))),"")</f>
        <v/>
      </c>
      <c r="AC35" s="6"/>
      <c r="AD35" s="6"/>
    </row>
    <row r="36" customFormat="false" ht="15" hidden="false" customHeight="true" outlineLevel="0" collapsed="false">
      <c r="A36" s="5" t="n">
        <v>35</v>
      </c>
      <c r="B36" s="5" t="s">
        <v>141</v>
      </c>
      <c r="C36" s="5" t="s">
        <v>67</v>
      </c>
      <c r="D36" s="5" t="s">
        <v>68</v>
      </c>
      <c r="E36" s="5" t="n">
        <v>3001</v>
      </c>
      <c r="F36" s="5" t="s">
        <v>141</v>
      </c>
      <c r="G36" s="5" t="n">
        <v>1</v>
      </c>
      <c r="H36" s="5" t="s">
        <v>47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142</v>
      </c>
      <c r="U36" s="6"/>
      <c r="V36" s="6"/>
      <c r="W36" s="6"/>
      <c r="X36" s="6"/>
      <c r="Y36" s="7" t="str">
        <f aca="false">IF(COUNT(U36:X36)=4,(W36-X36)/2,"")</f>
        <v/>
      </c>
      <c r="Z36" s="7" t="str">
        <f aca="false">IF(COUNT(U36:X36)=4,(U36-V36)/2,"")</f>
        <v/>
      </c>
      <c r="AA36" s="7" t="str">
        <f aca="false">IF(COUNT(U36:X36)=4,MAX(1,MIN(10,ROUNDUP(5-Z36,0))),"")</f>
        <v/>
      </c>
      <c r="AB36" s="7" t="str">
        <f aca="false">IF(COUNT(U36:X36)=4,MAX(1,MIN(10,ROUNDUP(Y36+5,0))),"")</f>
        <v/>
      </c>
      <c r="AC36" s="6"/>
      <c r="AD36" s="6"/>
    </row>
    <row r="37" customFormat="false" ht="15" hidden="false" customHeight="true" outlineLevel="0" collapsed="false">
      <c r="A37" s="5" t="n">
        <v>36</v>
      </c>
      <c r="B37" s="5" t="s">
        <v>143</v>
      </c>
      <c r="C37" s="5" t="s">
        <v>79</v>
      </c>
      <c r="D37" s="5" t="s">
        <v>80</v>
      </c>
      <c r="E37" s="5" t="n">
        <v>2860</v>
      </c>
      <c r="F37" s="5" t="s">
        <v>143</v>
      </c>
      <c r="G37" s="5" t="n">
        <v>3</v>
      </c>
      <c r="H37" s="5" t="s">
        <v>53</v>
      </c>
      <c r="I37" s="5" t="s">
        <v>81</v>
      </c>
      <c r="J37" s="5" t="s">
        <v>79</v>
      </c>
      <c r="K37" s="5" t="s">
        <v>82</v>
      </c>
      <c r="L37" s="5" t="n">
        <v>7</v>
      </c>
      <c r="M37" s="5" t="n">
        <v>2</v>
      </c>
      <c r="N37" s="5" t="n">
        <v>3</v>
      </c>
      <c r="O37" s="5" t="n">
        <v>7</v>
      </c>
      <c r="P37" s="5" t="n">
        <v>-2</v>
      </c>
      <c r="Q37" s="5" t="n">
        <v>2.5</v>
      </c>
      <c r="R37" s="5" t="n">
        <v>3</v>
      </c>
      <c r="S37" s="5" t="n">
        <v>3</v>
      </c>
      <c r="T37" s="5" t="s">
        <v>130</v>
      </c>
      <c r="U37" s="6"/>
      <c r="V37" s="6"/>
      <c r="W37" s="6"/>
      <c r="X37" s="6"/>
      <c r="Y37" s="7" t="str">
        <f aca="false">IF(COUNT(U37:X37)=4,(W37-X37)/2,"")</f>
        <v/>
      </c>
      <c r="Z37" s="7" t="str">
        <f aca="false">IF(COUNT(U37:X37)=4,(U37-V37)/2,"")</f>
        <v/>
      </c>
      <c r="AA37" s="7" t="str">
        <f aca="false">IF(COUNT(U37:X37)=4,MAX(1,MIN(10,ROUNDUP(5-Z37,0))),"")</f>
        <v/>
      </c>
      <c r="AB37" s="7" t="str">
        <f aca="false">IF(COUNT(U37:X37)=4,MAX(1,MIN(10,ROUNDUP(Y37+5,0))),"")</f>
        <v/>
      </c>
      <c r="AC37" s="6"/>
      <c r="AD37" s="6"/>
    </row>
    <row r="38" customFormat="false" ht="15" hidden="false" customHeight="true" outlineLevel="0" collapsed="false">
      <c r="A38" s="5" t="n">
        <v>37</v>
      </c>
      <c r="B38" s="5" t="s">
        <v>144</v>
      </c>
      <c r="C38" s="5" t="s">
        <v>145</v>
      </c>
      <c r="D38" s="5" t="s">
        <v>51</v>
      </c>
      <c r="E38" s="5" t="n">
        <v>2778</v>
      </c>
      <c r="F38" s="5" t="s">
        <v>146</v>
      </c>
      <c r="G38" s="5" t="n">
        <v>4</v>
      </c>
      <c r="H38" s="5" t="s">
        <v>53</v>
      </c>
      <c r="I38" s="5" t="s">
        <v>54</v>
      </c>
      <c r="J38" s="5" t="s">
        <v>55</v>
      </c>
      <c r="K38" s="5" t="s">
        <v>55</v>
      </c>
      <c r="L38" s="5" t="n">
        <v>5</v>
      </c>
      <c r="M38" s="5" t="n">
        <v>2</v>
      </c>
      <c r="N38" s="5" t="n">
        <v>4</v>
      </c>
      <c r="O38" s="5" t="n">
        <v>8</v>
      </c>
      <c r="P38" s="5" t="n">
        <v>-2</v>
      </c>
      <c r="Q38" s="5" t="n">
        <v>1.5</v>
      </c>
      <c r="R38" s="5" t="n">
        <v>4</v>
      </c>
      <c r="S38" s="5" t="n">
        <v>3</v>
      </c>
      <c r="T38" s="5" t="s">
        <v>92</v>
      </c>
      <c r="U38" s="6"/>
      <c r="V38" s="6"/>
      <c r="W38" s="6"/>
      <c r="X38" s="6"/>
      <c r="Y38" s="7" t="str">
        <f aca="false">IF(COUNT(U38:X38)=4,(W38-X38)/2,"")</f>
        <v/>
      </c>
      <c r="Z38" s="7" t="str">
        <f aca="false">IF(COUNT(U38:X38)=4,(U38-V38)/2,"")</f>
        <v/>
      </c>
      <c r="AA38" s="7" t="str">
        <f aca="false">IF(COUNT(U38:X38)=4,MAX(1,MIN(10,ROUNDUP(5-Z38,0))),"")</f>
        <v/>
      </c>
      <c r="AB38" s="7" t="str">
        <f aca="false">IF(COUNT(U38:X38)=4,MAX(1,MIN(10,ROUNDUP(Y38+5,0))),"")</f>
        <v/>
      </c>
      <c r="AC38" s="6"/>
      <c r="AD38" s="6"/>
    </row>
    <row r="39" customFormat="false" ht="15" hidden="false" customHeight="true" outlineLevel="0" collapsed="false">
      <c r="A39" s="5" t="n">
        <v>38</v>
      </c>
      <c r="B39" s="5" t="s">
        <v>147</v>
      </c>
      <c r="C39" s="5" t="s">
        <v>67</v>
      </c>
      <c r="D39" s="5" t="s">
        <v>68</v>
      </c>
      <c r="E39" s="5" t="n">
        <v>2728</v>
      </c>
      <c r="F39" s="5" t="s">
        <v>147</v>
      </c>
      <c r="G39" s="5" t="n">
        <v>1</v>
      </c>
      <c r="H39" s="5" t="s">
        <v>47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71</v>
      </c>
      <c r="U39" s="6"/>
      <c r="V39" s="6"/>
      <c r="W39" s="6"/>
      <c r="X39" s="6"/>
      <c r="Y39" s="7" t="str">
        <f aca="false">IF(COUNT(U39:X39)=4,(W39-X39)/2,"")</f>
        <v/>
      </c>
      <c r="Z39" s="7" t="str">
        <f aca="false">IF(COUNT(U39:X39)=4,(U39-V39)/2,"")</f>
        <v/>
      </c>
      <c r="AA39" s="7" t="str">
        <f aca="false">IF(COUNT(U39:X39)=4,MAX(1,MIN(10,ROUNDUP(5-Z39,0))),"")</f>
        <v/>
      </c>
      <c r="AB39" s="7" t="str">
        <f aca="false">IF(COUNT(U39:X39)=4,MAX(1,MIN(10,ROUNDUP(Y39+5,0))),"")</f>
        <v/>
      </c>
      <c r="AC39" s="6"/>
      <c r="AD39" s="6"/>
    </row>
    <row r="40" customFormat="false" ht="15" hidden="false" customHeight="true" outlineLevel="0" collapsed="false">
      <c r="A40" s="5" t="n">
        <v>39</v>
      </c>
      <c r="B40" s="5" t="s">
        <v>148</v>
      </c>
      <c r="C40" s="5" t="s">
        <v>45</v>
      </c>
      <c r="D40" s="5" t="s">
        <v>46</v>
      </c>
      <c r="E40" s="5" t="n">
        <v>2669</v>
      </c>
      <c r="F40" s="5" t="s">
        <v>148</v>
      </c>
      <c r="G40" s="5" t="n">
        <v>3</v>
      </c>
      <c r="H40" s="5" t="s">
        <v>53</v>
      </c>
      <c r="I40" s="5" t="s">
        <v>81</v>
      </c>
      <c r="J40" s="5" t="s">
        <v>79</v>
      </c>
      <c r="K40" s="5" t="s">
        <v>82</v>
      </c>
      <c r="L40" s="5" t="n">
        <v>7</v>
      </c>
      <c r="M40" s="5" t="n">
        <v>2</v>
      </c>
      <c r="N40" s="5" t="n">
        <v>3</v>
      </c>
      <c r="O40" s="5" t="n">
        <v>7</v>
      </c>
      <c r="P40" s="5" t="n">
        <v>-2</v>
      </c>
      <c r="Q40" s="5" t="n">
        <v>2.5</v>
      </c>
      <c r="R40" s="5" t="n">
        <v>3</v>
      </c>
      <c r="S40" s="5" t="n">
        <v>3</v>
      </c>
      <c r="T40" s="5" t="s">
        <v>149</v>
      </c>
      <c r="U40" s="6"/>
      <c r="V40" s="6"/>
      <c r="W40" s="6"/>
      <c r="X40" s="6"/>
      <c r="Y40" s="7" t="str">
        <f aca="false">IF(COUNT(U40:X40)=4,(W40-X40)/2,"")</f>
        <v/>
      </c>
      <c r="Z40" s="7" t="str">
        <f aca="false">IF(COUNT(U40:X40)=4,(U40-V40)/2,"")</f>
        <v/>
      </c>
      <c r="AA40" s="7" t="str">
        <f aca="false">IF(COUNT(U40:X40)=4,MAX(1,MIN(10,ROUNDUP(5-Z40,0))),"")</f>
        <v/>
      </c>
      <c r="AB40" s="7" t="str">
        <f aca="false">IF(COUNT(U40:X40)=4,MAX(1,MIN(10,ROUNDUP(Y40+5,0))),"")</f>
        <v/>
      </c>
      <c r="AC40" s="6"/>
      <c r="AD40" s="6"/>
    </row>
    <row r="41" customFormat="false" ht="15" hidden="false" customHeight="true" outlineLevel="0" collapsed="false">
      <c r="A41" s="5" t="n">
        <v>40</v>
      </c>
      <c r="B41" s="5" t="s">
        <v>150</v>
      </c>
      <c r="C41" s="5" t="s">
        <v>79</v>
      </c>
      <c r="D41" s="5" t="s">
        <v>80</v>
      </c>
      <c r="E41" s="5" t="n">
        <v>2653</v>
      </c>
      <c r="F41" s="5" t="s">
        <v>151</v>
      </c>
      <c r="G41" s="5" t="n">
        <v>3</v>
      </c>
      <c r="H41" s="5" t="s">
        <v>53</v>
      </c>
      <c r="I41" s="5" t="s">
        <v>81</v>
      </c>
      <c r="J41" s="5" t="s">
        <v>79</v>
      </c>
      <c r="K41" s="5" t="s">
        <v>152</v>
      </c>
      <c r="L41" s="5" t="n">
        <v>10</v>
      </c>
      <c r="M41" s="5" t="n">
        <v>0</v>
      </c>
      <c r="N41" s="5" t="n">
        <v>5</v>
      </c>
      <c r="O41" s="5" t="n">
        <v>5</v>
      </c>
      <c r="P41" s="5" t="n">
        <v>0</v>
      </c>
      <c r="Q41" s="5" t="n">
        <v>5</v>
      </c>
      <c r="R41" s="5" t="n">
        <v>1</v>
      </c>
      <c r="S41" s="5" t="n">
        <v>5</v>
      </c>
      <c r="T41" s="5" t="s">
        <v>153</v>
      </c>
      <c r="U41" s="6"/>
      <c r="V41" s="6"/>
      <c r="W41" s="6"/>
      <c r="X41" s="6"/>
      <c r="Y41" s="7" t="str">
        <f aca="false">IF(COUNT(U41:X41)=4,(W41-X41)/2,"")</f>
        <v/>
      </c>
      <c r="Z41" s="7" t="str">
        <f aca="false">IF(COUNT(U41:X41)=4,(U41-V41)/2,"")</f>
        <v/>
      </c>
      <c r="AA41" s="7" t="str">
        <f aca="false">IF(COUNT(U41:X41)=4,MAX(1,MIN(10,ROUNDUP(5-Z41,0))),"")</f>
        <v/>
      </c>
      <c r="AB41" s="7" t="str">
        <f aca="false">IF(COUNT(U41:X41)=4,MAX(1,MIN(10,ROUNDUP(Y41+5,0))),"")</f>
        <v/>
      </c>
      <c r="AC41" s="6"/>
      <c r="AD41" s="6"/>
    </row>
    <row r="42" customFormat="false" ht="15" hidden="false" customHeight="true" outlineLevel="0" collapsed="false">
      <c r="A42" s="5" t="n">
        <v>41</v>
      </c>
      <c r="B42" s="5" t="s">
        <v>154</v>
      </c>
      <c r="C42" s="5" t="s">
        <v>79</v>
      </c>
      <c r="D42" s="5" t="s">
        <v>80</v>
      </c>
      <c r="E42" s="5" t="n">
        <v>2619</v>
      </c>
      <c r="F42" s="5" t="s">
        <v>154</v>
      </c>
      <c r="G42" s="5" t="n">
        <v>3</v>
      </c>
      <c r="H42" s="5" t="s">
        <v>53</v>
      </c>
      <c r="I42" s="5" t="s">
        <v>81</v>
      </c>
      <c r="J42" s="5" t="s">
        <v>79</v>
      </c>
      <c r="K42" s="5" t="s">
        <v>82</v>
      </c>
      <c r="L42" s="5" t="n">
        <v>7</v>
      </c>
      <c r="M42" s="5" t="n">
        <v>2</v>
      </c>
      <c r="N42" s="5" t="n">
        <v>3</v>
      </c>
      <c r="O42" s="5" t="n">
        <v>7</v>
      </c>
      <c r="P42" s="5" t="n">
        <v>-2</v>
      </c>
      <c r="Q42" s="5" t="n">
        <v>2.5</v>
      </c>
      <c r="R42" s="5" t="n">
        <v>3</v>
      </c>
      <c r="S42" s="5" t="n">
        <v>3</v>
      </c>
      <c r="T42" s="5" t="s">
        <v>155</v>
      </c>
      <c r="U42" s="6"/>
      <c r="V42" s="6"/>
      <c r="W42" s="6"/>
      <c r="X42" s="6"/>
      <c r="Y42" s="7" t="str">
        <f aca="false">IF(COUNT(U42:X42)=4,(W42-X42)/2,"")</f>
        <v/>
      </c>
      <c r="Z42" s="7" t="str">
        <f aca="false">IF(COUNT(U42:X42)=4,(U42-V42)/2,"")</f>
        <v/>
      </c>
      <c r="AA42" s="7" t="str">
        <f aca="false">IF(COUNT(U42:X42)=4,MAX(1,MIN(10,ROUNDUP(5-Z42,0))),"")</f>
        <v/>
      </c>
      <c r="AB42" s="7" t="str">
        <f aca="false">IF(COUNT(U42:X42)=4,MAX(1,MIN(10,ROUNDUP(Y42+5,0))),"")</f>
        <v/>
      </c>
      <c r="AC42" s="6"/>
      <c r="AD42" s="6"/>
    </row>
    <row r="43" customFormat="false" ht="15" hidden="false" customHeight="true" outlineLevel="0" collapsed="false">
      <c r="A43" s="5" t="n">
        <v>42</v>
      </c>
      <c r="B43" s="5" t="s">
        <v>156</v>
      </c>
      <c r="C43" s="5" t="s">
        <v>108</v>
      </c>
      <c r="D43" s="5" t="s">
        <v>109</v>
      </c>
      <c r="E43" s="5" t="n">
        <v>2331</v>
      </c>
      <c r="F43" s="5" t="s">
        <v>156</v>
      </c>
      <c r="G43" s="5" t="n">
        <v>4</v>
      </c>
      <c r="H43" s="5" t="s">
        <v>53</v>
      </c>
      <c r="I43" s="5" t="s">
        <v>64</v>
      </c>
      <c r="J43" s="5"/>
      <c r="K43" s="5"/>
      <c r="L43" s="5" t="n">
        <v>2</v>
      </c>
      <c r="M43" s="5" t="n">
        <v>2</v>
      </c>
      <c r="N43" s="5" t="n">
        <v>2</v>
      </c>
      <c r="O43" s="5" t="n">
        <v>8</v>
      </c>
      <c r="P43" s="5" t="n">
        <v>-3</v>
      </c>
      <c r="Q43" s="5" t="n">
        <v>0</v>
      </c>
      <c r="R43" s="5" t="n">
        <v>5</v>
      </c>
      <c r="S43" s="5" t="n">
        <v>2</v>
      </c>
      <c r="T43" s="5" t="s">
        <v>157</v>
      </c>
      <c r="U43" s="6"/>
      <c r="V43" s="6"/>
      <c r="W43" s="6"/>
      <c r="X43" s="6"/>
      <c r="Y43" s="7" t="str">
        <f aca="false">IF(COUNT(U43:X43)=4,(W43-X43)/2,"")</f>
        <v/>
      </c>
      <c r="Z43" s="7" t="str">
        <f aca="false">IF(COUNT(U43:X43)=4,(U43-V43)/2,"")</f>
        <v/>
      </c>
      <c r="AA43" s="7" t="str">
        <f aca="false">IF(COUNT(U43:X43)=4,MAX(1,MIN(10,ROUNDUP(5-Z43,0))),"")</f>
        <v/>
      </c>
      <c r="AB43" s="7" t="str">
        <f aca="false">IF(COUNT(U43:X43)=4,MAX(1,MIN(10,ROUNDUP(Y43+5,0))),"")</f>
        <v/>
      </c>
      <c r="AC43" s="6"/>
      <c r="AD43" s="6"/>
    </row>
    <row r="44" customFormat="false" ht="15" hidden="false" customHeight="true" outlineLevel="0" collapsed="false">
      <c r="A44" s="5" t="n">
        <v>43</v>
      </c>
      <c r="B44" s="5" t="s">
        <v>158</v>
      </c>
      <c r="C44" s="5" t="s">
        <v>145</v>
      </c>
      <c r="D44" s="5" t="s">
        <v>51</v>
      </c>
      <c r="E44" s="5" t="n">
        <v>2319</v>
      </c>
      <c r="F44" s="5" t="s">
        <v>159</v>
      </c>
      <c r="G44" s="5" t="n">
        <v>4</v>
      </c>
      <c r="H44" s="5" t="s">
        <v>53</v>
      </c>
      <c r="I44" s="5" t="s">
        <v>54</v>
      </c>
      <c r="J44" s="5" t="s">
        <v>55</v>
      </c>
      <c r="K44" s="5" t="s">
        <v>55</v>
      </c>
      <c r="L44" s="5" t="n">
        <v>5</v>
      </c>
      <c r="M44" s="5" t="n">
        <v>2</v>
      </c>
      <c r="N44" s="5" t="n">
        <v>5</v>
      </c>
      <c r="O44" s="5" t="n">
        <v>8</v>
      </c>
      <c r="P44" s="5" t="n">
        <v>-1.5</v>
      </c>
      <c r="Q44" s="5" t="n">
        <v>1.5</v>
      </c>
      <c r="R44" s="5" t="n">
        <v>4</v>
      </c>
      <c r="S44" s="5" t="n">
        <v>4</v>
      </c>
      <c r="T44" s="5" t="s">
        <v>92</v>
      </c>
      <c r="U44" s="6"/>
      <c r="V44" s="6"/>
      <c r="W44" s="6"/>
      <c r="X44" s="6"/>
      <c r="Y44" s="7" t="str">
        <f aca="false">IF(COUNT(U44:X44)=4,(W44-X44)/2,"")</f>
        <v/>
      </c>
      <c r="Z44" s="7" t="str">
        <f aca="false">IF(COUNT(U44:X44)=4,(U44-V44)/2,"")</f>
        <v/>
      </c>
      <c r="AA44" s="7" t="str">
        <f aca="false">IF(COUNT(U44:X44)=4,MAX(1,MIN(10,ROUNDUP(5-Z44,0))),"")</f>
        <v/>
      </c>
      <c r="AB44" s="7" t="str">
        <f aca="false">IF(COUNT(U44:X44)=4,MAX(1,MIN(10,ROUNDUP(Y44+5,0))),"")</f>
        <v/>
      </c>
      <c r="AC44" s="6"/>
      <c r="AD44" s="6"/>
    </row>
    <row r="45" customFormat="false" ht="15" hidden="false" customHeight="true" outlineLevel="0" collapsed="false">
      <c r="A45" s="5" t="n">
        <v>44</v>
      </c>
      <c r="B45" s="5" t="s">
        <v>160</v>
      </c>
      <c r="C45" s="5" t="s">
        <v>79</v>
      </c>
      <c r="D45" s="5" t="s">
        <v>80</v>
      </c>
      <c r="E45" s="5" t="n">
        <v>2252</v>
      </c>
      <c r="F45" s="5" t="s">
        <v>160</v>
      </c>
      <c r="G45" s="5" t="n">
        <v>3</v>
      </c>
      <c r="H45" s="5" t="s">
        <v>53</v>
      </c>
      <c r="I45" s="5" t="s">
        <v>64</v>
      </c>
      <c r="J45" s="5"/>
      <c r="K45" s="5"/>
      <c r="L45" s="5" t="n">
        <v>4</v>
      </c>
      <c r="M45" s="5" t="n">
        <v>3</v>
      </c>
      <c r="N45" s="5" t="n">
        <v>2</v>
      </c>
      <c r="O45" s="5" t="n">
        <v>8</v>
      </c>
      <c r="P45" s="5" t="n">
        <v>-3</v>
      </c>
      <c r="Q45" s="5" t="n">
        <v>0.5</v>
      </c>
      <c r="R45" s="5" t="n">
        <v>5</v>
      </c>
      <c r="S45" s="5" t="n">
        <v>2</v>
      </c>
      <c r="T45" s="5" t="s">
        <v>161</v>
      </c>
      <c r="U45" s="6"/>
      <c r="V45" s="6"/>
      <c r="W45" s="6"/>
      <c r="X45" s="6"/>
      <c r="Y45" s="7" t="str">
        <f aca="false">IF(COUNT(U45:X45)=4,(W45-X45)/2,"")</f>
        <v/>
      </c>
      <c r="Z45" s="7" t="str">
        <f aca="false">IF(COUNT(U45:X45)=4,(U45-V45)/2,"")</f>
        <v/>
      </c>
      <c r="AA45" s="7" t="str">
        <f aca="false">IF(COUNT(U45:X45)=4,MAX(1,MIN(10,ROUNDUP(5-Z45,0))),"")</f>
        <v/>
      </c>
      <c r="AB45" s="7" t="str">
        <f aca="false">IF(COUNT(U45:X45)=4,MAX(1,MIN(10,ROUNDUP(Y45+5,0))),"")</f>
        <v/>
      </c>
      <c r="AC45" s="6"/>
      <c r="AD45" s="6"/>
    </row>
    <row r="46" customFormat="false" ht="15" hidden="false" customHeight="true" outlineLevel="0" collapsed="false">
      <c r="A46" s="5" t="n">
        <v>45</v>
      </c>
      <c r="B46" s="5" t="s">
        <v>162</v>
      </c>
      <c r="C46" s="5" t="s">
        <v>58</v>
      </c>
      <c r="D46" s="5" t="s">
        <v>59</v>
      </c>
      <c r="E46" s="5" t="n">
        <v>2198</v>
      </c>
      <c r="F46" s="5" t="s">
        <v>162</v>
      </c>
      <c r="G46" s="5" t="n">
        <v>3</v>
      </c>
      <c r="H46" s="5" t="s">
        <v>53</v>
      </c>
      <c r="I46" s="5" t="s">
        <v>64</v>
      </c>
      <c r="J46" s="5"/>
      <c r="K46" s="5"/>
      <c r="L46" s="5" t="n">
        <v>9</v>
      </c>
      <c r="M46" s="5" t="n">
        <v>1</v>
      </c>
      <c r="N46" s="5" t="n">
        <v>3</v>
      </c>
      <c r="O46" s="5" t="n">
        <v>6</v>
      </c>
      <c r="P46" s="5" t="n">
        <v>-1.5</v>
      </c>
      <c r="Q46" s="5" t="n">
        <v>4</v>
      </c>
      <c r="R46" s="5" t="n">
        <v>1</v>
      </c>
      <c r="S46" s="5" t="n">
        <v>4</v>
      </c>
      <c r="T46" s="5" t="s">
        <v>163</v>
      </c>
      <c r="U46" s="6"/>
      <c r="V46" s="6"/>
      <c r="W46" s="6"/>
      <c r="X46" s="6"/>
      <c r="Y46" s="7" t="str">
        <f aca="false">IF(COUNT(U46:X46)=4,(W46-X46)/2,"")</f>
        <v/>
      </c>
      <c r="Z46" s="7" t="str">
        <f aca="false">IF(COUNT(U46:X46)=4,(U46-V46)/2,"")</f>
        <v/>
      </c>
      <c r="AA46" s="7" t="str">
        <f aca="false">IF(COUNT(U46:X46)=4,MAX(1,MIN(10,ROUNDUP(5-Z46,0))),"")</f>
        <v/>
      </c>
      <c r="AB46" s="7" t="str">
        <f aca="false">IF(COUNT(U46:X46)=4,MAX(1,MIN(10,ROUNDUP(Y46+5,0))),"")</f>
        <v/>
      </c>
      <c r="AC46" s="6"/>
      <c r="AD46" s="6"/>
    </row>
    <row r="47" customFormat="false" ht="15" hidden="false" customHeight="true" outlineLevel="0" collapsed="false">
      <c r="A47" s="5" t="n">
        <v>46</v>
      </c>
      <c r="B47" s="5" t="s">
        <v>47</v>
      </c>
      <c r="C47" s="5" t="s">
        <v>45</v>
      </c>
      <c r="D47" s="5" t="s">
        <v>46</v>
      </c>
      <c r="E47" s="5" t="n">
        <v>2140</v>
      </c>
      <c r="F47" s="5" t="s">
        <v>164</v>
      </c>
      <c r="G47" s="5" t="n">
        <v>1</v>
      </c>
      <c r="H47" s="5" t="s">
        <v>47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112</v>
      </c>
      <c r="U47" s="6"/>
      <c r="V47" s="6"/>
      <c r="W47" s="6"/>
      <c r="X47" s="6"/>
      <c r="Y47" s="7" t="str">
        <f aca="false">IF(COUNT(U47:X47)=4,(W47-X47)/2,"")</f>
        <v/>
      </c>
      <c r="Z47" s="7" t="str">
        <f aca="false">IF(COUNT(U47:X47)=4,(U47-V47)/2,"")</f>
        <v/>
      </c>
      <c r="AA47" s="7" t="str">
        <f aca="false">IF(COUNT(U47:X47)=4,MAX(1,MIN(10,ROUNDUP(5-Z47,0))),"")</f>
        <v/>
      </c>
      <c r="AB47" s="7" t="str">
        <f aca="false">IF(COUNT(U47:X47)=4,MAX(1,MIN(10,ROUNDUP(Y47+5,0))),"")</f>
        <v/>
      </c>
      <c r="AC47" s="6"/>
      <c r="AD47" s="6"/>
    </row>
    <row r="48" customFormat="false" ht="15" hidden="false" customHeight="true" outlineLevel="0" collapsed="false">
      <c r="A48" s="5" t="n">
        <v>47</v>
      </c>
      <c r="B48" s="5" t="s">
        <v>165</v>
      </c>
      <c r="C48" s="5" t="s">
        <v>67</v>
      </c>
      <c r="D48" s="5" t="s">
        <v>68</v>
      </c>
      <c r="E48" s="5" t="n">
        <v>2098</v>
      </c>
      <c r="F48" s="5" t="s">
        <v>166</v>
      </c>
      <c r="G48" s="5" t="n">
        <v>1</v>
      </c>
      <c r="H48" s="5" t="s">
        <v>47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138</v>
      </c>
      <c r="U48" s="6"/>
      <c r="V48" s="6"/>
      <c r="W48" s="6"/>
      <c r="X48" s="6"/>
      <c r="Y48" s="7" t="str">
        <f aca="false">IF(COUNT(U48:X48)=4,(W48-X48)/2,"")</f>
        <v/>
      </c>
      <c r="Z48" s="7" t="str">
        <f aca="false">IF(COUNT(U48:X48)=4,(U48-V48)/2,"")</f>
        <v/>
      </c>
      <c r="AA48" s="7" t="str">
        <f aca="false">IF(COUNT(U48:X48)=4,MAX(1,MIN(10,ROUNDUP(5-Z48,0))),"")</f>
        <v/>
      </c>
      <c r="AB48" s="7" t="str">
        <f aca="false">IF(COUNT(U48:X48)=4,MAX(1,MIN(10,ROUNDUP(Y48+5,0))),"")</f>
        <v/>
      </c>
      <c r="AC48" s="6"/>
      <c r="AD48" s="6"/>
    </row>
    <row r="49" customFormat="false" ht="15" hidden="false" customHeight="true" outlineLevel="0" collapsed="false">
      <c r="A49" s="5" t="n">
        <v>48</v>
      </c>
      <c r="B49" s="5" t="s">
        <v>167</v>
      </c>
      <c r="C49" s="5" t="s">
        <v>50</v>
      </c>
      <c r="D49" s="5" t="s">
        <v>51</v>
      </c>
      <c r="E49" s="5" t="n">
        <v>2074</v>
      </c>
      <c r="F49" s="5" t="s">
        <v>168</v>
      </c>
      <c r="G49" s="5" t="n">
        <v>1</v>
      </c>
      <c r="H49" s="5" t="s">
        <v>47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169</v>
      </c>
      <c r="U49" s="6"/>
      <c r="V49" s="6"/>
      <c r="W49" s="6"/>
      <c r="X49" s="6"/>
      <c r="Y49" s="7" t="str">
        <f aca="false">IF(COUNT(U49:X49)=4,(W49-X49)/2,"")</f>
        <v/>
      </c>
      <c r="Z49" s="7" t="str">
        <f aca="false">IF(COUNT(U49:X49)=4,(U49-V49)/2,"")</f>
        <v/>
      </c>
      <c r="AA49" s="7" t="str">
        <f aca="false">IF(COUNT(U49:X49)=4,MAX(1,MIN(10,ROUNDUP(5-Z49,0))),"")</f>
        <v/>
      </c>
      <c r="AB49" s="7" t="str">
        <f aca="false">IF(COUNT(U49:X49)=4,MAX(1,MIN(10,ROUNDUP(Y49+5,0))),"")</f>
        <v/>
      </c>
      <c r="AC49" s="6"/>
      <c r="AD49" s="6"/>
    </row>
    <row r="50" customFormat="false" ht="15" hidden="false" customHeight="true" outlineLevel="0" collapsed="false">
      <c r="A50" s="5" t="n">
        <v>49</v>
      </c>
      <c r="B50" s="5" t="s">
        <v>170</v>
      </c>
      <c r="C50" s="5" t="s">
        <v>171</v>
      </c>
      <c r="D50" s="5" t="s">
        <v>172</v>
      </c>
      <c r="E50" s="5" t="n">
        <v>1985</v>
      </c>
      <c r="F50" s="5" t="s">
        <v>173</v>
      </c>
      <c r="G50" s="5" t="n">
        <v>4</v>
      </c>
      <c r="H50" s="5" t="s">
        <v>53</v>
      </c>
      <c r="I50" s="5" t="s">
        <v>81</v>
      </c>
      <c r="J50" s="5" t="s">
        <v>174</v>
      </c>
      <c r="K50" s="5" t="s">
        <v>175</v>
      </c>
      <c r="L50" s="5" t="n">
        <v>7</v>
      </c>
      <c r="M50" s="5" t="n">
        <v>1</v>
      </c>
      <c r="N50" s="5" t="n">
        <v>3</v>
      </c>
      <c r="O50" s="5" t="n">
        <v>8</v>
      </c>
      <c r="P50" s="5" t="n">
        <v>-2.5</v>
      </c>
      <c r="Q50" s="5" t="n">
        <v>3</v>
      </c>
      <c r="R50" s="5" t="n">
        <v>2</v>
      </c>
      <c r="S50" s="5" t="n">
        <v>3</v>
      </c>
      <c r="T50" s="5" t="s">
        <v>176</v>
      </c>
      <c r="U50" s="6"/>
      <c r="V50" s="6"/>
      <c r="W50" s="6"/>
      <c r="X50" s="6"/>
      <c r="Y50" s="7" t="str">
        <f aca="false">IF(COUNT(U50:X50)=4,(W50-X50)/2,"")</f>
        <v/>
      </c>
      <c r="Z50" s="7" t="str">
        <f aca="false">IF(COUNT(U50:X50)=4,(U50-V50)/2,"")</f>
        <v/>
      </c>
      <c r="AA50" s="7" t="str">
        <f aca="false">IF(COUNT(U50:X50)=4,MAX(1,MIN(10,ROUNDUP(5-Z50,0))),"")</f>
        <v/>
      </c>
      <c r="AB50" s="7" t="str">
        <f aca="false">IF(COUNT(U50:X50)=4,MAX(1,MIN(10,ROUNDUP(Y50+5,0))),"")</f>
        <v/>
      </c>
      <c r="AC50" s="6"/>
      <c r="AD50" s="6"/>
    </row>
    <row r="51" customFormat="false" ht="15" hidden="false" customHeight="true" outlineLevel="0" collapsed="false">
      <c r="A51" s="5" t="n">
        <v>50</v>
      </c>
      <c r="B51" s="5" t="s">
        <v>177</v>
      </c>
      <c r="C51" s="5" t="s">
        <v>108</v>
      </c>
      <c r="D51" s="5" t="s">
        <v>109</v>
      </c>
      <c r="E51" s="5" t="n">
        <v>1985</v>
      </c>
      <c r="F51" s="5" t="s">
        <v>177</v>
      </c>
      <c r="G51" s="5" t="n">
        <v>4</v>
      </c>
      <c r="H51" s="5" t="s">
        <v>53</v>
      </c>
      <c r="I51" s="5" t="s">
        <v>64</v>
      </c>
      <c r="J51" s="5"/>
      <c r="K51" s="5"/>
      <c r="L51" s="5" t="n">
        <v>2</v>
      </c>
      <c r="M51" s="5" t="n">
        <v>7</v>
      </c>
      <c r="N51" s="5" t="n">
        <v>3</v>
      </c>
      <c r="O51" s="5" t="n">
        <v>6</v>
      </c>
      <c r="P51" s="5" t="n">
        <v>-1.5</v>
      </c>
      <c r="Q51" s="5" t="n">
        <v>-2.5</v>
      </c>
      <c r="R51" s="5" t="n">
        <v>8</v>
      </c>
      <c r="S51" s="5" t="n">
        <v>4</v>
      </c>
      <c r="T51" s="5" t="s">
        <v>178</v>
      </c>
      <c r="U51" s="6"/>
      <c r="V51" s="6"/>
      <c r="W51" s="6"/>
      <c r="X51" s="6"/>
      <c r="Y51" s="7" t="str">
        <f aca="false">IF(COUNT(U51:X51)=4,(W51-X51)/2,"")</f>
        <v/>
      </c>
      <c r="Z51" s="7" t="str">
        <f aca="false">IF(COUNT(U51:X51)=4,(U51-V51)/2,"")</f>
        <v/>
      </c>
      <c r="AA51" s="7" t="str">
        <f aca="false">IF(COUNT(U51:X51)=4,MAX(1,MIN(10,ROUNDUP(5-Z51,0))),"")</f>
        <v/>
      </c>
      <c r="AB51" s="7" t="str">
        <f aca="false">IF(COUNT(U51:X51)=4,MAX(1,MIN(10,ROUNDUP(Y51+5,0))),"")</f>
        <v/>
      </c>
      <c r="AC51" s="6"/>
      <c r="AD51" s="6"/>
    </row>
    <row r="52" customFormat="false" ht="15" hidden="false" customHeight="true" outlineLevel="0" collapsed="false">
      <c r="A52" s="5" t="n">
        <v>51</v>
      </c>
      <c r="B52" s="5" t="s">
        <v>179</v>
      </c>
      <c r="C52" s="5" t="s">
        <v>171</v>
      </c>
      <c r="D52" s="5" t="s">
        <v>172</v>
      </c>
      <c r="E52" s="5" t="n">
        <v>1909</v>
      </c>
      <c r="F52" s="5" t="s">
        <v>180</v>
      </c>
      <c r="G52" s="5" t="n">
        <v>4</v>
      </c>
      <c r="H52" s="5" t="s">
        <v>53</v>
      </c>
      <c r="I52" s="5" t="s">
        <v>54</v>
      </c>
      <c r="J52" s="5" t="s">
        <v>181</v>
      </c>
      <c r="K52" s="5" t="s">
        <v>182</v>
      </c>
      <c r="L52" s="5" t="n">
        <v>3</v>
      </c>
      <c r="M52" s="5" t="n">
        <v>6</v>
      </c>
      <c r="N52" s="5" t="n">
        <v>7</v>
      </c>
      <c r="O52" s="5" t="n">
        <v>3</v>
      </c>
      <c r="P52" s="5" t="n">
        <v>2</v>
      </c>
      <c r="Q52" s="5" t="n">
        <v>-1.5</v>
      </c>
      <c r="R52" s="5" t="n">
        <v>7</v>
      </c>
      <c r="S52" s="5" t="n">
        <v>7</v>
      </c>
      <c r="T52" s="5" t="s">
        <v>76</v>
      </c>
      <c r="U52" s="6"/>
      <c r="V52" s="6"/>
      <c r="W52" s="6"/>
      <c r="X52" s="6"/>
      <c r="Y52" s="7" t="str">
        <f aca="false">IF(COUNT(U52:X52)=4,(W52-X52)/2,"")</f>
        <v/>
      </c>
      <c r="Z52" s="7" t="str">
        <f aca="false">IF(COUNT(U52:X52)=4,(U52-V52)/2,"")</f>
        <v/>
      </c>
      <c r="AA52" s="7" t="str">
        <f aca="false">IF(COUNT(U52:X52)=4,MAX(1,MIN(10,ROUNDUP(5-Z52,0))),"")</f>
        <v/>
      </c>
      <c r="AB52" s="7" t="str">
        <f aca="false">IF(COUNT(U52:X52)=4,MAX(1,MIN(10,ROUNDUP(Y52+5,0))),"")</f>
        <v/>
      </c>
      <c r="AC52" s="6"/>
      <c r="AD52" s="6"/>
    </row>
    <row r="53" customFormat="false" ht="15" hidden="false" customHeight="true" outlineLevel="0" collapsed="false">
      <c r="A53" s="5" t="n">
        <v>52</v>
      </c>
      <c r="B53" s="5" t="s">
        <v>183</v>
      </c>
      <c r="C53" s="5" t="s">
        <v>45</v>
      </c>
      <c r="D53" s="5" t="s">
        <v>46</v>
      </c>
      <c r="E53" s="5" t="n">
        <v>1908</v>
      </c>
      <c r="F53" s="5" t="s">
        <v>183</v>
      </c>
      <c r="G53" s="5" t="n">
        <v>1</v>
      </c>
      <c r="H53" s="5" t="s">
        <v>47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184</v>
      </c>
      <c r="U53" s="6"/>
      <c r="V53" s="6"/>
      <c r="W53" s="6"/>
      <c r="X53" s="6"/>
      <c r="Y53" s="7" t="str">
        <f aca="false">IF(COUNT(U53:X53)=4,(W53-X53)/2,"")</f>
        <v/>
      </c>
      <c r="Z53" s="7" t="str">
        <f aca="false">IF(COUNT(U53:X53)=4,(U53-V53)/2,"")</f>
        <v/>
      </c>
      <c r="AA53" s="7" t="str">
        <f aca="false">IF(COUNT(U53:X53)=4,MAX(1,MIN(10,ROUNDUP(5-Z53,0))),"")</f>
        <v/>
      </c>
      <c r="AB53" s="7" t="str">
        <f aca="false">IF(COUNT(U53:X53)=4,MAX(1,MIN(10,ROUNDUP(Y53+5,0))),"")</f>
        <v/>
      </c>
      <c r="AC53" s="6"/>
      <c r="AD53" s="6"/>
    </row>
    <row r="54" customFormat="false" ht="15" hidden="false" customHeight="true" outlineLevel="0" collapsed="false">
      <c r="A54" s="5" t="n">
        <v>53</v>
      </c>
      <c r="B54" s="5" t="s">
        <v>185</v>
      </c>
      <c r="C54" s="5" t="s">
        <v>67</v>
      </c>
      <c r="D54" s="5" t="s">
        <v>68</v>
      </c>
      <c r="E54" s="5" t="n">
        <v>1894</v>
      </c>
      <c r="F54" s="5" t="s">
        <v>186</v>
      </c>
      <c r="G54" s="5" t="n">
        <v>1</v>
      </c>
      <c r="H54" s="5" t="s">
        <v>47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187</v>
      </c>
      <c r="U54" s="6"/>
      <c r="V54" s="6"/>
      <c r="W54" s="6"/>
      <c r="X54" s="6"/>
      <c r="Y54" s="7" t="str">
        <f aca="false">IF(COUNT(U54:X54)=4,(W54-X54)/2,"")</f>
        <v/>
      </c>
      <c r="Z54" s="7" t="str">
        <f aca="false">IF(COUNT(U54:X54)=4,(U54-V54)/2,"")</f>
        <v/>
      </c>
      <c r="AA54" s="7" t="str">
        <f aca="false">IF(COUNT(U54:X54)=4,MAX(1,MIN(10,ROUNDUP(5-Z54,0))),"")</f>
        <v/>
      </c>
      <c r="AB54" s="7" t="str">
        <f aca="false">IF(COUNT(U54:X54)=4,MAX(1,MIN(10,ROUNDUP(Y54+5,0))),"")</f>
        <v/>
      </c>
      <c r="AC54" s="6"/>
      <c r="AD54" s="6"/>
    </row>
    <row r="55" customFormat="false" ht="15" hidden="false" customHeight="true" outlineLevel="0" collapsed="false">
      <c r="A55" s="5" t="n">
        <v>54</v>
      </c>
      <c r="B55" s="5" t="s">
        <v>188</v>
      </c>
      <c r="C55" s="5" t="s">
        <v>45</v>
      </c>
      <c r="D55" s="5" t="s">
        <v>46</v>
      </c>
      <c r="E55" s="5" t="n">
        <v>1858</v>
      </c>
      <c r="F55" s="5" t="s">
        <v>188</v>
      </c>
      <c r="G55" s="5" t="n">
        <v>1</v>
      </c>
      <c r="H55" s="5" t="s">
        <v>47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142</v>
      </c>
      <c r="U55" s="6"/>
      <c r="V55" s="6"/>
      <c r="W55" s="6"/>
      <c r="X55" s="6"/>
      <c r="Y55" s="7" t="str">
        <f aca="false">IF(COUNT(U55:X55)=4,(W55-X55)/2,"")</f>
        <v/>
      </c>
      <c r="Z55" s="7" t="str">
        <f aca="false">IF(COUNT(U55:X55)=4,(U55-V55)/2,"")</f>
        <v/>
      </c>
      <c r="AA55" s="7" t="str">
        <f aca="false">IF(COUNT(U55:X55)=4,MAX(1,MIN(10,ROUNDUP(5-Z55,0))),"")</f>
        <v/>
      </c>
      <c r="AB55" s="7" t="str">
        <f aca="false">IF(COUNT(U55:X55)=4,MAX(1,MIN(10,ROUNDUP(Y55+5,0))),"")</f>
        <v/>
      </c>
      <c r="AC55" s="6"/>
      <c r="AD55" s="6"/>
    </row>
    <row r="56" customFormat="false" ht="15" hidden="false" customHeight="true" outlineLevel="0" collapsed="false">
      <c r="A56" s="5" t="n">
        <v>55</v>
      </c>
      <c r="B56" s="5" t="s">
        <v>189</v>
      </c>
      <c r="C56" s="5" t="s">
        <v>58</v>
      </c>
      <c r="D56" s="5" t="s">
        <v>59</v>
      </c>
      <c r="E56" s="5" t="n">
        <v>1815</v>
      </c>
      <c r="F56" s="5" t="s">
        <v>189</v>
      </c>
      <c r="G56" s="5" t="n">
        <v>1</v>
      </c>
      <c r="H56" s="5" t="s">
        <v>47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190</v>
      </c>
      <c r="U56" s="6"/>
      <c r="V56" s="6"/>
      <c r="W56" s="6"/>
      <c r="X56" s="6"/>
      <c r="Y56" s="7" t="str">
        <f aca="false">IF(COUNT(U56:X56)=4,(W56-X56)/2,"")</f>
        <v/>
      </c>
      <c r="Z56" s="7" t="str">
        <f aca="false">IF(COUNT(U56:X56)=4,(U56-V56)/2,"")</f>
        <v/>
      </c>
      <c r="AA56" s="7" t="str">
        <f aca="false">IF(COUNT(U56:X56)=4,MAX(1,MIN(10,ROUNDUP(5-Z56,0))),"")</f>
        <v/>
      </c>
      <c r="AB56" s="7" t="str">
        <f aca="false">IF(COUNT(U56:X56)=4,MAX(1,MIN(10,ROUNDUP(Y56+5,0))),"")</f>
        <v/>
      </c>
      <c r="AC56" s="6"/>
      <c r="AD56" s="6"/>
    </row>
    <row r="57" customFormat="false" ht="15" hidden="false" customHeight="true" outlineLevel="0" collapsed="false">
      <c r="A57" s="5" t="n">
        <v>56</v>
      </c>
      <c r="B57" s="5" t="s">
        <v>191</v>
      </c>
      <c r="C57" s="5" t="s">
        <v>145</v>
      </c>
      <c r="D57" s="5" t="s">
        <v>51</v>
      </c>
      <c r="E57" s="5" t="n">
        <v>1813</v>
      </c>
      <c r="F57" s="5" t="s">
        <v>192</v>
      </c>
      <c r="G57" s="5" t="n">
        <v>4</v>
      </c>
      <c r="H57" s="5" t="s">
        <v>53</v>
      </c>
      <c r="I57" s="5" t="s">
        <v>54</v>
      </c>
      <c r="J57" s="5" t="s">
        <v>55</v>
      </c>
      <c r="K57" s="5" t="s">
        <v>55</v>
      </c>
      <c r="L57" s="5" t="n">
        <v>5</v>
      </c>
      <c r="M57" s="5" t="n">
        <v>2</v>
      </c>
      <c r="N57" s="5" t="n">
        <v>8</v>
      </c>
      <c r="O57" s="5" t="n">
        <v>2</v>
      </c>
      <c r="P57" s="5" t="n">
        <v>3</v>
      </c>
      <c r="Q57" s="5" t="n">
        <v>1.5</v>
      </c>
      <c r="R57" s="5" t="n">
        <v>4</v>
      </c>
      <c r="S57" s="5" t="n">
        <v>8</v>
      </c>
      <c r="T57" s="5" t="s">
        <v>193</v>
      </c>
      <c r="U57" s="6"/>
      <c r="V57" s="6"/>
      <c r="W57" s="6"/>
      <c r="X57" s="6"/>
      <c r="Y57" s="7" t="str">
        <f aca="false">IF(COUNT(U57:X57)=4,(W57-X57)/2,"")</f>
        <v/>
      </c>
      <c r="Z57" s="7" t="str">
        <f aca="false">IF(COUNT(U57:X57)=4,(U57-V57)/2,"")</f>
        <v/>
      </c>
      <c r="AA57" s="7" t="str">
        <f aca="false">IF(COUNT(U57:X57)=4,MAX(1,MIN(10,ROUNDUP(5-Z57,0))),"")</f>
        <v/>
      </c>
      <c r="AB57" s="7" t="str">
        <f aca="false">IF(COUNT(U57:X57)=4,MAX(1,MIN(10,ROUNDUP(Y57+5,0))),"")</f>
        <v/>
      </c>
      <c r="AC57" s="6"/>
      <c r="AD57" s="6"/>
    </row>
    <row r="58" customFormat="false" ht="15" hidden="false" customHeight="true" outlineLevel="0" collapsed="false">
      <c r="A58" s="5" t="n">
        <v>57</v>
      </c>
      <c r="B58" s="5" t="s">
        <v>194</v>
      </c>
      <c r="C58" s="5" t="s">
        <v>58</v>
      </c>
      <c r="D58" s="5" t="s">
        <v>59</v>
      </c>
      <c r="E58" s="5" t="n">
        <v>1791</v>
      </c>
      <c r="F58" s="5" t="s">
        <v>194</v>
      </c>
      <c r="G58" s="5" t="n">
        <v>1</v>
      </c>
      <c r="H58" s="5" t="s">
        <v>47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195</v>
      </c>
      <c r="U58" s="6"/>
      <c r="V58" s="6"/>
      <c r="W58" s="6"/>
      <c r="X58" s="6"/>
      <c r="Y58" s="7" t="str">
        <f aca="false">IF(COUNT(U58:X58)=4,(W58-X58)/2,"")</f>
        <v/>
      </c>
      <c r="Z58" s="7" t="str">
        <f aca="false">IF(COUNT(U58:X58)=4,(U58-V58)/2,"")</f>
        <v/>
      </c>
      <c r="AA58" s="7" t="str">
        <f aca="false">IF(COUNT(U58:X58)=4,MAX(1,MIN(10,ROUNDUP(5-Z58,0))),"")</f>
        <v/>
      </c>
      <c r="AB58" s="7" t="str">
        <f aca="false">IF(COUNT(U58:X58)=4,MAX(1,MIN(10,ROUNDUP(Y58+5,0))),"")</f>
        <v/>
      </c>
      <c r="AC58" s="6"/>
      <c r="AD58" s="6"/>
    </row>
    <row r="59" customFormat="false" ht="15" hidden="false" customHeight="true" outlineLevel="0" collapsed="false">
      <c r="A59" s="5" t="n">
        <v>58</v>
      </c>
      <c r="B59" s="5" t="s">
        <v>196</v>
      </c>
      <c r="C59" s="5" t="s">
        <v>58</v>
      </c>
      <c r="D59" s="5" t="s">
        <v>59</v>
      </c>
      <c r="E59" s="5" t="n">
        <v>1790</v>
      </c>
      <c r="F59" s="5" t="s">
        <v>196</v>
      </c>
      <c r="G59" s="5" t="n">
        <v>3</v>
      </c>
      <c r="H59" s="5" t="s">
        <v>53</v>
      </c>
      <c r="I59" s="5" t="s">
        <v>64</v>
      </c>
      <c r="J59" s="5"/>
      <c r="K59" s="5"/>
      <c r="L59" s="5" t="n">
        <v>4</v>
      </c>
      <c r="M59" s="5" t="n">
        <v>3</v>
      </c>
      <c r="N59" s="5" t="n">
        <v>2</v>
      </c>
      <c r="O59" s="5" t="n">
        <v>9</v>
      </c>
      <c r="P59" s="5" t="n">
        <v>-3.5</v>
      </c>
      <c r="Q59" s="5" t="n">
        <v>0.5</v>
      </c>
      <c r="R59" s="5" t="n">
        <v>5</v>
      </c>
      <c r="S59" s="5" t="n">
        <v>2</v>
      </c>
      <c r="T59" s="5" t="s">
        <v>197</v>
      </c>
      <c r="U59" s="6"/>
      <c r="V59" s="6"/>
      <c r="W59" s="6"/>
      <c r="X59" s="6"/>
      <c r="Y59" s="7" t="str">
        <f aca="false">IF(COUNT(U59:X59)=4,(W59-X59)/2,"")</f>
        <v/>
      </c>
      <c r="Z59" s="7" t="str">
        <f aca="false">IF(COUNT(U59:X59)=4,(U59-V59)/2,"")</f>
        <v/>
      </c>
      <c r="AA59" s="7" t="str">
        <f aca="false">IF(COUNT(U59:X59)=4,MAX(1,MIN(10,ROUNDUP(5-Z59,0))),"")</f>
        <v/>
      </c>
      <c r="AB59" s="7" t="str">
        <f aca="false">IF(COUNT(U59:X59)=4,MAX(1,MIN(10,ROUNDUP(Y59+5,0))),"")</f>
        <v/>
      </c>
      <c r="AC59" s="6"/>
      <c r="AD59" s="6"/>
    </row>
    <row r="60" customFormat="false" ht="15" hidden="false" customHeight="true" outlineLevel="0" collapsed="false">
      <c r="A60" s="5" t="n">
        <v>59</v>
      </c>
      <c r="B60" s="5" t="s">
        <v>198</v>
      </c>
      <c r="C60" s="5" t="s">
        <v>79</v>
      </c>
      <c r="D60" s="5" t="s">
        <v>80</v>
      </c>
      <c r="E60" s="5" t="n">
        <v>1788</v>
      </c>
      <c r="F60" s="5" t="s">
        <v>198</v>
      </c>
      <c r="G60" s="5" t="n">
        <v>3</v>
      </c>
      <c r="H60" s="5" t="s">
        <v>53</v>
      </c>
      <c r="I60" s="5" t="s">
        <v>81</v>
      </c>
      <c r="J60" s="5" t="s">
        <v>79</v>
      </c>
      <c r="K60" s="5" t="s">
        <v>82</v>
      </c>
      <c r="L60" s="5" t="n">
        <v>7</v>
      </c>
      <c r="M60" s="5" t="n">
        <v>2</v>
      </c>
      <c r="N60" s="5" t="n">
        <v>3</v>
      </c>
      <c r="O60" s="5" t="n">
        <v>7</v>
      </c>
      <c r="P60" s="5" t="n">
        <v>-2</v>
      </c>
      <c r="Q60" s="5" t="n">
        <v>2.5</v>
      </c>
      <c r="R60" s="5" t="n">
        <v>3</v>
      </c>
      <c r="S60" s="5" t="n">
        <v>3</v>
      </c>
      <c r="T60" s="5" t="s">
        <v>199</v>
      </c>
      <c r="U60" s="6"/>
      <c r="V60" s="6"/>
      <c r="W60" s="6"/>
      <c r="X60" s="6"/>
      <c r="Y60" s="7" t="str">
        <f aca="false">IF(COUNT(U60:X60)=4,(W60-X60)/2,"")</f>
        <v/>
      </c>
      <c r="Z60" s="7" t="str">
        <f aca="false">IF(COUNT(U60:X60)=4,(U60-V60)/2,"")</f>
        <v/>
      </c>
      <c r="AA60" s="7" t="str">
        <f aca="false">IF(COUNT(U60:X60)=4,MAX(1,MIN(10,ROUNDUP(5-Z60,0))),"")</f>
        <v/>
      </c>
      <c r="AB60" s="7" t="str">
        <f aca="false">IF(COUNT(U60:X60)=4,MAX(1,MIN(10,ROUNDUP(Y60+5,0))),"")</f>
        <v/>
      </c>
      <c r="AC60" s="6"/>
      <c r="AD60" s="6"/>
    </row>
    <row r="61" customFormat="false" ht="15" hidden="false" customHeight="true" outlineLevel="0" collapsed="false">
      <c r="A61" s="5" t="n">
        <v>60</v>
      </c>
      <c r="B61" s="5" t="s">
        <v>200</v>
      </c>
      <c r="C61" s="5" t="s">
        <v>108</v>
      </c>
      <c r="D61" s="5" t="s">
        <v>109</v>
      </c>
      <c r="E61" s="5" t="n">
        <v>1748</v>
      </c>
      <c r="F61" s="5" t="s">
        <v>200</v>
      </c>
      <c r="G61" s="5" t="n">
        <v>4</v>
      </c>
      <c r="H61" s="5" t="s">
        <v>53</v>
      </c>
      <c r="I61" s="5" t="s">
        <v>54</v>
      </c>
      <c r="J61" s="5" t="s">
        <v>117</v>
      </c>
      <c r="K61" s="5" t="s">
        <v>117</v>
      </c>
      <c r="L61" s="5" t="n">
        <v>3</v>
      </c>
      <c r="M61" s="5" t="n">
        <v>1</v>
      </c>
      <c r="N61" s="5" t="n">
        <v>2</v>
      </c>
      <c r="O61" s="5" t="n">
        <v>7</v>
      </c>
      <c r="P61" s="5" t="n">
        <v>-2.5</v>
      </c>
      <c r="Q61" s="5" t="n">
        <v>1</v>
      </c>
      <c r="R61" s="5" t="n">
        <v>4</v>
      </c>
      <c r="S61" s="5" t="n">
        <v>3</v>
      </c>
      <c r="T61" s="5" t="s">
        <v>201</v>
      </c>
      <c r="U61" s="6"/>
      <c r="V61" s="6"/>
      <c r="W61" s="6"/>
      <c r="X61" s="6"/>
      <c r="Y61" s="7" t="str">
        <f aca="false">IF(COUNT(U61:X61)=4,(W61-X61)/2,"")</f>
        <v/>
      </c>
      <c r="Z61" s="7" t="str">
        <f aca="false">IF(COUNT(U61:X61)=4,(U61-V61)/2,"")</f>
        <v/>
      </c>
      <c r="AA61" s="7" t="str">
        <f aca="false">IF(COUNT(U61:X61)=4,MAX(1,MIN(10,ROUNDUP(5-Z61,0))),"")</f>
        <v/>
      </c>
      <c r="AB61" s="7" t="str">
        <f aca="false">IF(COUNT(U61:X61)=4,MAX(1,MIN(10,ROUNDUP(Y61+5,0))),"")</f>
        <v/>
      </c>
      <c r="AC61" s="6"/>
      <c r="AD61" s="6"/>
    </row>
    <row r="62" customFormat="false" ht="15" hidden="false" customHeight="true" outlineLevel="0" collapsed="false">
      <c r="A62" s="5" t="n">
        <v>61</v>
      </c>
      <c r="B62" s="5" t="s">
        <v>202</v>
      </c>
      <c r="C62" s="5" t="s">
        <v>203</v>
      </c>
      <c r="D62" s="5" t="s">
        <v>204</v>
      </c>
      <c r="E62" s="5" t="n">
        <v>1670</v>
      </c>
      <c r="F62" s="5" t="s">
        <v>205</v>
      </c>
      <c r="G62" s="5" t="n">
        <v>4</v>
      </c>
      <c r="H62" s="5" t="s">
        <v>53</v>
      </c>
      <c r="I62" s="5" t="s">
        <v>54</v>
      </c>
      <c r="J62" s="5" t="s">
        <v>117</v>
      </c>
      <c r="K62" s="5" t="s">
        <v>117</v>
      </c>
      <c r="L62" s="5" t="n">
        <v>5</v>
      </c>
      <c r="M62" s="5" t="n">
        <v>2</v>
      </c>
      <c r="N62" s="5" t="n">
        <v>2</v>
      </c>
      <c r="O62" s="5" t="n">
        <v>8</v>
      </c>
      <c r="P62" s="5" t="n">
        <v>-3</v>
      </c>
      <c r="Q62" s="5" t="n">
        <v>1.5</v>
      </c>
      <c r="R62" s="5" t="n">
        <v>4</v>
      </c>
      <c r="S62" s="5" t="n">
        <v>2</v>
      </c>
      <c r="T62" s="5" t="s">
        <v>206</v>
      </c>
      <c r="U62" s="6"/>
      <c r="V62" s="6"/>
      <c r="W62" s="6"/>
      <c r="X62" s="6"/>
      <c r="Y62" s="7" t="str">
        <f aca="false">IF(COUNT(U62:X62)=4,(W62-X62)/2,"")</f>
        <v/>
      </c>
      <c r="Z62" s="7" t="str">
        <f aca="false">IF(COUNT(U62:X62)=4,(U62-V62)/2,"")</f>
        <v/>
      </c>
      <c r="AA62" s="7" t="str">
        <f aca="false">IF(COUNT(U62:X62)=4,MAX(1,MIN(10,ROUNDUP(5-Z62,0))),"")</f>
        <v/>
      </c>
      <c r="AB62" s="7" t="str">
        <f aca="false">IF(COUNT(U62:X62)=4,MAX(1,MIN(10,ROUNDUP(Y62+5,0))),"")</f>
        <v/>
      </c>
      <c r="AC62" s="6"/>
      <c r="AD62" s="6"/>
    </row>
    <row r="63" customFormat="false" ht="15" hidden="false" customHeight="true" outlineLevel="0" collapsed="false">
      <c r="A63" s="5" t="n">
        <v>62</v>
      </c>
      <c r="B63" s="5" t="s">
        <v>207</v>
      </c>
      <c r="C63" s="5" t="s">
        <v>45</v>
      </c>
      <c r="D63" s="5" t="s">
        <v>46</v>
      </c>
      <c r="E63" s="5" t="n">
        <v>1618</v>
      </c>
      <c r="F63" s="5" t="s">
        <v>207</v>
      </c>
      <c r="G63" s="5" t="n">
        <v>1</v>
      </c>
      <c r="H63" s="5" t="s">
        <v>47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76</v>
      </c>
      <c r="U63" s="6"/>
      <c r="V63" s="6"/>
      <c r="W63" s="6"/>
      <c r="X63" s="6"/>
      <c r="Y63" s="7" t="str">
        <f aca="false">IF(COUNT(U63:X63)=4,(W63-X63)/2,"")</f>
        <v/>
      </c>
      <c r="Z63" s="7" t="str">
        <f aca="false">IF(COUNT(U63:X63)=4,(U63-V63)/2,"")</f>
        <v/>
      </c>
      <c r="AA63" s="7" t="str">
        <f aca="false">IF(COUNT(U63:X63)=4,MAX(1,MIN(10,ROUNDUP(5-Z63,0))),"")</f>
        <v/>
      </c>
      <c r="AB63" s="7" t="str">
        <f aca="false">IF(COUNT(U63:X63)=4,MAX(1,MIN(10,ROUNDUP(Y63+5,0))),"")</f>
        <v/>
      </c>
      <c r="AC63" s="6"/>
      <c r="AD63" s="6"/>
    </row>
    <row r="64" customFormat="false" ht="15" hidden="false" customHeight="true" outlineLevel="0" collapsed="false">
      <c r="A64" s="5" t="n">
        <v>63</v>
      </c>
      <c r="B64" s="5" t="s">
        <v>208</v>
      </c>
      <c r="C64" s="5" t="s">
        <v>171</v>
      </c>
      <c r="D64" s="5" t="s">
        <v>172</v>
      </c>
      <c r="E64" s="5" t="n">
        <v>1607</v>
      </c>
      <c r="F64" s="5" t="s">
        <v>209</v>
      </c>
      <c r="G64" s="5" t="n">
        <v>4</v>
      </c>
      <c r="H64" s="5" t="s">
        <v>53</v>
      </c>
      <c r="I64" s="5" t="s">
        <v>54</v>
      </c>
      <c r="J64" s="5" t="s">
        <v>181</v>
      </c>
      <c r="K64" s="5" t="s">
        <v>179</v>
      </c>
      <c r="L64" s="5" t="n">
        <v>2</v>
      </c>
      <c r="M64" s="5" t="n">
        <v>6</v>
      </c>
      <c r="N64" s="5" t="n">
        <v>2</v>
      </c>
      <c r="O64" s="5" t="n">
        <v>6</v>
      </c>
      <c r="P64" s="5" t="n">
        <v>-2</v>
      </c>
      <c r="Q64" s="5" t="n">
        <v>-2</v>
      </c>
      <c r="R64" s="5" t="n">
        <v>7</v>
      </c>
      <c r="S64" s="5" t="n">
        <v>3</v>
      </c>
      <c r="T64" s="5" t="s">
        <v>210</v>
      </c>
      <c r="U64" s="6"/>
      <c r="V64" s="6"/>
      <c r="W64" s="6"/>
      <c r="X64" s="6"/>
      <c r="Y64" s="7" t="str">
        <f aca="false">IF(COUNT(U64:X64)=4,(W64-X64)/2,"")</f>
        <v/>
      </c>
      <c r="Z64" s="7" t="str">
        <f aca="false">IF(COUNT(U64:X64)=4,(U64-V64)/2,"")</f>
        <v/>
      </c>
      <c r="AA64" s="7" t="str">
        <f aca="false">IF(COUNT(U64:X64)=4,MAX(1,MIN(10,ROUNDUP(5-Z64,0))),"")</f>
        <v/>
      </c>
      <c r="AB64" s="7" t="str">
        <f aca="false">IF(COUNT(U64:X64)=4,MAX(1,MIN(10,ROUNDUP(Y64+5,0))),"")</f>
        <v/>
      </c>
      <c r="AC64" s="6"/>
      <c r="AD64" s="6"/>
    </row>
    <row r="65" customFormat="false" ht="15" hidden="false" customHeight="true" outlineLevel="0" collapsed="false">
      <c r="A65" s="5" t="n">
        <v>64</v>
      </c>
      <c r="B65" s="5" t="s">
        <v>211</v>
      </c>
      <c r="C65" s="5" t="s">
        <v>145</v>
      </c>
      <c r="D65" s="5" t="s">
        <v>51</v>
      </c>
      <c r="E65" s="5" t="n">
        <v>1573</v>
      </c>
      <c r="F65" s="5" t="s">
        <v>212</v>
      </c>
      <c r="G65" s="5" t="n">
        <v>4</v>
      </c>
      <c r="H65" s="5" t="s">
        <v>53</v>
      </c>
      <c r="I65" s="5" t="s">
        <v>54</v>
      </c>
      <c r="J65" s="5" t="s">
        <v>55</v>
      </c>
      <c r="K65" s="5" t="s">
        <v>55</v>
      </c>
      <c r="L65" s="5" t="n">
        <v>5</v>
      </c>
      <c r="M65" s="5" t="n">
        <v>2</v>
      </c>
      <c r="N65" s="5" t="n">
        <v>5</v>
      </c>
      <c r="O65" s="5" t="n">
        <v>8</v>
      </c>
      <c r="P65" s="5" t="n">
        <v>-1.5</v>
      </c>
      <c r="Q65" s="5" t="n">
        <v>1.5</v>
      </c>
      <c r="R65" s="5" t="n">
        <v>4</v>
      </c>
      <c r="S65" s="5" t="n">
        <v>4</v>
      </c>
      <c r="T65" s="5" t="s">
        <v>138</v>
      </c>
      <c r="U65" s="6"/>
      <c r="V65" s="6"/>
      <c r="W65" s="6"/>
      <c r="X65" s="6"/>
      <c r="Y65" s="7" t="str">
        <f aca="false">IF(COUNT(U65:X65)=4,(W65-X65)/2,"")</f>
        <v/>
      </c>
      <c r="Z65" s="7" t="str">
        <f aca="false">IF(COUNT(U65:X65)=4,(U65-V65)/2,"")</f>
        <v/>
      </c>
      <c r="AA65" s="7" t="str">
        <f aca="false">IF(COUNT(U65:X65)=4,MAX(1,MIN(10,ROUNDUP(5-Z65,0))),"")</f>
        <v/>
      </c>
      <c r="AB65" s="7" t="str">
        <f aca="false">IF(COUNT(U65:X65)=4,MAX(1,MIN(10,ROUNDUP(Y65+5,0))),"")</f>
        <v/>
      </c>
      <c r="AC65" s="6"/>
      <c r="AD65" s="6"/>
    </row>
    <row r="66" customFormat="false" ht="15" hidden="false" customHeight="true" outlineLevel="0" collapsed="false">
      <c r="A66" s="5" t="n">
        <v>65</v>
      </c>
      <c r="B66" s="5" t="s">
        <v>213</v>
      </c>
      <c r="C66" s="5" t="s">
        <v>45</v>
      </c>
      <c r="D66" s="5" t="s">
        <v>46</v>
      </c>
      <c r="E66" s="5" t="n">
        <v>1573</v>
      </c>
      <c r="F66" s="5" t="s">
        <v>213</v>
      </c>
      <c r="G66" s="5" t="n">
        <v>3</v>
      </c>
      <c r="H66" s="5" t="s">
        <v>53</v>
      </c>
      <c r="I66" s="5" t="s">
        <v>81</v>
      </c>
      <c r="J66" s="5" t="s">
        <v>79</v>
      </c>
      <c r="K66" s="5" t="s">
        <v>102</v>
      </c>
      <c r="L66" s="5" t="n">
        <v>1</v>
      </c>
      <c r="M66" s="5" t="n">
        <v>8</v>
      </c>
      <c r="N66" s="5" t="n">
        <v>8</v>
      </c>
      <c r="O66" s="5" t="n">
        <v>2</v>
      </c>
      <c r="P66" s="5" t="n">
        <v>3</v>
      </c>
      <c r="Q66" s="5" t="n">
        <v>-3.5</v>
      </c>
      <c r="R66" s="5" t="n">
        <v>9</v>
      </c>
      <c r="S66" s="5" t="n">
        <v>8</v>
      </c>
      <c r="T66" s="5" t="s">
        <v>214</v>
      </c>
      <c r="U66" s="6"/>
      <c r="V66" s="6"/>
      <c r="W66" s="6"/>
      <c r="X66" s="6"/>
      <c r="Y66" s="7" t="str">
        <f aca="false">IF(COUNT(U66:X66)=4,(W66-X66)/2,"")</f>
        <v/>
      </c>
      <c r="Z66" s="7" t="str">
        <f aca="false">IF(COUNT(U66:X66)=4,(U66-V66)/2,"")</f>
        <v/>
      </c>
      <c r="AA66" s="7" t="str">
        <f aca="false">IF(COUNT(U66:X66)=4,MAX(1,MIN(10,ROUNDUP(5-Z66,0))),"")</f>
        <v/>
      </c>
      <c r="AB66" s="7" t="str">
        <f aca="false">IF(COUNT(U66:X66)=4,MAX(1,MIN(10,ROUNDUP(Y66+5,0))),"")</f>
        <v/>
      </c>
      <c r="AC66" s="6"/>
      <c r="AD66" s="6"/>
    </row>
    <row r="67" customFormat="false" ht="15" hidden="false" customHeight="true" outlineLevel="0" collapsed="false">
      <c r="A67" s="5" t="n">
        <v>66</v>
      </c>
      <c r="B67" s="5" t="s">
        <v>215</v>
      </c>
      <c r="C67" s="5" t="s">
        <v>145</v>
      </c>
      <c r="D67" s="5" t="s">
        <v>51</v>
      </c>
      <c r="E67" s="5" t="n">
        <v>1550</v>
      </c>
      <c r="F67" s="5" t="s">
        <v>216</v>
      </c>
      <c r="G67" s="5" t="n">
        <v>4</v>
      </c>
      <c r="H67" s="5" t="s">
        <v>53</v>
      </c>
      <c r="I67" s="5" t="s">
        <v>54</v>
      </c>
      <c r="J67" s="5" t="s">
        <v>55</v>
      </c>
      <c r="K67" s="5" t="s">
        <v>55</v>
      </c>
      <c r="L67" s="5" t="n">
        <v>5</v>
      </c>
      <c r="M67" s="5" t="n">
        <v>2</v>
      </c>
      <c r="N67" s="5" t="n">
        <v>8</v>
      </c>
      <c r="O67" s="5" t="n">
        <v>2</v>
      </c>
      <c r="P67" s="5" t="n">
        <v>3</v>
      </c>
      <c r="Q67" s="5" t="n">
        <v>1.5</v>
      </c>
      <c r="R67" s="5" t="n">
        <v>4</v>
      </c>
      <c r="S67" s="5" t="n">
        <v>8</v>
      </c>
      <c r="T67" s="5" t="s">
        <v>217</v>
      </c>
      <c r="U67" s="6"/>
      <c r="V67" s="6"/>
      <c r="W67" s="6"/>
      <c r="X67" s="6"/>
      <c r="Y67" s="7" t="str">
        <f aca="false">IF(COUNT(U67:X67)=4,(W67-X67)/2,"")</f>
        <v/>
      </c>
      <c r="Z67" s="7" t="str">
        <f aca="false">IF(COUNT(U67:X67)=4,(U67-V67)/2,"")</f>
        <v/>
      </c>
      <c r="AA67" s="7" t="str">
        <f aca="false">IF(COUNT(U67:X67)=4,MAX(1,MIN(10,ROUNDUP(5-Z67,0))),"")</f>
        <v/>
      </c>
      <c r="AB67" s="7" t="str">
        <f aca="false">IF(COUNT(U67:X67)=4,MAX(1,MIN(10,ROUNDUP(Y67+5,0))),"")</f>
        <v/>
      </c>
      <c r="AC67" s="6"/>
      <c r="AD67" s="6"/>
    </row>
    <row r="68" customFormat="false" ht="15" hidden="false" customHeight="true" outlineLevel="0" collapsed="false">
      <c r="A68" s="5" t="n">
        <v>67</v>
      </c>
      <c r="B68" s="5" t="s">
        <v>218</v>
      </c>
      <c r="C68" s="5" t="s">
        <v>145</v>
      </c>
      <c r="D68" s="5" t="s">
        <v>51</v>
      </c>
      <c r="E68" s="5" t="n">
        <v>1519</v>
      </c>
      <c r="F68" s="5" t="s">
        <v>219</v>
      </c>
      <c r="G68" s="5" t="n">
        <v>4</v>
      </c>
      <c r="H68" s="5" t="s">
        <v>53</v>
      </c>
      <c r="I68" s="5" t="s">
        <v>54</v>
      </c>
      <c r="J68" s="5" t="s">
        <v>55</v>
      </c>
      <c r="K68" s="5" t="s">
        <v>55</v>
      </c>
      <c r="L68" s="5" t="n">
        <v>4</v>
      </c>
      <c r="M68" s="5" t="n">
        <v>2</v>
      </c>
      <c r="N68" s="5" t="n">
        <v>10</v>
      </c>
      <c r="O68" s="5" t="n">
        <v>1</v>
      </c>
      <c r="P68" s="5" t="n">
        <v>4.5</v>
      </c>
      <c r="Q68" s="5" t="n">
        <v>1</v>
      </c>
      <c r="R68" s="5" t="n">
        <v>4</v>
      </c>
      <c r="S68" s="5" t="n">
        <v>10</v>
      </c>
      <c r="T68" s="5" t="s">
        <v>220</v>
      </c>
      <c r="U68" s="6"/>
      <c r="V68" s="6"/>
      <c r="W68" s="6"/>
      <c r="X68" s="6"/>
      <c r="Y68" s="7" t="str">
        <f aca="false">IF(COUNT(U68:X68)=4,(W68-X68)/2,"")</f>
        <v/>
      </c>
      <c r="Z68" s="7" t="str">
        <f aca="false">IF(COUNT(U68:X68)=4,(U68-V68)/2,"")</f>
        <v/>
      </c>
      <c r="AA68" s="7" t="str">
        <f aca="false">IF(COUNT(U68:X68)=4,MAX(1,MIN(10,ROUNDUP(5-Z68,0))),"")</f>
        <v/>
      </c>
      <c r="AB68" s="7" t="str">
        <f aca="false">IF(COUNT(U68:X68)=4,MAX(1,MIN(10,ROUNDUP(Y68+5,0))),"")</f>
        <v/>
      </c>
      <c r="AC68" s="6"/>
      <c r="AD68" s="6"/>
    </row>
    <row r="69" customFormat="false" ht="15" hidden="false" customHeight="true" outlineLevel="0" collapsed="false">
      <c r="A69" s="5" t="n">
        <v>68</v>
      </c>
      <c r="B69" s="5" t="s">
        <v>221</v>
      </c>
      <c r="C69" s="5" t="s">
        <v>171</v>
      </c>
      <c r="D69" s="5" t="s">
        <v>172</v>
      </c>
      <c r="E69" s="5" t="n">
        <v>1511</v>
      </c>
      <c r="F69" s="5" t="s">
        <v>222</v>
      </c>
      <c r="G69" s="5" t="n">
        <v>4</v>
      </c>
      <c r="H69" s="5" t="s">
        <v>53</v>
      </c>
      <c r="I69" s="5" t="s">
        <v>54</v>
      </c>
      <c r="J69" s="5" t="s">
        <v>181</v>
      </c>
      <c r="K69" s="5" t="s">
        <v>223</v>
      </c>
      <c r="L69" s="5" t="n">
        <v>3</v>
      </c>
      <c r="M69" s="5" t="n">
        <v>4</v>
      </c>
      <c r="N69" s="5" t="n">
        <v>6</v>
      </c>
      <c r="O69" s="5" t="n">
        <v>4</v>
      </c>
      <c r="P69" s="5" t="n">
        <v>1</v>
      </c>
      <c r="Q69" s="5" t="n">
        <v>-0.5</v>
      </c>
      <c r="R69" s="5" t="n">
        <v>6</v>
      </c>
      <c r="S69" s="5" t="n">
        <v>6</v>
      </c>
      <c r="T69" s="5" t="s">
        <v>224</v>
      </c>
      <c r="U69" s="6"/>
      <c r="V69" s="6"/>
      <c r="W69" s="6"/>
      <c r="X69" s="6"/>
      <c r="Y69" s="7" t="str">
        <f aca="false">IF(COUNT(U69:X69)=4,(W69-X69)/2,"")</f>
        <v/>
      </c>
      <c r="Z69" s="7" t="str">
        <f aca="false">IF(COUNT(U69:X69)=4,(U69-V69)/2,"")</f>
        <v/>
      </c>
      <c r="AA69" s="7" t="str">
        <f aca="false">IF(COUNT(U69:X69)=4,MAX(1,MIN(10,ROUNDUP(5-Z69,0))),"")</f>
        <v/>
      </c>
      <c r="AB69" s="7" t="str">
        <f aca="false">IF(COUNT(U69:X69)=4,MAX(1,MIN(10,ROUNDUP(Y69+5,0))),"")</f>
        <v/>
      </c>
      <c r="AC69" s="6"/>
      <c r="AD69" s="6"/>
    </row>
    <row r="70" customFormat="false" ht="15" hidden="false" customHeight="true" outlineLevel="0" collapsed="false">
      <c r="A70" s="5" t="n">
        <v>69</v>
      </c>
      <c r="B70" s="5" t="s">
        <v>225</v>
      </c>
      <c r="C70" s="5" t="s">
        <v>145</v>
      </c>
      <c r="D70" s="5" t="s">
        <v>51</v>
      </c>
      <c r="E70" s="5" t="n">
        <v>1475</v>
      </c>
      <c r="F70" s="5" t="s">
        <v>226</v>
      </c>
      <c r="G70" s="5" t="n">
        <v>4</v>
      </c>
      <c r="H70" s="5" t="s">
        <v>53</v>
      </c>
      <c r="I70" s="5" t="s">
        <v>54</v>
      </c>
      <c r="J70" s="5" t="s">
        <v>55</v>
      </c>
      <c r="K70" s="5" t="s">
        <v>55</v>
      </c>
      <c r="L70" s="5" t="n">
        <v>4</v>
      </c>
      <c r="M70" s="5" t="n">
        <v>3</v>
      </c>
      <c r="N70" s="5" t="n">
        <v>4</v>
      </c>
      <c r="O70" s="5" t="n">
        <v>6</v>
      </c>
      <c r="P70" s="5" t="n">
        <v>-1</v>
      </c>
      <c r="Q70" s="5" t="n">
        <v>0.5</v>
      </c>
      <c r="R70" s="5" t="n">
        <v>5</v>
      </c>
      <c r="S70" s="5" t="n">
        <v>4</v>
      </c>
      <c r="T70" s="5" t="s">
        <v>227</v>
      </c>
      <c r="U70" s="6"/>
      <c r="V70" s="6"/>
      <c r="W70" s="6"/>
      <c r="X70" s="6"/>
      <c r="Y70" s="7" t="str">
        <f aca="false">IF(COUNT(U70:X70)=4,(W70-X70)/2,"")</f>
        <v/>
      </c>
      <c r="Z70" s="7" t="str">
        <f aca="false">IF(COUNT(U70:X70)=4,(U70-V70)/2,"")</f>
        <v/>
      </c>
      <c r="AA70" s="7" t="str">
        <f aca="false">IF(COUNT(U70:X70)=4,MAX(1,MIN(10,ROUNDUP(5-Z70,0))),"")</f>
        <v/>
      </c>
      <c r="AB70" s="7" t="str">
        <f aca="false">IF(COUNT(U70:X70)=4,MAX(1,MIN(10,ROUNDUP(Y70+5,0))),"")</f>
        <v/>
      </c>
      <c r="AC70" s="6"/>
      <c r="AD70" s="6"/>
    </row>
    <row r="71" customFormat="false" ht="15" hidden="false" customHeight="true" outlineLevel="0" collapsed="false">
      <c r="A71" s="5" t="n">
        <v>70</v>
      </c>
      <c r="B71" s="5" t="s">
        <v>228</v>
      </c>
      <c r="C71" s="5" t="s">
        <v>145</v>
      </c>
      <c r="D71" s="5" t="s">
        <v>51</v>
      </c>
      <c r="E71" s="5" t="n">
        <v>1473</v>
      </c>
      <c r="F71" s="5" t="s">
        <v>229</v>
      </c>
      <c r="G71" s="5" t="n">
        <v>4</v>
      </c>
      <c r="H71" s="5" t="s">
        <v>53</v>
      </c>
      <c r="I71" s="5" t="s">
        <v>54</v>
      </c>
      <c r="J71" s="5" t="s">
        <v>55</v>
      </c>
      <c r="K71" s="5" t="s">
        <v>55</v>
      </c>
      <c r="L71" s="5" t="n">
        <v>5</v>
      </c>
      <c r="M71" s="5" t="n">
        <v>2</v>
      </c>
      <c r="N71" s="5" t="n">
        <v>3</v>
      </c>
      <c r="O71" s="5" t="n">
        <v>8</v>
      </c>
      <c r="P71" s="5" t="n">
        <v>-2.5</v>
      </c>
      <c r="Q71" s="5" t="n">
        <v>1.5</v>
      </c>
      <c r="R71" s="5" t="n">
        <v>4</v>
      </c>
      <c r="S71" s="5" t="n">
        <v>3</v>
      </c>
      <c r="T71" s="5" t="s">
        <v>190</v>
      </c>
      <c r="U71" s="6"/>
      <c r="V71" s="6"/>
      <c r="W71" s="6"/>
      <c r="X71" s="6"/>
      <c r="Y71" s="7" t="str">
        <f aca="false">IF(COUNT(U71:X71)=4,(W71-X71)/2,"")</f>
        <v/>
      </c>
      <c r="Z71" s="7" t="str">
        <f aca="false">IF(COUNT(U71:X71)=4,(U71-V71)/2,"")</f>
        <v/>
      </c>
      <c r="AA71" s="7" t="str">
        <f aca="false">IF(COUNT(U71:X71)=4,MAX(1,MIN(10,ROUNDUP(5-Z71,0))),"")</f>
        <v/>
      </c>
      <c r="AB71" s="7" t="str">
        <f aca="false">IF(COUNT(U71:X71)=4,MAX(1,MIN(10,ROUNDUP(Y71+5,0))),"")</f>
        <v/>
      </c>
      <c r="AC71" s="6"/>
      <c r="AD71" s="6"/>
    </row>
    <row r="72" customFormat="false" ht="15" hidden="false" customHeight="true" outlineLevel="0" collapsed="false">
      <c r="A72" s="5" t="n">
        <v>71</v>
      </c>
      <c r="B72" s="5" t="s">
        <v>230</v>
      </c>
      <c r="C72" s="5" t="s">
        <v>127</v>
      </c>
      <c r="D72" s="5" t="s">
        <v>128</v>
      </c>
      <c r="E72" s="5" t="n">
        <v>1414</v>
      </c>
      <c r="F72" s="5" t="s">
        <v>231</v>
      </c>
      <c r="G72" s="5" t="n">
        <v>4</v>
      </c>
      <c r="H72" s="5" t="s">
        <v>53</v>
      </c>
      <c r="I72" s="5" t="s">
        <v>54</v>
      </c>
      <c r="J72" s="5" t="s">
        <v>117</v>
      </c>
      <c r="K72" s="5" t="s">
        <v>117</v>
      </c>
      <c r="L72" s="5" t="n">
        <v>3</v>
      </c>
      <c r="M72" s="5" t="n">
        <v>1</v>
      </c>
      <c r="N72" s="5" t="n">
        <v>2</v>
      </c>
      <c r="O72" s="5" t="n">
        <v>7</v>
      </c>
      <c r="P72" s="5" t="n">
        <v>-2.5</v>
      </c>
      <c r="Q72" s="5" t="n">
        <v>1</v>
      </c>
      <c r="R72" s="5" t="n">
        <v>4</v>
      </c>
      <c r="S72" s="5" t="n">
        <v>3</v>
      </c>
      <c r="T72" s="5" t="s">
        <v>232</v>
      </c>
      <c r="U72" s="6"/>
      <c r="V72" s="6"/>
      <c r="W72" s="6"/>
      <c r="X72" s="6"/>
      <c r="Y72" s="7" t="str">
        <f aca="false">IF(COUNT(U72:X72)=4,(W72-X72)/2,"")</f>
        <v/>
      </c>
      <c r="Z72" s="7" t="str">
        <f aca="false">IF(COUNT(U72:X72)=4,(U72-V72)/2,"")</f>
        <v/>
      </c>
      <c r="AA72" s="7" t="str">
        <f aca="false">IF(COUNT(U72:X72)=4,MAX(1,MIN(10,ROUNDUP(5-Z72,0))),"")</f>
        <v/>
      </c>
      <c r="AB72" s="7" t="str">
        <f aca="false">IF(COUNT(U72:X72)=4,MAX(1,MIN(10,ROUNDUP(Y72+5,0))),"")</f>
        <v/>
      </c>
      <c r="AC72" s="6"/>
      <c r="AD72" s="6"/>
    </row>
    <row r="73" customFormat="false" ht="15" hidden="false" customHeight="true" outlineLevel="0" collapsed="false">
      <c r="A73" s="5" t="n">
        <v>72</v>
      </c>
      <c r="B73" s="5" t="s">
        <v>233</v>
      </c>
      <c r="C73" s="5" t="s">
        <v>145</v>
      </c>
      <c r="D73" s="5" t="s">
        <v>51</v>
      </c>
      <c r="E73" s="5" t="n">
        <v>1404</v>
      </c>
      <c r="F73" s="5" t="s">
        <v>234</v>
      </c>
      <c r="G73" s="5" t="n">
        <v>4</v>
      </c>
      <c r="H73" s="5" t="s">
        <v>53</v>
      </c>
      <c r="I73" s="5" t="s">
        <v>54</v>
      </c>
      <c r="J73" s="5" t="s">
        <v>181</v>
      </c>
      <c r="K73" s="5" t="s">
        <v>235</v>
      </c>
      <c r="L73" s="5" t="n">
        <v>4</v>
      </c>
      <c r="M73" s="5" t="n">
        <v>4</v>
      </c>
      <c r="N73" s="5" t="n">
        <v>7</v>
      </c>
      <c r="O73" s="5" t="n">
        <v>4</v>
      </c>
      <c r="P73" s="5" t="n">
        <v>1.5</v>
      </c>
      <c r="Q73" s="5" t="n">
        <v>0</v>
      </c>
      <c r="R73" s="5" t="n">
        <v>5</v>
      </c>
      <c r="S73" s="5" t="n">
        <v>7</v>
      </c>
      <c r="T73" s="5" t="s">
        <v>236</v>
      </c>
      <c r="U73" s="6"/>
      <c r="V73" s="6"/>
      <c r="W73" s="6"/>
      <c r="X73" s="6"/>
      <c r="Y73" s="7" t="str">
        <f aca="false">IF(COUNT(U73:X73)=4,(W73-X73)/2,"")</f>
        <v/>
      </c>
      <c r="Z73" s="7" t="str">
        <f aca="false">IF(COUNT(U73:X73)=4,(U73-V73)/2,"")</f>
        <v/>
      </c>
      <c r="AA73" s="7" t="str">
        <f aca="false">IF(COUNT(U73:X73)=4,MAX(1,MIN(10,ROUNDUP(5-Z73,0))),"")</f>
        <v/>
      </c>
      <c r="AB73" s="7" t="str">
        <f aca="false">IF(COUNT(U73:X73)=4,MAX(1,MIN(10,ROUNDUP(Y73+5,0))),"")</f>
        <v/>
      </c>
      <c r="AC73" s="6"/>
      <c r="AD73" s="6"/>
    </row>
    <row r="74" customFormat="false" ht="15" hidden="false" customHeight="true" outlineLevel="0" collapsed="false">
      <c r="A74" s="5" t="n">
        <v>73</v>
      </c>
      <c r="B74" s="5" t="s">
        <v>237</v>
      </c>
      <c r="C74" s="5" t="s">
        <v>203</v>
      </c>
      <c r="D74" s="5" t="s">
        <v>204</v>
      </c>
      <c r="E74" s="5" t="n">
        <v>1393</v>
      </c>
      <c r="F74" s="5" t="s">
        <v>238</v>
      </c>
      <c r="G74" s="5" t="n">
        <v>4</v>
      </c>
      <c r="H74" s="5" t="s">
        <v>53</v>
      </c>
      <c r="I74" s="5" t="s">
        <v>54</v>
      </c>
      <c r="J74" s="5" t="s">
        <v>181</v>
      </c>
      <c r="K74" s="5" t="s">
        <v>221</v>
      </c>
      <c r="L74" s="5" t="n">
        <v>6</v>
      </c>
      <c r="M74" s="5" t="n">
        <v>5</v>
      </c>
      <c r="N74" s="5" t="n">
        <v>6</v>
      </c>
      <c r="O74" s="5" t="n">
        <v>8</v>
      </c>
      <c r="P74" s="5" t="n">
        <v>-1</v>
      </c>
      <c r="Q74" s="5" t="n">
        <v>0.5</v>
      </c>
      <c r="R74" s="5" t="n">
        <v>5</v>
      </c>
      <c r="S74" s="5" t="n">
        <v>4</v>
      </c>
      <c r="T74" s="5" t="s">
        <v>92</v>
      </c>
      <c r="U74" s="6"/>
      <c r="V74" s="6"/>
      <c r="W74" s="6"/>
      <c r="X74" s="6"/>
      <c r="Y74" s="7" t="str">
        <f aca="false">IF(COUNT(U74:X74)=4,(W74-X74)/2,"")</f>
        <v/>
      </c>
      <c r="Z74" s="7" t="str">
        <f aca="false">IF(COUNT(U74:X74)=4,(U74-V74)/2,"")</f>
        <v/>
      </c>
      <c r="AA74" s="7" t="str">
        <f aca="false">IF(COUNT(U74:X74)=4,MAX(1,MIN(10,ROUNDUP(5-Z74,0))),"")</f>
        <v/>
      </c>
      <c r="AB74" s="7" t="str">
        <f aca="false">IF(COUNT(U74:X74)=4,MAX(1,MIN(10,ROUNDUP(Y74+5,0))),"")</f>
        <v/>
      </c>
      <c r="AC74" s="6"/>
      <c r="AD74" s="6"/>
    </row>
    <row r="75" customFormat="false" ht="15" hidden="false" customHeight="true" outlineLevel="0" collapsed="false">
      <c r="A75" s="5" t="n">
        <v>74</v>
      </c>
      <c r="B75" s="5" t="s">
        <v>239</v>
      </c>
      <c r="C75" s="5" t="s">
        <v>108</v>
      </c>
      <c r="D75" s="5" t="s">
        <v>109</v>
      </c>
      <c r="E75" s="5" t="n">
        <v>1380</v>
      </c>
      <c r="F75" s="5" t="s">
        <v>239</v>
      </c>
      <c r="G75" s="5" t="n">
        <v>4</v>
      </c>
      <c r="H75" s="5" t="s">
        <v>53</v>
      </c>
      <c r="I75" s="5" t="s">
        <v>64</v>
      </c>
      <c r="J75" s="5"/>
      <c r="K75" s="5"/>
      <c r="L75" s="5" t="n">
        <v>7</v>
      </c>
      <c r="M75" s="5" t="n">
        <v>2</v>
      </c>
      <c r="N75" s="5" t="n">
        <v>3</v>
      </c>
      <c r="O75" s="5" t="n">
        <v>7</v>
      </c>
      <c r="P75" s="5" t="n">
        <v>-2</v>
      </c>
      <c r="Q75" s="5" t="n">
        <v>2.5</v>
      </c>
      <c r="R75" s="5" t="n">
        <v>3</v>
      </c>
      <c r="S75" s="5" t="n">
        <v>3</v>
      </c>
      <c r="T75" s="5" t="s">
        <v>240</v>
      </c>
      <c r="U75" s="6"/>
      <c r="V75" s="6"/>
      <c r="W75" s="6"/>
      <c r="X75" s="6"/>
      <c r="Y75" s="7" t="str">
        <f aca="false">IF(COUNT(U75:X75)=4,(W75-X75)/2,"")</f>
        <v/>
      </c>
      <c r="Z75" s="7" t="str">
        <f aca="false">IF(COUNT(U75:X75)=4,(U75-V75)/2,"")</f>
        <v/>
      </c>
      <c r="AA75" s="7" t="str">
        <f aca="false">IF(COUNT(U75:X75)=4,MAX(1,MIN(10,ROUNDUP(5-Z75,0))),"")</f>
        <v/>
      </c>
      <c r="AB75" s="7" t="str">
        <f aca="false">IF(COUNT(U75:X75)=4,MAX(1,MIN(10,ROUNDUP(Y75+5,0))),"")</f>
        <v/>
      </c>
      <c r="AC75" s="6"/>
      <c r="AD75" s="6"/>
    </row>
    <row r="76" customFormat="false" ht="15" hidden="false" customHeight="true" outlineLevel="0" collapsed="false">
      <c r="A76" s="5" t="n">
        <v>75</v>
      </c>
      <c r="B76" s="5" t="s">
        <v>241</v>
      </c>
      <c r="C76" s="5" t="s">
        <v>58</v>
      </c>
      <c r="D76" s="5" t="s">
        <v>59</v>
      </c>
      <c r="E76" s="5" t="n">
        <v>1373</v>
      </c>
      <c r="F76" s="5" t="s">
        <v>242</v>
      </c>
      <c r="G76" s="5" t="n">
        <v>3</v>
      </c>
      <c r="H76" s="5" t="s">
        <v>53</v>
      </c>
      <c r="I76" s="5" t="s">
        <v>64</v>
      </c>
      <c r="J76" s="5"/>
      <c r="K76" s="5"/>
      <c r="L76" s="5" t="n">
        <v>8</v>
      </c>
      <c r="M76" s="5" t="n">
        <v>2</v>
      </c>
      <c r="N76" s="5" t="n">
        <v>3</v>
      </c>
      <c r="O76" s="5" t="n">
        <v>6</v>
      </c>
      <c r="P76" s="5" t="n">
        <v>-1.5</v>
      </c>
      <c r="Q76" s="5" t="n">
        <v>3</v>
      </c>
      <c r="R76" s="5" t="n">
        <v>2</v>
      </c>
      <c r="S76" s="5" t="n">
        <v>4</v>
      </c>
      <c r="T76" s="5" t="s">
        <v>243</v>
      </c>
      <c r="U76" s="6"/>
      <c r="V76" s="6"/>
      <c r="W76" s="6"/>
      <c r="X76" s="6"/>
      <c r="Y76" s="7" t="str">
        <f aca="false">IF(COUNT(U76:X76)=4,(W76-X76)/2,"")</f>
        <v/>
      </c>
      <c r="Z76" s="7" t="str">
        <f aca="false">IF(COUNT(U76:X76)=4,(U76-V76)/2,"")</f>
        <v/>
      </c>
      <c r="AA76" s="7" t="str">
        <f aca="false">IF(COUNT(U76:X76)=4,MAX(1,MIN(10,ROUNDUP(5-Z76,0))),"")</f>
        <v/>
      </c>
      <c r="AB76" s="7" t="str">
        <f aca="false">IF(COUNT(U76:X76)=4,MAX(1,MIN(10,ROUNDUP(Y76+5,0))),"")</f>
        <v/>
      </c>
      <c r="AC76" s="6"/>
      <c r="AD76" s="6"/>
    </row>
    <row r="77" customFormat="false" ht="15" hidden="false" customHeight="true" outlineLevel="0" collapsed="false">
      <c r="A77" s="5" t="n">
        <v>76</v>
      </c>
      <c r="B77" s="5" t="s">
        <v>244</v>
      </c>
      <c r="C77" s="5" t="s">
        <v>203</v>
      </c>
      <c r="D77" s="5" t="s">
        <v>204</v>
      </c>
      <c r="E77" s="5" t="n">
        <v>1361</v>
      </c>
      <c r="F77" s="5" t="s">
        <v>244</v>
      </c>
      <c r="G77" s="5" t="n">
        <v>4</v>
      </c>
      <c r="H77" s="5" t="s">
        <v>53</v>
      </c>
      <c r="I77" s="5" t="s">
        <v>54</v>
      </c>
      <c r="J77" s="5" t="s">
        <v>117</v>
      </c>
      <c r="K77" s="5" t="s">
        <v>117</v>
      </c>
      <c r="L77" s="5" t="n">
        <v>3</v>
      </c>
      <c r="M77" s="5" t="n">
        <v>1</v>
      </c>
      <c r="N77" s="5" t="n">
        <v>2</v>
      </c>
      <c r="O77" s="5" t="n">
        <v>7</v>
      </c>
      <c r="P77" s="5" t="n">
        <v>-2.5</v>
      </c>
      <c r="Q77" s="5" t="n">
        <v>1</v>
      </c>
      <c r="R77" s="5" t="n">
        <v>4</v>
      </c>
      <c r="S77" s="5" t="n">
        <v>3</v>
      </c>
      <c r="T77" s="5" t="s">
        <v>245</v>
      </c>
      <c r="U77" s="6"/>
      <c r="V77" s="6"/>
      <c r="W77" s="6"/>
      <c r="X77" s="6"/>
      <c r="Y77" s="7" t="str">
        <f aca="false">IF(COUNT(U77:X77)=4,(W77-X77)/2,"")</f>
        <v/>
      </c>
      <c r="Z77" s="7" t="str">
        <f aca="false">IF(COUNT(U77:X77)=4,(U77-V77)/2,"")</f>
        <v/>
      </c>
      <c r="AA77" s="7" t="str">
        <f aca="false">IF(COUNT(U77:X77)=4,MAX(1,MIN(10,ROUNDUP(5-Z77,0))),"")</f>
        <v/>
      </c>
      <c r="AB77" s="7" t="str">
        <f aca="false">IF(COUNT(U77:X77)=4,MAX(1,MIN(10,ROUNDUP(Y77+5,0))),"")</f>
        <v/>
      </c>
      <c r="AC77" s="6"/>
      <c r="AD77" s="6"/>
    </row>
    <row r="78" customFormat="false" ht="15" hidden="false" customHeight="true" outlineLevel="0" collapsed="false">
      <c r="A78" s="5" t="n">
        <v>77</v>
      </c>
      <c r="B78" s="5" t="s">
        <v>246</v>
      </c>
      <c r="C78" s="5" t="s">
        <v>45</v>
      </c>
      <c r="D78" s="5" t="s">
        <v>46</v>
      </c>
      <c r="E78" s="5" t="n">
        <v>1344</v>
      </c>
      <c r="F78" s="5" t="s">
        <v>246</v>
      </c>
      <c r="G78" s="5" t="n">
        <v>1</v>
      </c>
      <c r="H78" s="5" t="s">
        <v>47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 t="s">
        <v>247</v>
      </c>
      <c r="U78" s="6"/>
      <c r="V78" s="6"/>
      <c r="W78" s="6"/>
      <c r="X78" s="6"/>
      <c r="Y78" s="7" t="str">
        <f aca="false">IF(COUNT(U78:X78)=4,(W78-X78)/2,"")</f>
        <v/>
      </c>
      <c r="Z78" s="7" t="str">
        <f aca="false">IF(COUNT(U78:X78)=4,(U78-V78)/2,"")</f>
        <v/>
      </c>
      <c r="AA78" s="7" t="str">
        <f aca="false">IF(COUNT(U78:X78)=4,MAX(1,MIN(10,ROUNDUP(5-Z78,0))),"")</f>
        <v/>
      </c>
      <c r="AB78" s="7" t="str">
        <f aca="false">IF(COUNT(U78:X78)=4,MAX(1,MIN(10,ROUNDUP(Y78+5,0))),"")</f>
        <v/>
      </c>
      <c r="AC78" s="6"/>
      <c r="AD78" s="6"/>
    </row>
    <row r="79" customFormat="false" ht="15" hidden="false" customHeight="true" outlineLevel="0" collapsed="false">
      <c r="A79" s="5" t="n">
        <v>78</v>
      </c>
      <c r="B79" s="5" t="s">
        <v>248</v>
      </c>
      <c r="C79" s="5" t="s">
        <v>45</v>
      </c>
      <c r="D79" s="5" t="s">
        <v>46</v>
      </c>
      <c r="E79" s="5" t="n">
        <v>1318</v>
      </c>
      <c r="F79" s="5" t="s">
        <v>248</v>
      </c>
      <c r="G79" s="5" t="n">
        <v>3</v>
      </c>
      <c r="H79" s="5" t="s">
        <v>53</v>
      </c>
      <c r="I79" s="5" t="s">
        <v>81</v>
      </c>
      <c r="J79" s="5" t="s">
        <v>79</v>
      </c>
      <c r="K79" s="5" t="s">
        <v>99</v>
      </c>
      <c r="L79" s="5" t="n">
        <v>6</v>
      </c>
      <c r="M79" s="5" t="n">
        <v>2</v>
      </c>
      <c r="N79" s="5" t="n">
        <v>10</v>
      </c>
      <c r="O79" s="5" t="n">
        <v>0</v>
      </c>
      <c r="P79" s="5" t="n">
        <v>5</v>
      </c>
      <c r="Q79" s="5" t="n">
        <v>2</v>
      </c>
      <c r="R79" s="5" t="n">
        <v>3</v>
      </c>
      <c r="S79" s="5" t="n">
        <v>10</v>
      </c>
      <c r="T79" s="5" t="s">
        <v>69</v>
      </c>
      <c r="U79" s="6"/>
      <c r="V79" s="6"/>
      <c r="W79" s="6"/>
      <c r="X79" s="6"/>
      <c r="Y79" s="7" t="str">
        <f aca="false">IF(COUNT(U79:X79)=4,(W79-X79)/2,"")</f>
        <v/>
      </c>
      <c r="Z79" s="7" t="str">
        <f aca="false">IF(COUNT(U79:X79)=4,(U79-V79)/2,"")</f>
        <v/>
      </c>
      <c r="AA79" s="7" t="str">
        <f aca="false">IF(COUNT(U79:X79)=4,MAX(1,MIN(10,ROUNDUP(5-Z79,0))),"")</f>
        <v/>
      </c>
      <c r="AB79" s="7" t="str">
        <f aca="false">IF(COUNT(U79:X79)=4,MAX(1,MIN(10,ROUNDUP(Y79+5,0))),"")</f>
        <v/>
      </c>
      <c r="AC79" s="6"/>
      <c r="AD79" s="6"/>
    </row>
    <row r="80" customFormat="false" ht="15" hidden="false" customHeight="true" outlineLevel="0" collapsed="false">
      <c r="A80" s="5" t="n">
        <v>79</v>
      </c>
      <c r="B80" s="5" t="s">
        <v>249</v>
      </c>
      <c r="C80" s="5" t="s">
        <v>108</v>
      </c>
      <c r="D80" s="5" t="s">
        <v>109</v>
      </c>
      <c r="E80" s="5" t="n">
        <v>1314</v>
      </c>
      <c r="F80" s="5" t="s">
        <v>249</v>
      </c>
      <c r="G80" s="5" t="n">
        <v>4</v>
      </c>
      <c r="H80" s="5" t="s">
        <v>53</v>
      </c>
      <c r="I80" s="5" t="s">
        <v>54</v>
      </c>
      <c r="J80" s="5" t="s">
        <v>117</v>
      </c>
      <c r="K80" s="5" t="s">
        <v>117</v>
      </c>
      <c r="L80" s="5" t="n">
        <v>3</v>
      </c>
      <c r="M80" s="5" t="n">
        <v>2</v>
      </c>
      <c r="N80" s="5" t="n">
        <v>2</v>
      </c>
      <c r="O80" s="5" t="n">
        <v>7</v>
      </c>
      <c r="P80" s="5" t="n">
        <v>-2.5</v>
      </c>
      <c r="Q80" s="5" t="n">
        <v>0.5</v>
      </c>
      <c r="R80" s="5" t="n">
        <v>5</v>
      </c>
      <c r="S80" s="5" t="n">
        <v>3</v>
      </c>
      <c r="T80" s="5" t="s">
        <v>250</v>
      </c>
      <c r="U80" s="6"/>
      <c r="V80" s="6"/>
      <c r="W80" s="6"/>
      <c r="X80" s="6"/>
      <c r="Y80" s="7" t="str">
        <f aca="false">IF(COUNT(U80:X80)=4,(W80-X80)/2,"")</f>
        <v/>
      </c>
      <c r="Z80" s="7" t="str">
        <f aca="false">IF(COUNT(U80:X80)=4,(U80-V80)/2,"")</f>
        <v/>
      </c>
      <c r="AA80" s="7" t="str">
        <f aca="false">IF(COUNT(U80:X80)=4,MAX(1,MIN(10,ROUNDUP(5-Z80,0))),"")</f>
        <v/>
      </c>
      <c r="AB80" s="7" t="str">
        <f aca="false">IF(COUNT(U80:X80)=4,MAX(1,MIN(10,ROUNDUP(Y80+5,0))),"")</f>
        <v/>
      </c>
      <c r="AC80" s="6"/>
      <c r="AD80" s="6"/>
    </row>
    <row r="81" customFormat="false" ht="15" hidden="false" customHeight="true" outlineLevel="0" collapsed="false">
      <c r="A81" s="5" t="n">
        <v>80</v>
      </c>
      <c r="B81" s="5" t="s">
        <v>251</v>
      </c>
      <c r="C81" s="5" t="s">
        <v>203</v>
      </c>
      <c r="D81" s="5" t="s">
        <v>204</v>
      </c>
      <c r="E81" s="5" t="n">
        <v>1303</v>
      </c>
      <c r="F81" s="5" t="s">
        <v>251</v>
      </c>
      <c r="G81" s="5" t="n">
        <v>2</v>
      </c>
      <c r="H81" s="5" t="s">
        <v>47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 t="s">
        <v>252</v>
      </c>
      <c r="U81" s="6"/>
      <c r="V81" s="6"/>
      <c r="W81" s="6"/>
      <c r="X81" s="6"/>
      <c r="Y81" s="7" t="str">
        <f aca="false">IF(COUNT(U81:X81)=4,(W81-X81)/2,"")</f>
        <v/>
      </c>
      <c r="Z81" s="7" t="str">
        <f aca="false">IF(COUNT(U81:X81)=4,(U81-V81)/2,"")</f>
        <v/>
      </c>
      <c r="AA81" s="7" t="str">
        <f aca="false">IF(COUNT(U81:X81)=4,MAX(1,MIN(10,ROUNDUP(5-Z81,0))),"")</f>
        <v/>
      </c>
      <c r="AB81" s="7" t="str">
        <f aca="false">IF(COUNT(U81:X81)=4,MAX(1,MIN(10,ROUNDUP(Y81+5,0))),"")</f>
        <v/>
      </c>
      <c r="AC81" s="6"/>
      <c r="AD81" s="6"/>
    </row>
    <row r="82" customFormat="false" ht="15" hidden="false" customHeight="true" outlineLevel="0" collapsed="false">
      <c r="A82" s="5" t="n">
        <v>81</v>
      </c>
      <c r="B82" s="5" t="s">
        <v>253</v>
      </c>
      <c r="C82" s="5" t="s">
        <v>145</v>
      </c>
      <c r="D82" s="5" t="s">
        <v>51</v>
      </c>
      <c r="E82" s="5" t="n">
        <v>1258</v>
      </c>
      <c r="F82" s="5" t="s">
        <v>254</v>
      </c>
      <c r="G82" s="5" t="n">
        <v>4</v>
      </c>
      <c r="H82" s="5" t="s">
        <v>53</v>
      </c>
      <c r="I82" s="5" t="s">
        <v>54</v>
      </c>
      <c r="J82" s="5" t="s">
        <v>55</v>
      </c>
      <c r="K82" s="5" t="s">
        <v>55</v>
      </c>
      <c r="L82" s="5" t="n">
        <v>4</v>
      </c>
      <c r="M82" s="5" t="n">
        <v>3</v>
      </c>
      <c r="N82" s="5" t="n">
        <v>4</v>
      </c>
      <c r="O82" s="5" t="n">
        <v>6</v>
      </c>
      <c r="P82" s="5" t="n">
        <v>-1</v>
      </c>
      <c r="Q82" s="5" t="n">
        <v>0.5</v>
      </c>
      <c r="R82" s="5" t="n">
        <v>5</v>
      </c>
      <c r="S82" s="5" t="n">
        <v>4</v>
      </c>
      <c r="T82" s="5" t="s">
        <v>184</v>
      </c>
      <c r="U82" s="6"/>
      <c r="V82" s="6"/>
      <c r="W82" s="6"/>
      <c r="X82" s="6"/>
      <c r="Y82" s="7" t="str">
        <f aca="false">IF(COUNT(U82:X82)=4,(W82-X82)/2,"")</f>
        <v/>
      </c>
      <c r="Z82" s="7" t="str">
        <f aca="false">IF(COUNT(U82:X82)=4,(U82-V82)/2,"")</f>
        <v/>
      </c>
      <c r="AA82" s="7" t="str">
        <f aca="false">IF(COUNT(U82:X82)=4,MAX(1,MIN(10,ROUNDUP(5-Z82,0))),"")</f>
        <v/>
      </c>
      <c r="AB82" s="7" t="str">
        <f aca="false">IF(COUNT(U82:X82)=4,MAX(1,MIN(10,ROUNDUP(Y82+5,0))),"")</f>
        <v/>
      </c>
      <c r="AC82" s="6"/>
      <c r="AD82" s="6"/>
    </row>
    <row r="83" customFormat="false" ht="15" hidden="false" customHeight="true" outlineLevel="0" collapsed="false">
      <c r="A83" s="5" t="n">
        <v>82</v>
      </c>
      <c r="B83" s="5" t="s">
        <v>255</v>
      </c>
      <c r="C83" s="5" t="s">
        <v>45</v>
      </c>
      <c r="D83" s="5" t="s">
        <v>46</v>
      </c>
      <c r="E83" s="5" t="n">
        <v>1252</v>
      </c>
      <c r="F83" s="5" t="s">
        <v>255</v>
      </c>
      <c r="G83" s="5" t="n">
        <v>3</v>
      </c>
      <c r="H83" s="5" t="s">
        <v>53</v>
      </c>
      <c r="I83" s="5" t="s">
        <v>81</v>
      </c>
      <c r="J83" s="5" t="s">
        <v>79</v>
      </c>
      <c r="K83" s="5" t="s">
        <v>152</v>
      </c>
      <c r="L83" s="5" t="n">
        <v>10</v>
      </c>
      <c r="M83" s="5" t="n">
        <v>0</v>
      </c>
      <c r="N83" s="5" t="n">
        <v>5</v>
      </c>
      <c r="O83" s="5" t="n">
        <v>5</v>
      </c>
      <c r="P83" s="5" t="n">
        <v>0</v>
      </c>
      <c r="Q83" s="5" t="n">
        <v>5</v>
      </c>
      <c r="R83" s="5" t="n">
        <v>1</v>
      </c>
      <c r="S83" s="5" t="n">
        <v>5</v>
      </c>
      <c r="T83" s="5" t="s">
        <v>187</v>
      </c>
      <c r="U83" s="6"/>
      <c r="V83" s="6"/>
      <c r="W83" s="6"/>
      <c r="X83" s="6"/>
      <c r="Y83" s="7" t="str">
        <f aca="false">IF(COUNT(U83:X83)=4,(W83-X83)/2,"")</f>
        <v/>
      </c>
      <c r="Z83" s="7" t="str">
        <f aca="false">IF(COUNT(U83:X83)=4,(U83-V83)/2,"")</f>
        <v/>
      </c>
      <c r="AA83" s="7" t="str">
        <f aca="false">IF(COUNT(U83:X83)=4,MAX(1,MIN(10,ROUNDUP(5-Z83,0))),"")</f>
        <v/>
      </c>
      <c r="AB83" s="7" t="str">
        <f aca="false">IF(COUNT(U83:X83)=4,MAX(1,MIN(10,ROUNDUP(Y83+5,0))),"")</f>
        <v/>
      </c>
      <c r="AC83" s="6"/>
      <c r="AD83" s="6"/>
    </row>
    <row r="84" customFormat="false" ht="15" hidden="false" customHeight="true" outlineLevel="0" collapsed="false">
      <c r="A84" s="5" t="n">
        <v>83</v>
      </c>
      <c r="B84" s="5" t="s">
        <v>256</v>
      </c>
      <c r="C84" s="5" t="s">
        <v>58</v>
      </c>
      <c r="D84" s="5" t="s">
        <v>59</v>
      </c>
      <c r="E84" s="5" t="n">
        <v>1236</v>
      </c>
      <c r="F84" s="5" t="s">
        <v>256</v>
      </c>
      <c r="G84" s="5" t="n">
        <v>1</v>
      </c>
      <c r="H84" s="5" t="s">
        <v>47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257</v>
      </c>
      <c r="U84" s="6"/>
      <c r="V84" s="6"/>
      <c r="W84" s="6"/>
      <c r="X84" s="6"/>
      <c r="Y84" s="7" t="str">
        <f aca="false">IF(COUNT(U84:X84)=4,(W84-X84)/2,"")</f>
        <v/>
      </c>
      <c r="Z84" s="7" t="str">
        <f aca="false">IF(COUNT(U84:X84)=4,(U84-V84)/2,"")</f>
        <v/>
      </c>
      <c r="AA84" s="7" t="str">
        <f aca="false">IF(COUNT(U84:X84)=4,MAX(1,MIN(10,ROUNDUP(5-Z84,0))),"")</f>
        <v/>
      </c>
      <c r="AB84" s="7" t="str">
        <f aca="false">IF(COUNT(U84:X84)=4,MAX(1,MIN(10,ROUNDUP(Y84+5,0))),"")</f>
        <v/>
      </c>
      <c r="AC84" s="6"/>
      <c r="AD84" s="6"/>
    </row>
    <row r="85" customFormat="false" ht="15" hidden="false" customHeight="true" outlineLevel="0" collapsed="false">
      <c r="A85" s="5" t="n">
        <v>84</v>
      </c>
      <c r="B85" s="5" t="s">
        <v>258</v>
      </c>
      <c r="C85" s="5" t="s">
        <v>79</v>
      </c>
      <c r="D85" s="5" t="s">
        <v>80</v>
      </c>
      <c r="E85" s="5" t="n">
        <v>1181</v>
      </c>
      <c r="F85" s="5" t="s">
        <v>258</v>
      </c>
      <c r="G85" s="5" t="n">
        <v>3</v>
      </c>
      <c r="H85" s="5" t="s">
        <v>53</v>
      </c>
      <c r="I85" s="5" t="s">
        <v>81</v>
      </c>
      <c r="J85" s="5" t="s">
        <v>79</v>
      </c>
      <c r="K85" s="5" t="s">
        <v>99</v>
      </c>
      <c r="L85" s="5" t="n">
        <v>6</v>
      </c>
      <c r="M85" s="5" t="n">
        <v>2</v>
      </c>
      <c r="N85" s="5" t="n">
        <v>10</v>
      </c>
      <c r="O85" s="5" t="n">
        <v>0</v>
      </c>
      <c r="P85" s="5" t="n">
        <v>5</v>
      </c>
      <c r="Q85" s="5" t="n">
        <v>2</v>
      </c>
      <c r="R85" s="5" t="n">
        <v>3</v>
      </c>
      <c r="S85" s="5" t="n">
        <v>10</v>
      </c>
      <c r="T85" s="5" t="s">
        <v>259</v>
      </c>
      <c r="U85" s="6"/>
      <c r="V85" s="6"/>
      <c r="W85" s="6"/>
      <c r="X85" s="6"/>
      <c r="Y85" s="7" t="str">
        <f aca="false">IF(COUNT(U85:X85)=4,(W85-X85)/2,"")</f>
        <v/>
      </c>
      <c r="Z85" s="7" t="str">
        <f aca="false">IF(COUNT(U85:X85)=4,(U85-V85)/2,"")</f>
        <v/>
      </c>
      <c r="AA85" s="7" t="str">
        <f aca="false">IF(COUNT(U85:X85)=4,MAX(1,MIN(10,ROUNDUP(5-Z85,0))),"")</f>
        <v/>
      </c>
      <c r="AB85" s="7" t="str">
        <f aca="false">IF(COUNT(U85:X85)=4,MAX(1,MIN(10,ROUNDUP(Y85+5,0))),"")</f>
        <v/>
      </c>
      <c r="AC85" s="6"/>
      <c r="AD85" s="6"/>
    </row>
    <row r="86" customFormat="false" ht="15" hidden="false" customHeight="true" outlineLevel="0" collapsed="false">
      <c r="A86" s="5" t="n">
        <v>85</v>
      </c>
      <c r="B86" s="5" t="s">
        <v>260</v>
      </c>
      <c r="C86" s="5" t="s">
        <v>171</v>
      </c>
      <c r="D86" s="5" t="s">
        <v>172</v>
      </c>
      <c r="E86" s="5" t="n">
        <v>1171</v>
      </c>
      <c r="F86" s="5" t="s">
        <v>261</v>
      </c>
      <c r="G86" s="5" t="n">
        <v>4</v>
      </c>
      <c r="H86" s="5" t="s">
        <v>53</v>
      </c>
      <c r="I86" s="5" t="s">
        <v>54</v>
      </c>
      <c r="J86" s="5" t="s">
        <v>181</v>
      </c>
      <c r="K86" s="5" t="s">
        <v>235</v>
      </c>
      <c r="L86" s="5" t="n">
        <v>4</v>
      </c>
      <c r="M86" s="5" t="n">
        <v>4</v>
      </c>
      <c r="N86" s="5" t="n">
        <v>7</v>
      </c>
      <c r="O86" s="5" t="n">
        <v>4</v>
      </c>
      <c r="P86" s="5" t="n">
        <v>1.5</v>
      </c>
      <c r="Q86" s="5" t="n">
        <v>0</v>
      </c>
      <c r="R86" s="5" t="n">
        <v>5</v>
      </c>
      <c r="S86" s="5" t="n">
        <v>7</v>
      </c>
      <c r="T86" s="5" t="s">
        <v>73</v>
      </c>
      <c r="U86" s="6"/>
      <c r="V86" s="6"/>
      <c r="W86" s="6"/>
      <c r="X86" s="6"/>
      <c r="Y86" s="7" t="str">
        <f aca="false">IF(COUNT(U86:X86)=4,(W86-X86)/2,"")</f>
        <v/>
      </c>
      <c r="Z86" s="7" t="str">
        <f aca="false">IF(COUNT(U86:X86)=4,(U86-V86)/2,"")</f>
        <v/>
      </c>
      <c r="AA86" s="7" t="str">
        <f aca="false">IF(COUNT(U86:X86)=4,MAX(1,MIN(10,ROUNDUP(5-Z86,0))),"")</f>
        <v/>
      </c>
      <c r="AB86" s="7" t="str">
        <f aca="false">IF(COUNT(U86:X86)=4,MAX(1,MIN(10,ROUNDUP(Y86+5,0))),"")</f>
        <v/>
      </c>
      <c r="AC86" s="6"/>
      <c r="AD86" s="6"/>
    </row>
    <row r="87" customFormat="false" ht="15" hidden="false" customHeight="true" outlineLevel="0" collapsed="false">
      <c r="A87" s="5" t="n">
        <v>86</v>
      </c>
      <c r="B87" s="5" t="s">
        <v>262</v>
      </c>
      <c r="C87" s="5" t="s">
        <v>108</v>
      </c>
      <c r="D87" s="5" t="s">
        <v>109</v>
      </c>
      <c r="E87" s="5" t="n">
        <v>1170</v>
      </c>
      <c r="F87" s="5" t="s">
        <v>262</v>
      </c>
      <c r="G87" s="5" t="n">
        <v>2</v>
      </c>
      <c r="H87" s="5" t="s">
        <v>47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263</v>
      </c>
      <c r="U87" s="6"/>
      <c r="V87" s="6"/>
      <c r="W87" s="6"/>
      <c r="X87" s="6"/>
      <c r="Y87" s="7" t="str">
        <f aca="false">IF(COUNT(U87:X87)=4,(W87-X87)/2,"")</f>
        <v/>
      </c>
      <c r="Z87" s="7" t="str">
        <f aca="false">IF(COUNT(U87:X87)=4,(U87-V87)/2,"")</f>
        <v/>
      </c>
      <c r="AA87" s="7" t="str">
        <f aca="false">IF(COUNT(U87:X87)=4,MAX(1,MIN(10,ROUNDUP(5-Z87,0))),"")</f>
        <v/>
      </c>
      <c r="AB87" s="7" t="str">
        <f aca="false">IF(COUNT(U87:X87)=4,MAX(1,MIN(10,ROUNDUP(Y87+5,0))),"")</f>
        <v/>
      </c>
      <c r="AC87" s="6"/>
      <c r="AD87" s="6"/>
    </row>
    <row r="88" customFormat="false" ht="15" hidden="false" customHeight="true" outlineLevel="0" collapsed="false">
      <c r="A88" s="5" t="n">
        <v>87</v>
      </c>
      <c r="B88" s="5" t="s">
        <v>264</v>
      </c>
      <c r="C88" s="5" t="s">
        <v>50</v>
      </c>
      <c r="D88" s="5" t="s">
        <v>51</v>
      </c>
      <c r="E88" s="5" t="n">
        <v>1156</v>
      </c>
      <c r="F88" s="5" t="s">
        <v>265</v>
      </c>
      <c r="G88" s="5" t="n">
        <v>1</v>
      </c>
      <c r="H88" s="5" t="s">
        <v>47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 t="s">
        <v>266</v>
      </c>
      <c r="U88" s="6"/>
      <c r="V88" s="6"/>
      <c r="W88" s="6"/>
      <c r="X88" s="6"/>
      <c r="Y88" s="7" t="str">
        <f aca="false">IF(COUNT(U88:X88)=4,(W88-X88)/2,"")</f>
        <v/>
      </c>
      <c r="Z88" s="7" t="str">
        <f aca="false">IF(COUNT(U88:X88)=4,(U88-V88)/2,"")</f>
        <v/>
      </c>
      <c r="AA88" s="7" t="str">
        <f aca="false">IF(COUNT(U88:X88)=4,MAX(1,MIN(10,ROUNDUP(5-Z88,0))),"")</f>
        <v/>
      </c>
      <c r="AB88" s="7" t="str">
        <f aca="false">IF(COUNT(U88:X88)=4,MAX(1,MIN(10,ROUNDUP(Y88+5,0))),"")</f>
        <v/>
      </c>
      <c r="AC88" s="6"/>
      <c r="AD88" s="6"/>
    </row>
    <row r="89" customFormat="false" ht="15" hidden="false" customHeight="true" outlineLevel="0" collapsed="false">
      <c r="A89" s="5" t="n">
        <v>88</v>
      </c>
      <c r="B89" s="5" t="s">
        <v>267</v>
      </c>
      <c r="C89" s="5" t="s">
        <v>108</v>
      </c>
      <c r="D89" s="5" t="s">
        <v>109</v>
      </c>
      <c r="E89" s="5" t="n">
        <v>1134</v>
      </c>
      <c r="F89" s="5" t="s">
        <v>268</v>
      </c>
      <c r="G89" s="5" t="n">
        <v>4</v>
      </c>
      <c r="H89" s="5" t="s">
        <v>53</v>
      </c>
      <c r="I89" s="5" t="s">
        <v>54</v>
      </c>
      <c r="J89" s="5" t="s">
        <v>117</v>
      </c>
      <c r="K89" s="5" t="s">
        <v>117</v>
      </c>
      <c r="L89" s="5" t="n">
        <v>7</v>
      </c>
      <c r="M89" s="5" t="n">
        <v>1</v>
      </c>
      <c r="N89" s="5" t="n">
        <v>2</v>
      </c>
      <c r="O89" s="5" t="n">
        <v>7</v>
      </c>
      <c r="P89" s="5" t="n">
        <v>-2.5</v>
      </c>
      <c r="Q89" s="5" t="n">
        <v>3</v>
      </c>
      <c r="R89" s="5" t="n">
        <v>2</v>
      </c>
      <c r="S89" s="5" t="n">
        <v>3</v>
      </c>
      <c r="T89" s="5" t="s">
        <v>269</v>
      </c>
      <c r="U89" s="6"/>
      <c r="V89" s="6"/>
      <c r="W89" s="6"/>
      <c r="X89" s="6"/>
      <c r="Y89" s="7" t="str">
        <f aca="false">IF(COUNT(U89:X89)=4,(W89-X89)/2,"")</f>
        <v/>
      </c>
      <c r="Z89" s="7" t="str">
        <f aca="false">IF(COUNT(U89:X89)=4,(U89-V89)/2,"")</f>
        <v/>
      </c>
      <c r="AA89" s="7" t="str">
        <f aca="false">IF(COUNT(U89:X89)=4,MAX(1,MIN(10,ROUNDUP(5-Z89,0))),"")</f>
        <v/>
      </c>
      <c r="AB89" s="7" t="str">
        <f aca="false">IF(COUNT(U89:X89)=4,MAX(1,MIN(10,ROUNDUP(Y89+5,0))),"")</f>
        <v/>
      </c>
      <c r="AC89" s="6"/>
      <c r="AD89" s="6"/>
    </row>
    <row r="90" customFormat="false" ht="15" hidden="false" customHeight="true" outlineLevel="0" collapsed="false">
      <c r="A90" s="5" t="n">
        <v>89</v>
      </c>
      <c r="B90" s="5" t="s">
        <v>270</v>
      </c>
      <c r="C90" s="5" t="s">
        <v>171</v>
      </c>
      <c r="D90" s="5" t="s">
        <v>172</v>
      </c>
      <c r="E90" s="5" t="n">
        <v>1071</v>
      </c>
      <c r="F90" s="5" t="s">
        <v>271</v>
      </c>
      <c r="G90" s="5" t="n">
        <v>4</v>
      </c>
      <c r="H90" s="5" t="s">
        <v>53</v>
      </c>
      <c r="I90" s="5" t="s">
        <v>54</v>
      </c>
      <c r="J90" s="5" t="s">
        <v>181</v>
      </c>
      <c r="K90" s="5" t="s">
        <v>179</v>
      </c>
      <c r="L90" s="5" t="n">
        <v>2</v>
      </c>
      <c r="M90" s="5" t="n">
        <v>6</v>
      </c>
      <c r="N90" s="5" t="n">
        <v>2</v>
      </c>
      <c r="O90" s="5" t="n">
        <v>6</v>
      </c>
      <c r="P90" s="5" t="n">
        <v>-2</v>
      </c>
      <c r="Q90" s="5" t="n">
        <v>-2</v>
      </c>
      <c r="R90" s="5" t="n">
        <v>7</v>
      </c>
      <c r="S90" s="5" t="n">
        <v>3</v>
      </c>
      <c r="T90" s="5" t="s">
        <v>206</v>
      </c>
      <c r="U90" s="6"/>
      <c r="V90" s="6"/>
      <c r="W90" s="6"/>
      <c r="X90" s="6"/>
      <c r="Y90" s="7" t="str">
        <f aca="false">IF(COUNT(U90:X90)=4,(W90-X90)/2,"")</f>
        <v/>
      </c>
      <c r="Z90" s="7" t="str">
        <f aca="false">IF(COUNT(U90:X90)=4,(U90-V90)/2,"")</f>
        <v/>
      </c>
      <c r="AA90" s="7" t="str">
        <f aca="false">IF(COUNT(U90:X90)=4,MAX(1,MIN(10,ROUNDUP(5-Z90,0))),"")</f>
        <v/>
      </c>
      <c r="AB90" s="7" t="str">
        <f aca="false">IF(COUNT(U90:X90)=4,MAX(1,MIN(10,ROUNDUP(Y90+5,0))),"")</f>
        <v/>
      </c>
      <c r="AC90" s="6"/>
      <c r="AD90" s="6"/>
    </row>
    <row r="91" customFormat="false" ht="15" hidden="false" customHeight="true" outlineLevel="0" collapsed="false">
      <c r="A91" s="5" t="n">
        <v>90</v>
      </c>
      <c r="B91" s="5" t="s">
        <v>272</v>
      </c>
      <c r="C91" s="5" t="s">
        <v>58</v>
      </c>
      <c r="D91" s="5" t="s">
        <v>59</v>
      </c>
      <c r="E91" s="5" t="n">
        <v>1069</v>
      </c>
      <c r="F91" s="5" t="s">
        <v>272</v>
      </c>
      <c r="G91" s="5" t="n">
        <v>3</v>
      </c>
      <c r="H91" s="5" t="s">
        <v>53</v>
      </c>
      <c r="I91" s="5" t="s">
        <v>64</v>
      </c>
      <c r="J91" s="5"/>
      <c r="K91" s="5"/>
      <c r="L91" s="5" t="n">
        <v>5</v>
      </c>
      <c r="M91" s="5" t="n">
        <v>3</v>
      </c>
      <c r="N91" s="5" t="n">
        <v>2</v>
      </c>
      <c r="O91" s="5" t="n">
        <v>8</v>
      </c>
      <c r="P91" s="5" t="n">
        <v>-3</v>
      </c>
      <c r="Q91" s="5" t="n">
        <v>1</v>
      </c>
      <c r="R91" s="5" t="n">
        <v>4</v>
      </c>
      <c r="S91" s="5" t="n">
        <v>2</v>
      </c>
      <c r="T91" s="5" t="s">
        <v>206</v>
      </c>
      <c r="U91" s="6"/>
      <c r="V91" s="6"/>
      <c r="W91" s="6"/>
      <c r="X91" s="6"/>
      <c r="Y91" s="7" t="str">
        <f aca="false">IF(COUNT(U91:X91)=4,(W91-X91)/2,"")</f>
        <v/>
      </c>
      <c r="Z91" s="7" t="str">
        <f aca="false">IF(COUNT(U91:X91)=4,(U91-V91)/2,"")</f>
        <v/>
      </c>
      <c r="AA91" s="7" t="str">
        <f aca="false">IF(COUNT(U91:X91)=4,MAX(1,MIN(10,ROUNDUP(5-Z91,0))),"")</f>
        <v/>
      </c>
      <c r="AB91" s="7" t="str">
        <f aca="false">IF(COUNT(U91:X91)=4,MAX(1,MIN(10,ROUNDUP(Y91+5,0))),"")</f>
        <v/>
      </c>
      <c r="AC91" s="6"/>
      <c r="AD91" s="6"/>
    </row>
    <row r="92" customFormat="false" ht="15" hidden="false" customHeight="true" outlineLevel="0" collapsed="false">
      <c r="A92" s="5" t="n">
        <v>91</v>
      </c>
      <c r="B92" s="5" t="s">
        <v>273</v>
      </c>
      <c r="C92" s="5" t="s">
        <v>108</v>
      </c>
      <c r="D92" s="5" t="s">
        <v>109</v>
      </c>
      <c r="E92" s="5" t="n">
        <v>1069</v>
      </c>
      <c r="F92" s="5" t="s">
        <v>273</v>
      </c>
      <c r="G92" s="5" t="n">
        <v>4</v>
      </c>
      <c r="H92" s="5" t="s">
        <v>53</v>
      </c>
      <c r="I92" s="5" t="s">
        <v>64</v>
      </c>
      <c r="J92" s="5"/>
      <c r="K92" s="5"/>
      <c r="L92" s="5" t="n">
        <v>3</v>
      </c>
      <c r="M92" s="5" t="n">
        <v>1</v>
      </c>
      <c r="N92" s="5" t="n">
        <v>2</v>
      </c>
      <c r="O92" s="5" t="n">
        <v>8</v>
      </c>
      <c r="P92" s="5" t="n">
        <v>-3</v>
      </c>
      <c r="Q92" s="5" t="n">
        <v>1</v>
      </c>
      <c r="R92" s="5" t="n">
        <v>4</v>
      </c>
      <c r="S92" s="5" t="n">
        <v>2</v>
      </c>
      <c r="T92" s="5" t="s">
        <v>232</v>
      </c>
      <c r="U92" s="6"/>
      <c r="V92" s="6"/>
      <c r="W92" s="6"/>
      <c r="X92" s="6"/>
      <c r="Y92" s="7" t="str">
        <f aca="false">IF(COUNT(U92:X92)=4,(W92-X92)/2,"")</f>
        <v/>
      </c>
      <c r="Z92" s="7" t="str">
        <f aca="false">IF(COUNT(U92:X92)=4,(U92-V92)/2,"")</f>
        <v/>
      </c>
      <c r="AA92" s="7" t="str">
        <f aca="false">IF(COUNT(U92:X92)=4,MAX(1,MIN(10,ROUNDUP(5-Z92,0))),"")</f>
        <v/>
      </c>
      <c r="AB92" s="7" t="str">
        <f aca="false">IF(COUNT(U92:X92)=4,MAX(1,MIN(10,ROUNDUP(Y92+5,0))),"")</f>
        <v/>
      </c>
      <c r="AC92" s="6"/>
      <c r="AD92" s="6"/>
    </row>
    <row r="93" customFormat="false" ht="15" hidden="false" customHeight="true" outlineLevel="0" collapsed="false">
      <c r="A93" s="5" t="n">
        <v>92</v>
      </c>
      <c r="B93" s="5" t="s">
        <v>274</v>
      </c>
      <c r="C93" s="5" t="s">
        <v>145</v>
      </c>
      <c r="D93" s="5" t="s">
        <v>51</v>
      </c>
      <c r="E93" s="5" t="n">
        <v>1037</v>
      </c>
      <c r="F93" s="5" t="s">
        <v>275</v>
      </c>
      <c r="G93" s="5" t="n">
        <v>4</v>
      </c>
      <c r="H93" s="5" t="s">
        <v>53</v>
      </c>
      <c r="I93" s="5" t="s">
        <v>54</v>
      </c>
      <c r="J93" s="5" t="s">
        <v>55</v>
      </c>
      <c r="K93" s="5" t="s">
        <v>55</v>
      </c>
      <c r="L93" s="5" t="n">
        <v>4</v>
      </c>
      <c r="M93" s="5" t="n">
        <v>3</v>
      </c>
      <c r="N93" s="5" t="n">
        <v>4</v>
      </c>
      <c r="O93" s="5" t="n">
        <v>6</v>
      </c>
      <c r="P93" s="5" t="n">
        <v>-1</v>
      </c>
      <c r="Q93" s="5" t="n">
        <v>0.5</v>
      </c>
      <c r="R93" s="5" t="n">
        <v>5</v>
      </c>
      <c r="S93" s="5" t="n">
        <v>4</v>
      </c>
      <c r="T93" s="5" t="s">
        <v>276</v>
      </c>
      <c r="U93" s="6"/>
      <c r="V93" s="6"/>
      <c r="W93" s="6"/>
      <c r="X93" s="6"/>
      <c r="Y93" s="7" t="str">
        <f aca="false">IF(COUNT(U93:X93)=4,(W93-X93)/2,"")</f>
        <v/>
      </c>
      <c r="Z93" s="7" t="str">
        <f aca="false">IF(COUNT(U93:X93)=4,(U93-V93)/2,"")</f>
        <v/>
      </c>
      <c r="AA93" s="7" t="str">
        <f aca="false">IF(COUNT(U93:X93)=4,MAX(1,MIN(10,ROUNDUP(5-Z93,0))),"")</f>
        <v/>
      </c>
      <c r="AB93" s="7" t="str">
        <f aca="false">IF(COUNT(U93:X93)=4,MAX(1,MIN(10,ROUNDUP(Y93+5,0))),"")</f>
        <v/>
      </c>
      <c r="AC93" s="6"/>
      <c r="AD93" s="6"/>
    </row>
    <row r="94" customFormat="false" ht="15" hidden="false" customHeight="true" outlineLevel="0" collapsed="false">
      <c r="A94" s="5" t="n">
        <v>93</v>
      </c>
      <c r="B94" s="5" t="s">
        <v>277</v>
      </c>
      <c r="C94" s="5" t="s">
        <v>171</v>
      </c>
      <c r="D94" s="5" t="s">
        <v>172</v>
      </c>
      <c r="E94" s="5" t="n">
        <v>1036</v>
      </c>
      <c r="F94" s="5" t="s">
        <v>278</v>
      </c>
      <c r="G94" s="5" t="n">
        <v>4</v>
      </c>
      <c r="H94" s="5" t="s">
        <v>53</v>
      </c>
      <c r="I94" s="5" t="s">
        <v>54</v>
      </c>
      <c r="J94" s="5" t="s">
        <v>181</v>
      </c>
      <c r="K94" s="5" t="s">
        <v>279</v>
      </c>
      <c r="L94" s="5" t="n">
        <v>4</v>
      </c>
      <c r="M94" s="5" t="n">
        <v>4</v>
      </c>
      <c r="N94" s="5" t="n">
        <v>5</v>
      </c>
      <c r="O94" s="5" t="n">
        <v>7</v>
      </c>
      <c r="P94" s="5" t="n">
        <v>-1</v>
      </c>
      <c r="Q94" s="5" t="n">
        <v>0</v>
      </c>
      <c r="R94" s="5" t="n">
        <v>5</v>
      </c>
      <c r="S94" s="5" t="n">
        <v>4</v>
      </c>
      <c r="T94" s="5" t="s">
        <v>280</v>
      </c>
      <c r="U94" s="6"/>
      <c r="V94" s="6"/>
      <c r="W94" s="6"/>
      <c r="X94" s="6"/>
      <c r="Y94" s="7" t="str">
        <f aca="false">IF(COUNT(U94:X94)=4,(W94-X94)/2,"")</f>
        <v/>
      </c>
      <c r="Z94" s="7" t="str">
        <f aca="false">IF(COUNT(U94:X94)=4,(U94-V94)/2,"")</f>
        <v/>
      </c>
      <c r="AA94" s="7" t="str">
        <f aca="false">IF(COUNT(U94:X94)=4,MAX(1,MIN(10,ROUNDUP(5-Z94,0))),"")</f>
        <v/>
      </c>
      <c r="AB94" s="7" t="str">
        <f aca="false">IF(COUNT(U94:X94)=4,MAX(1,MIN(10,ROUNDUP(Y94+5,0))),"")</f>
        <v/>
      </c>
      <c r="AC94" s="6"/>
      <c r="AD94" s="6"/>
    </row>
    <row r="95" customFormat="false" ht="15" hidden="false" customHeight="true" outlineLevel="0" collapsed="false">
      <c r="A95" s="5" t="n">
        <v>94</v>
      </c>
      <c r="B95" s="5" t="s">
        <v>281</v>
      </c>
      <c r="C95" s="5" t="s">
        <v>203</v>
      </c>
      <c r="D95" s="5" t="s">
        <v>204</v>
      </c>
      <c r="E95" s="5" t="n">
        <v>1030</v>
      </c>
      <c r="F95" s="5" t="s">
        <v>281</v>
      </c>
      <c r="G95" s="5" t="n">
        <v>4</v>
      </c>
      <c r="H95" s="5" t="s">
        <v>53</v>
      </c>
      <c r="I95" s="5" t="s">
        <v>54</v>
      </c>
      <c r="J95" s="5" t="s">
        <v>117</v>
      </c>
      <c r="K95" s="5" t="s">
        <v>117</v>
      </c>
      <c r="L95" s="5" t="n">
        <v>3</v>
      </c>
      <c r="M95" s="5" t="n">
        <v>1</v>
      </c>
      <c r="N95" s="5" t="n">
        <v>2</v>
      </c>
      <c r="O95" s="5" t="n">
        <v>7</v>
      </c>
      <c r="P95" s="5" t="n">
        <v>-2.5</v>
      </c>
      <c r="Q95" s="5" t="n">
        <v>1</v>
      </c>
      <c r="R95" s="5" t="n">
        <v>4</v>
      </c>
      <c r="S95" s="5" t="n">
        <v>3</v>
      </c>
      <c r="T95" s="5" t="s">
        <v>138</v>
      </c>
      <c r="U95" s="6"/>
      <c r="V95" s="6"/>
      <c r="W95" s="6"/>
      <c r="X95" s="6"/>
      <c r="Y95" s="7" t="str">
        <f aca="false">IF(COUNT(U95:X95)=4,(W95-X95)/2,"")</f>
        <v/>
      </c>
      <c r="Z95" s="7" t="str">
        <f aca="false">IF(COUNT(U95:X95)=4,(U95-V95)/2,"")</f>
        <v/>
      </c>
      <c r="AA95" s="7" t="str">
        <f aca="false">IF(COUNT(U95:X95)=4,MAX(1,MIN(10,ROUNDUP(5-Z95,0))),"")</f>
        <v/>
      </c>
      <c r="AB95" s="7" t="str">
        <f aca="false">IF(COUNT(U95:X95)=4,MAX(1,MIN(10,ROUNDUP(Y95+5,0))),"")</f>
        <v/>
      </c>
      <c r="AC95" s="6"/>
      <c r="AD95" s="6"/>
    </row>
    <row r="96" customFormat="false" ht="15" hidden="false" customHeight="true" outlineLevel="0" collapsed="false">
      <c r="A96" s="5" t="n">
        <v>95</v>
      </c>
      <c r="B96" s="5" t="s">
        <v>282</v>
      </c>
      <c r="C96" s="5" t="s">
        <v>58</v>
      </c>
      <c r="D96" s="5" t="s">
        <v>59</v>
      </c>
      <c r="E96" s="5" t="n">
        <v>1016</v>
      </c>
      <c r="F96" s="5" t="s">
        <v>282</v>
      </c>
      <c r="G96" s="5" t="n">
        <v>3</v>
      </c>
      <c r="H96" s="5" t="s">
        <v>53</v>
      </c>
      <c r="I96" s="5" t="s">
        <v>64</v>
      </c>
      <c r="J96" s="5"/>
      <c r="K96" s="5"/>
      <c r="L96" s="5" t="n">
        <v>1</v>
      </c>
      <c r="M96" s="5" t="n">
        <v>6</v>
      </c>
      <c r="N96" s="5" t="n">
        <v>2</v>
      </c>
      <c r="O96" s="5" t="n">
        <v>7</v>
      </c>
      <c r="P96" s="5" t="n">
        <v>-2.5</v>
      </c>
      <c r="Q96" s="5" t="n">
        <v>-2.5</v>
      </c>
      <c r="R96" s="5" t="n">
        <v>8</v>
      </c>
      <c r="S96" s="5" t="n">
        <v>3</v>
      </c>
      <c r="T96" s="5" t="s">
        <v>100</v>
      </c>
      <c r="U96" s="6"/>
      <c r="V96" s="6"/>
      <c r="W96" s="6"/>
      <c r="X96" s="6"/>
      <c r="Y96" s="7" t="str">
        <f aca="false">IF(COUNT(U96:X96)=4,(W96-X96)/2,"")</f>
        <v/>
      </c>
      <c r="Z96" s="7" t="str">
        <f aca="false">IF(COUNT(U96:X96)=4,(U96-V96)/2,"")</f>
        <v/>
      </c>
      <c r="AA96" s="7" t="str">
        <f aca="false">IF(COUNT(U96:X96)=4,MAX(1,MIN(10,ROUNDUP(5-Z96,0))),"")</f>
        <v/>
      </c>
      <c r="AB96" s="7" t="str">
        <f aca="false">IF(COUNT(U96:X96)=4,MAX(1,MIN(10,ROUNDUP(Y96+5,0))),"")</f>
        <v/>
      </c>
      <c r="AC96" s="6"/>
      <c r="AD96" s="6"/>
    </row>
    <row r="97" customFormat="false" ht="15" hidden="false" customHeight="true" outlineLevel="0" collapsed="false">
      <c r="A97" s="5" t="n">
        <v>96</v>
      </c>
      <c r="B97" s="5" t="s">
        <v>283</v>
      </c>
      <c r="C97" s="5" t="s">
        <v>50</v>
      </c>
      <c r="D97" s="5" t="s">
        <v>51</v>
      </c>
      <c r="E97" s="5" t="n">
        <v>1015</v>
      </c>
      <c r="F97" s="5" t="s">
        <v>284</v>
      </c>
      <c r="G97" s="5" t="n">
        <v>1</v>
      </c>
      <c r="H97" s="5" t="s">
        <v>47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 t="s">
        <v>190</v>
      </c>
      <c r="U97" s="6"/>
      <c r="V97" s="6"/>
      <c r="W97" s="6"/>
      <c r="X97" s="6"/>
      <c r="Y97" s="7" t="str">
        <f aca="false">IF(COUNT(U97:X97)=4,(W97-X97)/2,"")</f>
        <v/>
      </c>
      <c r="Z97" s="7" t="str">
        <f aca="false">IF(COUNT(U97:X97)=4,(U97-V97)/2,"")</f>
        <v/>
      </c>
      <c r="AA97" s="7" t="str">
        <f aca="false">IF(COUNT(U97:X97)=4,MAX(1,MIN(10,ROUNDUP(5-Z97,0))),"")</f>
        <v/>
      </c>
      <c r="AB97" s="7" t="str">
        <f aca="false">IF(COUNT(U97:X97)=4,MAX(1,MIN(10,ROUNDUP(Y97+5,0))),"")</f>
        <v/>
      </c>
      <c r="AC97" s="6"/>
      <c r="AD97" s="6"/>
    </row>
    <row r="98" customFormat="false" ht="15" hidden="false" customHeight="true" outlineLevel="0" collapsed="false">
      <c r="A98" s="5" t="n">
        <v>97</v>
      </c>
      <c r="B98" s="5" t="s">
        <v>285</v>
      </c>
      <c r="C98" s="5" t="s">
        <v>145</v>
      </c>
      <c r="D98" s="5" t="s">
        <v>51</v>
      </c>
      <c r="E98" s="5" t="n">
        <v>1014</v>
      </c>
      <c r="F98" s="5" t="s">
        <v>286</v>
      </c>
      <c r="G98" s="5" t="n">
        <v>4</v>
      </c>
      <c r="H98" s="5" t="s">
        <v>53</v>
      </c>
      <c r="I98" s="5" t="s">
        <v>54</v>
      </c>
      <c r="J98" s="5" t="s">
        <v>55</v>
      </c>
      <c r="K98" s="5" t="s">
        <v>55</v>
      </c>
      <c r="L98" s="5" t="n">
        <v>4</v>
      </c>
      <c r="M98" s="5" t="n">
        <v>2</v>
      </c>
      <c r="N98" s="5" t="n">
        <v>10</v>
      </c>
      <c r="O98" s="5" t="n">
        <v>1</v>
      </c>
      <c r="P98" s="5" t="n">
        <v>4.5</v>
      </c>
      <c r="Q98" s="5" t="n">
        <v>1</v>
      </c>
      <c r="R98" s="5" t="n">
        <v>4</v>
      </c>
      <c r="S98" s="5" t="n">
        <v>10</v>
      </c>
      <c r="T98" s="5" t="s">
        <v>287</v>
      </c>
      <c r="U98" s="6"/>
      <c r="V98" s="6"/>
      <c r="W98" s="6"/>
      <c r="X98" s="6"/>
      <c r="Y98" s="7" t="str">
        <f aca="false">IF(COUNT(U98:X98)=4,(W98-X98)/2,"")</f>
        <v/>
      </c>
      <c r="Z98" s="7" t="str">
        <f aca="false">IF(COUNT(U98:X98)=4,(U98-V98)/2,"")</f>
        <v/>
      </c>
      <c r="AA98" s="7" t="str">
        <f aca="false">IF(COUNT(U98:X98)=4,MAX(1,MIN(10,ROUNDUP(5-Z98,0))),"")</f>
        <v/>
      </c>
      <c r="AB98" s="7" t="str">
        <f aca="false">IF(COUNT(U98:X98)=4,MAX(1,MIN(10,ROUNDUP(Y98+5,0))),"")</f>
        <v/>
      </c>
      <c r="AC98" s="6"/>
      <c r="AD98" s="6"/>
    </row>
    <row r="99" customFormat="false" ht="15" hidden="false" customHeight="true" outlineLevel="0" collapsed="false">
      <c r="A99" s="5" t="n">
        <v>98</v>
      </c>
      <c r="B99" s="5" t="s">
        <v>288</v>
      </c>
      <c r="C99" s="5" t="s">
        <v>108</v>
      </c>
      <c r="D99" s="5" t="s">
        <v>109</v>
      </c>
      <c r="E99" s="5" t="n">
        <v>1010</v>
      </c>
      <c r="F99" s="5" t="s">
        <v>289</v>
      </c>
      <c r="G99" s="5" t="n">
        <v>2</v>
      </c>
      <c r="H99" s="5" t="s">
        <v>47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 t="s">
        <v>161</v>
      </c>
      <c r="U99" s="6"/>
      <c r="V99" s="6"/>
      <c r="W99" s="6"/>
      <c r="X99" s="6"/>
      <c r="Y99" s="7" t="str">
        <f aca="false">IF(COUNT(U99:X99)=4,(W99-X99)/2,"")</f>
        <v/>
      </c>
      <c r="Z99" s="7" t="str">
        <f aca="false">IF(COUNT(U99:X99)=4,(U99-V99)/2,"")</f>
        <v/>
      </c>
      <c r="AA99" s="7" t="str">
        <f aca="false">IF(COUNT(U99:X99)=4,MAX(1,MIN(10,ROUNDUP(5-Z99,0))),"")</f>
        <v/>
      </c>
      <c r="AB99" s="7" t="str">
        <f aca="false">IF(COUNT(U99:X99)=4,MAX(1,MIN(10,ROUNDUP(Y99+5,0))),"")</f>
        <v/>
      </c>
      <c r="AC99" s="6"/>
      <c r="AD99" s="6"/>
    </row>
    <row r="100" customFormat="false" ht="15" hidden="false" customHeight="true" outlineLevel="0" collapsed="false">
      <c r="A100" s="5" t="n">
        <v>99</v>
      </c>
      <c r="B100" s="5" t="s">
        <v>290</v>
      </c>
      <c r="C100" s="5" t="s">
        <v>145</v>
      </c>
      <c r="D100" s="5" t="s">
        <v>51</v>
      </c>
      <c r="E100" s="5" t="n">
        <v>975</v>
      </c>
      <c r="F100" s="5" t="s">
        <v>291</v>
      </c>
      <c r="G100" s="5" t="n">
        <v>4</v>
      </c>
      <c r="H100" s="5" t="s">
        <v>53</v>
      </c>
      <c r="I100" s="5" t="s">
        <v>54</v>
      </c>
      <c r="J100" s="5" t="s">
        <v>55</v>
      </c>
      <c r="K100" s="5" t="s">
        <v>55</v>
      </c>
      <c r="L100" s="5" t="n">
        <v>5</v>
      </c>
      <c r="M100" s="5" t="n">
        <v>2</v>
      </c>
      <c r="N100" s="5" t="n">
        <v>3</v>
      </c>
      <c r="O100" s="5" t="n">
        <v>8</v>
      </c>
      <c r="P100" s="5" t="n">
        <v>-2.5</v>
      </c>
      <c r="Q100" s="5" t="n">
        <v>1.5</v>
      </c>
      <c r="R100" s="5" t="n">
        <v>4</v>
      </c>
      <c r="S100" s="5" t="n">
        <v>3</v>
      </c>
      <c r="T100" s="5" t="s">
        <v>292</v>
      </c>
      <c r="U100" s="6"/>
      <c r="V100" s="6"/>
      <c r="W100" s="6"/>
      <c r="X100" s="6"/>
      <c r="Y100" s="7" t="str">
        <f aca="false">IF(COUNT(U100:X100)=4,(W100-X100)/2,"")</f>
        <v/>
      </c>
      <c r="Z100" s="7" t="str">
        <f aca="false">IF(COUNT(U100:X100)=4,(U100-V100)/2,"")</f>
        <v/>
      </c>
      <c r="AA100" s="7" t="str">
        <f aca="false">IF(COUNT(U100:X100)=4,MAX(1,MIN(10,ROUNDUP(5-Z100,0))),"")</f>
        <v/>
      </c>
      <c r="AB100" s="7" t="str">
        <f aca="false">IF(COUNT(U100:X100)=4,MAX(1,MIN(10,ROUNDUP(Y100+5,0))),"")</f>
        <v/>
      </c>
      <c r="AC100" s="6"/>
      <c r="AD100" s="6"/>
    </row>
    <row r="101" customFormat="false" ht="15" hidden="false" customHeight="true" outlineLevel="0" collapsed="false">
      <c r="A101" s="5" t="n">
        <v>100</v>
      </c>
      <c r="B101" s="5" t="s">
        <v>293</v>
      </c>
      <c r="C101" s="5" t="s">
        <v>58</v>
      </c>
      <c r="D101" s="5" t="s">
        <v>59</v>
      </c>
      <c r="E101" s="5" t="n">
        <v>971</v>
      </c>
      <c r="F101" s="5" t="s">
        <v>293</v>
      </c>
      <c r="G101" s="5" t="n">
        <v>1</v>
      </c>
      <c r="H101" s="5" t="s">
        <v>47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 t="s">
        <v>294</v>
      </c>
      <c r="U101" s="6"/>
      <c r="V101" s="6"/>
      <c r="W101" s="6"/>
      <c r="X101" s="6"/>
      <c r="Y101" s="7" t="str">
        <f aca="false">IF(COUNT(U101:X101)=4,(W101-X101)/2,"")</f>
        <v/>
      </c>
      <c r="Z101" s="7" t="str">
        <f aca="false">IF(COUNT(U101:X101)=4,(U101-V101)/2,"")</f>
        <v/>
      </c>
      <c r="AA101" s="7" t="str">
        <f aca="false">IF(COUNT(U101:X101)=4,MAX(1,MIN(10,ROUNDUP(5-Z101,0))),"")</f>
        <v/>
      </c>
      <c r="AB101" s="7" t="str">
        <f aca="false">IF(COUNT(U101:X101)=4,MAX(1,MIN(10,ROUNDUP(Y101+5,0))),"")</f>
        <v/>
      </c>
      <c r="AC101" s="6"/>
      <c r="AD101" s="6"/>
    </row>
    <row r="102" customFormat="false" ht="15" hidden="false" customHeight="true" outlineLevel="0" collapsed="false">
      <c r="A102" s="5" t="n">
        <v>101</v>
      </c>
      <c r="B102" s="5" t="s">
        <v>295</v>
      </c>
      <c r="C102" s="5" t="s">
        <v>203</v>
      </c>
      <c r="D102" s="5" t="s">
        <v>204</v>
      </c>
      <c r="E102" s="5" t="n">
        <v>964</v>
      </c>
      <c r="F102" s="5" t="s">
        <v>296</v>
      </c>
      <c r="G102" s="5" t="n">
        <v>4</v>
      </c>
      <c r="H102" s="5" t="s">
        <v>53</v>
      </c>
      <c r="I102" s="5" t="s">
        <v>54</v>
      </c>
      <c r="J102" s="5" t="s">
        <v>117</v>
      </c>
      <c r="K102" s="5" t="s">
        <v>117</v>
      </c>
      <c r="L102" s="5" t="n">
        <v>3</v>
      </c>
      <c r="M102" s="5" t="n">
        <v>1</v>
      </c>
      <c r="N102" s="5" t="n">
        <v>7</v>
      </c>
      <c r="O102" s="5" t="n">
        <v>3</v>
      </c>
      <c r="P102" s="5" t="n">
        <v>2</v>
      </c>
      <c r="Q102" s="5" t="n">
        <v>1</v>
      </c>
      <c r="R102" s="5" t="n">
        <v>4</v>
      </c>
      <c r="S102" s="5" t="n">
        <v>7</v>
      </c>
      <c r="T102" s="5" t="s">
        <v>297</v>
      </c>
      <c r="U102" s="6"/>
      <c r="V102" s="6"/>
      <c r="W102" s="6"/>
      <c r="X102" s="6"/>
      <c r="Y102" s="7" t="str">
        <f aca="false">IF(COUNT(U102:X102)=4,(W102-X102)/2,"")</f>
        <v/>
      </c>
      <c r="Z102" s="7" t="str">
        <f aca="false">IF(COUNT(U102:X102)=4,(U102-V102)/2,"")</f>
        <v/>
      </c>
      <c r="AA102" s="7" t="str">
        <f aca="false">IF(COUNT(U102:X102)=4,MAX(1,MIN(10,ROUNDUP(5-Z102,0))),"")</f>
        <v/>
      </c>
      <c r="AB102" s="7" t="str">
        <f aca="false">IF(COUNT(U102:X102)=4,MAX(1,MIN(10,ROUNDUP(Y102+5,0))),"")</f>
        <v/>
      </c>
      <c r="AC102" s="6"/>
      <c r="AD102" s="6"/>
    </row>
    <row r="103" customFormat="false" ht="15" hidden="false" customHeight="true" outlineLevel="0" collapsed="false">
      <c r="A103" s="5" t="n">
        <v>102</v>
      </c>
      <c r="B103" s="5" t="s">
        <v>298</v>
      </c>
      <c r="C103" s="5" t="s">
        <v>203</v>
      </c>
      <c r="D103" s="5" t="s">
        <v>204</v>
      </c>
      <c r="E103" s="5" t="n">
        <v>941</v>
      </c>
      <c r="F103" s="5" t="s">
        <v>299</v>
      </c>
      <c r="G103" s="5" t="n">
        <v>4</v>
      </c>
      <c r="H103" s="5" t="s">
        <v>53</v>
      </c>
      <c r="I103" s="5" t="s">
        <v>54</v>
      </c>
      <c r="J103" s="5" t="s">
        <v>117</v>
      </c>
      <c r="K103" s="5" t="s">
        <v>117</v>
      </c>
      <c r="L103" s="5" t="n">
        <v>5</v>
      </c>
      <c r="M103" s="5" t="n">
        <v>1</v>
      </c>
      <c r="N103" s="5" t="n">
        <v>8</v>
      </c>
      <c r="O103" s="5" t="n">
        <v>2</v>
      </c>
      <c r="P103" s="5" t="n">
        <v>3</v>
      </c>
      <c r="Q103" s="5" t="n">
        <v>2</v>
      </c>
      <c r="R103" s="5" t="n">
        <v>3</v>
      </c>
      <c r="S103" s="5" t="n">
        <v>8</v>
      </c>
      <c r="T103" s="5" t="s">
        <v>300</v>
      </c>
      <c r="U103" s="6"/>
      <c r="V103" s="6"/>
      <c r="W103" s="6"/>
      <c r="X103" s="6"/>
      <c r="Y103" s="7" t="str">
        <f aca="false">IF(COUNT(U103:X103)=4,(W103-X103)/2,"")</f>
        <v/>
      </c>
      <c r="Z103" s="7" t="str">
        <f aca="false">IF(COUNT(U103:X103)=4,(U103-V103)/2,"")</f>
        <v/>
      </c>
      <c r="AA103" s="7" t="str">
        <f aca="false">IF(COUNT(U103:X103)=4,MAX(1,MIN(10,ROUNDUP(5-Z103,0))),"")</f>
        <v/>
      </c>
      <c r="AB103" s="7" t="str">
        <f aca="false">IF(COUNT(U103:X103)=4,MAX(1,MIN(10,ROUNDUP(Y103+5,0))),"")</f>
        <v/>
      </c>
      <c r="AC103" s="6"/>
      <c r="AD103" s="6"/>
    </row>
    <row r="104" customFormat="false" ht="15" hidden="false" customHeight="true" outlineLevel="0" collapsed="false">
      <c r="A104" s="5" t="n">
        <v>103</v>
      </c>
      <c r="B104" s="5" t="s">
        <v>301</v>
      </c>
      <c r="C104" s="5" t="s">
        <v>108</v>
      </c>
      <c r="D104" s="5" t="s">
        <v>109</v>
      </c>
      <c r="E104" s="5" t="n">
        <v>937</v>
      </c>
      <c r="F104" s="5" t="s">
        <v>301</v>
      </c>
      <c r="G104" s="5" t="n">
        <v>4</v>
      </c>
      <c r="H104" s="5" t="s">
        <v>53</v>
      </c>
      <c r="I104" s="5" t="s">
        <v>64</v>
      </c>
      <c r="J104" s="5"/>
      <c r="K104" s="5"/>
      <c r="L104" s="5" t="n">
        <v>4</v>
      </c>
      <c r="M104" s="5" t="n">
        <v>3</v>
      </c>
      <c r="N104" s="5" t="n">
        <v>3</v>
      </c>
      <c r="O104" s="5" t="n">
        <v>7</v>
      </c>
      <c r="P104" s="5" t="n">
        <v>-2</v>
      </c>
      <c r="Q104" s="5" t="n">
        <v>0.5</v>
      </c>
      <c r="R104" s="5" t="n">
        <v>5</v>
      </c>
      <c r="S104" s="5" t="n">
        <v>3</v>
      </c>
      <c r="T104" s="5" t="s">
        <v>302</v>
      </c>
      <c r="U104" s="6"/>
      <c r="V104" s="6"/>
      <c r="W104" s="6"/>
      <c r="X104" s="6"/>
      <c r="Y104" s="7" t="str">
        <f aca="false">IF(COUNT(U104:X104)=4,(W104-X104)/2,"")</f>
        <v/>
      </c>
      <c r="Z104" s="7" t="str">
        <f aca="false">IF(COUNT(U104:X104)=4,(U104-V104)/2,"")</f>
        <v/>
      </c>
      <c r="AA104" s="7" t="str">
        <f aca="false">IF(COUNT(U104:X104)=4,MAX(1,MIN(10,ROUNDUP(5-Z104,0))),"")</f>
        <v/>
      </c>
      <c r="AB104" s="7" t="str">
        <f aca="false">IF(COUNT(U104:X104)=4,MAX(1,MIN(10,ROUNDUP(Y104+5,0))),"")</f>
        <v/>
      </c>
      <c r="AC104" s="6"/>
      <c r="AD104" s="6"/>
    </row>
    <row r="105" customFormat="false" ht="15" hidden="false" customHeight="true" outlineLevel="0" collapsed="false">
      <c r="A105" s="5" t="n">
        <v>104</v>
      </c>
      <c r="B105" s="5" t="s">
        <v>303</v>
      </c>
      <c r="C105" s="5" t="s">
        <v>45</v>
      </c>
      <c r="D105" s="5" t="s">
        <v>46</v>
      </c>
      <c r="E105" s="5" t="n">
        <v>923</v>
      </c>
      <c r="F105" s="5" t="s">
        <v>303</v>
      </c>
      <c r="G105" s="5" t="n">
        <v>3</v>
      </c>
      <c r="H105" s="5" t="s">
        <v>53</v>
      </c>
      <c r="I105" s="5" t="s">
        <v>81</v>
      </c>
      <c r="J105" s="5" t="s">
        <v>79</v>
      </c>
      <c r="K105" s="5" t="s">
        <v>137</v>
      </c>
      <c r="L105" s="5" t="n">
        <v>6</v>
      </c>
      <c r="M105" s="5" t="n">
        <v>2</v>
      </c>
      <c r="N105" s="5" t="n">
        <v>0</v>
      </c>
      <c r="O105" s="5" t="n">
        <v>10</v>
      </c>
      <c r="P105" s="5" t="n">
        <v>-5</v>
      </c>
      <c r="Q105" s="5" t="n">
        <v>2</v>
      </c>
      <c r="R105" s="5" t="n">
        <v>3</v>
      </c>
      <c r="S105" s="5" t="n">
        <v>1</v>
      </c>
      <c r="T105" s="5" t="s">
        <v>304</v>
      </c>
      <c r="U105" s="6"/>
      <c r="V105" s="6"/>
      <c r="W105" s="6"/>
      <c r="X105" s="6"/>
      <c r="Y105" s="7" t="str">
        <f aca="false">IF(COUNT(U105:X105)=4,(W105-X105)/2,"")</f>
        <v/>
      </c>
      <c r="Z105" s="7" t="str">
        <f aca="false">IF(COUNT(U105:X105)=4,(U105-V105)/2,"")</f>
        <v/>
      </c>
      <c r="AA105" s="7" t="str">
        <f aca="false">IF(COUNT(U105:X105)=4,MAX(1,MIN(10,ROUNDUP(5-Z105,0))),"")</f>
        <v/>
      </c>
      <c r="AB105" s="7" t="str">
        <f aca="false">IF(COUNT(U105:X105)=4,MAX(1,MIN(10,ROUNDUP(Y105+5,0))),"")</f>
        <v/>
      </c>
      <c r="AC105" s="6"/>
      <c r="AD105" s="6"/>
    </row>
    <row r="106" customFormat="false" ht="15" hidden="false" customHeight="true" outlineLevel="0" collapsed="false">
      <c r="A106" s="5" t="n">
        <v>105</v>
      </c>
      <c r="B106" s="5" t="s">
        <v>305</v>
      </c>
      <c r="C106" s="5" t="s">
        <v>67</v>
      </c>
      <c r="D106" s="5" t="s">
        <v>68</v>
      </c>
      <c r="E106" s="5" t="n">
        <v>906</v>
      </c>
      <c r="F106" s="5" t="s">
        <v>306</v>
      </c>
      <c r="G106" s="5" t="n">
        <v>1</v>
      </c>
      <c r="H106" s="5" t="s">
        <v>47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 t="s">
        <v>227</v>
      </c>
      <c r="U106" s="6"/>
      <c r="V106" s="6"/>
      <c r="W106" s="6"/>
      <c r="X106" s="6"/>
      <c r="Y106" s="7" t="str">
        <f aca="false">IF(COUNT(U106:X106)=4,(W106-X106)/2,"")</f>
        <v/>
      </c>
      <c r="Z106" s="7" t="str">
        <f aca="false">IF(COUNT(U106:X106)=4,(U106-V106)/2,"")</f>
        <v/>
      </c>
      <c r="AA106" s="7" t="str">
        <f aca="false">IF(COUNT(U106:X106)=4,MAX(1,MIN(10,ROUNDUP(5-Z106,0))),"")</f>
        <v/>
      </c>
      <c r="AB106" s="7" t="str">
        <f aca="false">IF(COUNT(U106:X106)=4,MAX(1,MIN(10,ROUNDUP(Y106+5,0))),"")</f>
        <v/>
      </c>
      <c r="AC106" s="6"/>
      <c r="AD106" s="6"/>
    </row>
    <row r="107" customFormat="false" ht="15" hidden="false" customHeight="true" outlineLevel="0" collapsed="false">
      <c r="A107" s="5" t="n">
        <v>106</v>
      </c>
      <c r="B107" s="5" t="s">
        <v>307</v>
      </c>
      <c r="C107" s="5" t="s">
        <v>171</v>
      </c>
      <c r="D107" s="5" t="s">
        <v>172</v>
      </c>
      <c r="E107" s="5" t="n">
        <v>884</v>
      </c>
      <c r="F107" s="5" t="s">
        <v>308</v>
      </c>
      <c r="G107" s="5" t="n">
        <v>4</v>
      </c>
      <c r="H107" s="5" t="s">
        <v>53</v>
      </c>
      <c r="I107" s="5" t="s">
        <v>81</v>
      </c>
      <c r="J107" s="5" t="s">
        <v>174</v>
      </c>
      <c r="K107" s="5" t="s">
        <v>309</v>
      </c>
      <c r="L107" s="5" t="n">
        <v>6</v>
      </c>
      <c r="M107" s="5" t="n">
        <v>2</v>
      </c>
      <c r="N107" s="5" t="n">
        <v>3</v>
      </c>
      <c r="O107" s="5" t="n">
        <v>8</v>
      </c>
      <c r="P107" s="5" t="n">
        <v>-2.5</v>
      </c>
      <c r="Q107" s="5" t="n">
        <v>2</v>
      </c>
      <c r="R107" s="5" t="n">
        <v>3</v>
      </c>
      <c r="S107" s="5" t="n">
        <v>3</v>
      </c>
      <c r="T107" s="5" t="s">
        <v>190</v>
      </c>
      <c r="U107" s="6"/>
      <c r="V107" s="6"/>
      <c r="W107" s="6"/>
      <c r="X107" s="6"/>
      <c r="Y107" s="7" t="str">
        <f aca="false">IF(COUNT(U107:X107)=4,(W107-X107)/2,"")</f>
        <v/>
      </c>
      <c r="Z107" s="7" t="str">
        <f aca="false">IF(COUNT(U107:X107)=4,(U107-V107)/2,"")</f>
        <v/>
      </c>
      <c r="AA107" s="7" t="str">
        <f aca="false">IF(COUNT(U107:X107)=4,MAX(1,MIN(10,ROUNDUP(5-Z107,0))),"")</f>
        <v/>
      </c>
      <c r="AB107" s="7" t="str">
        <f aca="false">IF(COUNT(U107:X107)=4,MAX(1,MIN(10,ROUNDUP(Y107+5,0))),"")</f>
        <v/>
      </c>
      <c r="AC107" s="6"/>
      <c r="AD107" s="6"/>
    </row>
    <row r="108" customFormat="false" ht="15" hidden="false" customHeight="true" outlineLevel="0" collapsed="false">
      <c r="A108" s="5" t="n">
        <v>107</v>
      </c>
      <c r="B108" s="5" t="s">
        <v>310</v>
      </c>
      <c r="C108" s="5" t="s">
        <v>58</v>
      </c>
      <c r="D108" s="5" t="s">
        <v>59</v>
      </c>
      <c r="E108" s="5" t="n">
        <v>883</v>
      </c>
      <c r="F108" s="5" t="s">
        <v>310</v>
      </c>
      <c r="G108" s="5" t="n">
        <v>3</v>
      </c>
      <c r="H108" s="5" t="s">
        <v>53</v>
      </c>
      <c r="I108" s="5" t="s">
        <v>64</v>
      </c>
      <c r="J108" s="5"/>
      <c r="K108" s="5"/>
      <c r="L108" s="5" t="n">
        <v>3</v>
      </c>
      <c r="M108" s="5" t="n">
        <v>5</v>
      </c>
      <c r="N108" s="5" t="n">
        <v>2</v>
      </c>
      <c r="O108" s="5" t="n">
        <v>8</v>
      </c>
      <c r="P108" s="5" t="n">
        <v>-3</v>
      </c>
      <c r="Q108" s="5" t="n">
        <v>-1</v>
      </c>
      <c r="R108" s="5" t="n">
        <v>6</v>
      </c>
      <c r="S108" s="5" t="n">
        <v>2</v>
      </c>
      <c r="T108" s="5" t="s">
        <v>311</v>
      </c>
      <c r="U108" s="6"/>
      <c r="V108" s="6"/>
      <c r="W108" s="6"/>
      <c r="X108" s="6"/>
      <c r="Y108" s="7" t="str">
        <f aca="false">IF(COUNT(U108:X108)=4,(W108-X108)/2,"")</f>
        <v/>
      </c>
      <c r="Z108" s="7" t="str">
        <f aca="false">IF(COUNT(U108:X108)=4,(U108-V108)/2,"")</f>
        <v/>
      </c>
      <c r="AA108" s="7" t="str">
        <f aca="false">IF(COUNT(U108:X108)=4,MAX(1,MIN(10,ROUNDUP(5-Z108,0))),"")</f>
        <v/>
      </c>
      <c r="AB108" s="7" t="str">
        <f aca="false">IF(COUNT(U108:X108)=4,MAX(1,MIN(10,ROUNDUP(Y108+5,0))),"")</f>
        <v/>
      </c>
      <c r="AC108" s="6"/>
      <c r="AD108" s="6"/>
    </row>
    <row r="109" customFormat="false" ht="15" hidden="false" customHeight="true" outlineLevel="0" collapsed="false">
      <c r="A109" s="5" t="n">
        <v>108</v>
      </c>
      <c r="B109" s="5" t="s">
        <v>312</v>
      </c>
      <c r="C109" s="5" t="s">
        <v>45</v>
      </c>
      <c r="D109" s="5" t="s">
        <v>46</v>
      </c>
      <c r="E109" s="5" t="n">
        <v>877</v>
      </c>
      <c r="F109" s="5" t="s">
        <v>312</v>
      </c>
      <c r="G109" s="5" t="n">
        <v>1</v>
      </c>
      <c r="H109" s="5" t="s">
        <v>47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 t="s">
        <v>313</v>
      </c>
      <c r="U109" s="6"/>
      <c r="V109" s="6"/>
      <c r="W109" s="6"/>
      <c r="X109" s="6"/>
      <c r="Y109" s="7" t="str">
        <f aca="false">IF(COUNT(U109:X109)=4,(W109-X109)/2,"")</f>
        <v/>
      </c>
      <c r="Z109" s="7" t="str">
        <f aca="false">IF(COUNT(U109:X109)=4,(U109-V109)/2,"")</f>
        <v/>
      </c>
      <c r="AA109" s="7" t="str">
        <f aca="false">IF(COUNT(U109:X109)=4,MAX(1,MIN(10,ROUNDUP(5-Z109,0))),"")</f>
        <v/>
      </c>
      <c r="AB109" s="7" t="str">
        <f aca="false">IF(COUNT(U109:X109)=4,MAX(1,MIN(10,ROUNDUP(Y109+5,0))),"")</f>
        <v/>
      </c>
      <c r="AC109" s="6"/>
      <c r="AD109" s="6"/>
    </row>
    <row r="110" customFormat="false" ht="15" hidden="false" customHeight="true" outlineLevel="0" collapsed="false">
      <c r="A110" s="5" t="n">
        <v>109</v>
      </c>
      <c r="B110" s="5" t="s">
        <v>314</v>
      </c>
      <c r="C110" s="5" t="s">
        <v>108</v>
      </c>
      <c r="D110" s="5" t="s">
        <v>109</v>
      </c>
      <c r="E110" s="5" t="n">
        <v>872</v>
      </c>
      <c r="F110" s="5" t="s">
        <v>314</v>
      </c>
      <c r="G110" s="5" t="n">
        <v>4</v>
      </c>
      <c r="H110" s="5" t="s">
        <v>53</v>
      </c>
      <c r="I110" s="5" t="s">
        <v>54</v>
      </c>
      <c r="J110" s="5" t="s">
        <v>117</v>
      </c>
      <c r="K110" s="5" t="s">
        <v>117</v>
      </c>
      <c r="L110" s="5" t="n">
        <v>7</v>
      </c>
      <c r="M110" s="5" t="n">
        <v>1</v>
      </c>
      <c r="N110" s="5" t="n">
        <v>2</v>
      </c>
      <c r="O110" s="5" t="n">
        <v>7</v>
      </c>
      <c r="P110" s="5" t="n">
        <v>-2.5</v>
      </c>
      <c r="Q110" s="5" t="n">
        <v>3</v>
      </c>
      <c r="R110" s="5" t="n">
        <v>2</v>
      </c>
      <c r="S110" s="5" t="n">
        <v>3</v>
      </c>
      <c r="T110" s="5" t="s">
        <v>243</v>
      </c>
      <c r="U110" s="6"/>
      <c r="V110" s="6"/>
      <c r="W110" s="6"/>
      <c r="X110" s="6"/>
      <c r="Y110" s="7" t="str">
        <f aca="false">IF(COUNT(U110:X110)=4,(W110-X110)/2,"")</f>
        <v/>
      </c>
      <c r="Z110" s="7" t="str">
        <f aca="false">IF(COUNT(U110:X110)=4,(U110-V110)/2,"")</f>
        <v/>
      </c>
      <c r="AA110" s="7" t="str">
        <f aca="false">IF(COUNT(U110:X110)=4,MAX(1,MIN(10,ROUNDUP(5-Z110,0))),"")</f>
        <v/>
      </c>
      <c r="AB110" s="7" t="str">
        <f aca="false">IF(COUNT(U110:X110)=4,MAX(1,MIN(10,ROUNDUP(Y110+5,0))),"")</f>
        <v/>
      </c>
      <c r="AC110" s="6"/>
      <c r="AD110" s="6"/>
    </row>
    <row r="111" customFormat="false" ht="15" hidden="false" customHeight="true" outlineLevel="0" collapsed="false">
      <c r="A111" s="5" t="n">
        <v>110</v>
      </c>
      <c r="B111" s="5" t="s">
        <v>315</v>
      </c>
      <c r="C111" s="5" t="s">
        <v>45</v>
      </c>
      <c r="D111" s="5" t="s">
        <v>46</v>
      </c>
      <c r="E111" s="5" t="n">
        <v>850</v>
      </c>
      <c r="F111" s="5" t="s">
        <v>315</v>
      </c>
      <c r="G111" s="5" t="n">
        <v>3</v>
      </c>
      <c r="H111" s="5" t="s">
        <v>53</v>
      </c>
      <c r="I111" s="5" t="s">
        <v>81</v>
      </c>
      <c r="J111" s="5" t="s">
        <v>79</v>
      </c>
      <c r="K111" s="5" t="s">
        <v>86</v>
      </c>
      <c r="L111" s="5" t="n">
        <v>0</v>
      </c>
      <c r="M111" s="5" t="n">
        <v>10</v>
      </c>
      <c r="N111" s="5" t="n">
        <v>5</v>
      </c>
      <c r="O111" s="5" t="n">
        <v>5</v>
      </c>
      <c r="P111" s="5" t="n">
        <v>0</v>
      </c>
      <c r="Q111" s="5" t="n">
        <v>-5</v>
      </c>
      <c r="R111" s="5" t="n">
        <v>10</v>
      </c>
      <c r="S111" s="5" t="n">
        <v>5</v>
      </c>
      <c r="T111" s="5" t="s">
        <v>161</v>
      </c>
      <c r="U111" s="6"/>
      <c r="V111" s="6"/>
      <c r="W111" s="6"/>
      <c r="X111" s="6"/>
      <c r="Y111" s="7" t="str">
        <f aca="false">IF(COUNT(U111:X111)=4,(W111-X111)/2,"")</f>
        <v/>
      </c>
      <c r="Z111" s="7" t="str">
        <f aca="false">IF(COUNT(U111:X111)=4,(U111-V111)/2,"")</f>
        <v/>
      </c>
      <c r="AA111" s="7" t="str">
        <f aca="false">IF(COUNT(U111:X111)=4,MAX(1,MIN(10,ROUNDUP(5-Z111,0))),"")</f>
        <v/>
      </c>
      <c r="AB111" s="7" t="str">
        <f aca="false">IF(COUNT(U111:X111)=4,MAX(1,MIN(10,ROUNDUP(Y111+5,0))),"")</f>
        <v/>
      </c>
      <c r="AC111" s="6"/>
      <c r="AD111" s="6"/>
    </row>
    <row r="112" customFormat="false" ht="15" hidden="false" customHeight="true" outlineLevel="0" collapsed="false">
      <c r="A112" s="5" t="n">
        <v>111</v>
      </c>
      <c r="B112" s="5" t="s">
        <v>316</v>
      </c>
      <c r="C112" s="5" t="s">
        <v>108</v>
      </c>
      <c r="D112" s="5" t="s">
        <v>109</v>
      </c>
      <c r="E112" s="5" t="n">
        <v>834</v>
      </c>
      <c r="F112" s="5" t="s">
        <v>316</v>
      </c>
      <c r="G112" s="5" t="n">
        <v>2</v>
      </c>
      <c r="H112" s="5" t="s">
        <v>47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 t="s">
        <v>118</v>
      </c>
      <c r="U112" s="6"/>
      <c r="V112" s="6"/>
      <c r="W112" s="6"/>
      <c r="X112" s="6"/>
      <c r="Y112" s="7" t="str">
        <f aca="false">IF(COUNT(U112:X112)=4,(W112-X112)/2,"")</f>
        <v/>
      </c>
      <c r="Z112" s="7" t="str">
        <f aca="false">IF(COUNT(U112:X112)=4,(U112-V112)/2,"")</f>
        <v/>
      </c>
      <c r="AA112" s="7" t="str">
        <f aca="false">IF(COUNT(U112:X112)=4,MAX(1,MIN(10,ROUNDUP(5-Z112,0))),"")</f>
        <v/>
      </c>
      <c r="AB112" s="7" t="str">
        <f aca="false">IF(COUNT(U112:X112)=4,MAX(1,MIN(10,ROUNDUP(Y112+5,0))),"")</f>
        <v/>
      </c>
      <c r="AC112" s="6"/>
      <c r="AD112" s="6"/>
    </row>
    <row r="113" customFormat="false" ht="15" hidden="false" customHeight="true" outlineLevel="0" collapsed="false">
      <c r="A113" s="5" t="n">
        <v>112</v>
      </c>
      <c r="B113" s="5" t="s">
        <v>317</v>
      </c>
      <c r="C113" s="5" t="s">
        <v>108</v>
      </c>
      <c r="D113" s="5" t="s">
        <v>109</v>
      </c>
      <c r="E113" s="5" t="n">
        <v>834</v>
      </c>
      <c r="F113" s="5" t="s">
        <v>317</v>
      </c>
      <c r="G113" s="5" t="n">
        <v>4</v>
      </c>
      <c r="H113" s="5" t="s">
        <v>53</v>
      </c>
      <c r="I113" s="5" t="s">
        <v>54</v>
      </c>
      <c r="J113" s="5" t="s">
        <v>117</v>
      </c>
      <c r="K113" s="5" t="s">
        <v>117</v>
      </c>
      <c r="L113" s="5" t="n">
        <v>3</v>
      </c>
      <c r="M113" s="5" t="n">
        <v>1</v>
      </c>
      <c r="N113" s="5" t="n">
        <v>2</v>
      </c>
      <c r="O113" s="5" t="n">
        <v>7</v>
      </c>
      <c r="P113" s="5" t="n">
        <v>-2.5</v>
      </c>
      <c r="Q113" s="5" t="n">
        <v>1</v>
      </c>
      <c r="R113" s="5" t="n">
        <v>4</v>
      </c>
      <c r="S113" s="5" t="n">
        <v>3</v>
      </c>
      <c r="T113" s="5" t="s">
        <v>318</v>
      </c>
      <c r="U113" s="6"/>
      <c r="V113" s="6"/>
      <c r="W113" s="6"/>
      <c r="X113" s="6"/>
      <c r="Y113" s="7" t="str">
        <f aca="false">IF(COUNT(U113:X113)=4,(W113-X113)/2,"")</f>
        <v/>
      </c>
      <c r="Z113" s="7" t="str">
        <f aca="false">IF(COUNT(U113:X113)=4,(U113-V113)/2,"")</f>
        <v/>
      </c>
      <c r="AA113" s="7" t="str">
        <f aca="false">IF(COUNT(U113:X113)=4,MAX(1,MIN(10,ROUNDUP(5-Z113,0))),"")</f>
        <v/>
      </c>
      <c r="AB113" s="7" t="str">
        <f aca="false">IF(COUNT(U113:X113)=4,MAX(1,MIN(10,ROUNDUP(Y113+5,0))),"")</f>
        <v/>
      </c>
      <c r="AC113" s="6"/>
      <c r="AD113" s="6"/>
    </row>
    <row r="114" customFormat="false" ht="15" hidden="false" customHeight="true" outlineLevel="0" collapsed="false">
      <c r="A114" s="5" t="n">
        <v>113</v>
      </c>
      <c r="B114" s="5" t="s">
        <v>319</v>
      </c>
      <c r="C114" s="5" t="s">
        <v>203</v>
      </c>
      <c r="D114" s="5" t="s">
        <v>204</v>
      </c>
      <c r="E114" s="5" t="n">
        <v>832</v>
      </c>
      <c r="F114" s="5" t="s">
        <v>320</v>
      </c>
      <c r="G114" s="5" t="n">
        <v>4</v>
      </c>
      <c r="H114" s="5" t="s">
        <v>53</v>
      </c>
      <c r="I114" s="5" t="s">
        <v>54</v>
      </c>
      <c r="J114" s="5" t="s">
        <v>117</v>
      </c>
      <c r="K114" s="5" t="s">
        <v>117</v>
      </c>
      <c r="L114" s="5" t="n">
        <v>3</v>
      </c>
      <c r="M114" s="5" t="n">
        <v>3</v>
      </c>
      <c r="N114" s="5" t="n">
        <v>7</v>
      </c>
      <c r="O114" s="5" t="n">
        <v>3</v>
      </c>
      <c r="P114" s="5" t="n">
        <v>2</v>
      </c>
      <c r="Q114" s="5" t="n">
        <v>0</v>
      </c>
      <c r="R114" s="5" t="n">
        <v>5</v>
      </c>
      <c r="S114" s="5" t="n">
        <v>7</v>
      </c>
      <c r="T114" s="5" t="s">
        <v>106</v>
      </c>
      <c r="U114" s="6"/>
      <c r="V114" s="6"/>
      <c r="W114" s="6"/>
      <c r="X114" s="6"/>
      <c r="Y114" s="7" t="str">
        <f aca="false">IF(COUNT(U114:X114)=4,(W114-X114)/2,"")</f>
        <v/>
      </c>
      <c r="Z114" s="7" t="str">
        <f aca="false">IF(COUNT(U114:X114)=4,(U114-V114)/2,"")</f>
        <v/>
      </c>
      <c r="AA114" s="7" t="str">
        <f aca="false">IF(COUNT(U114:X114)=4,MAX(1,MIN(10,ROUNDUP(5-Z114,0))),"")</f>
        <v/>
      </c>
      <c r="AB114" s="7" t="str">
        <f aca="false">IF(COUNT(U114:X114)=4,MAX(1,MIN(10,ROUNDUP(Y114+5,0))),"")</f>
        <v/>
      </c>
      <c r="AC114" s="6"/>
      <c r="AD114" s="6"/>
    </row>
    <row r="115" customFormat="false" ht="15" hidden="false" customHeight="true" outlineLevel="0" collapsed="false">
      <c r="A115" s="5" t="n">
        <v>114</v>
      </c>
      <c r="B115" s="5" t="s">
        <v>321</v>
      </c>
      <c r="C115" s="5" t="s">
        <v>145</v>
      </c>
      <c r="D115" s="5" t="s">
        <v>51</v>
      </c>
      <c r="E115" s="5" t="n">
        <v>831</v>
      </c>
      <c r="F115" s="5" t="s">
        <v>322</v>
      </c>
      <c r="G115" s="5" t="n">
        <v>4</v>
      </c>
      <c r="H115" s="5" t="s">
        <v>53</v>
      </c>
      <c r="I115" s="5" t="s">
        <v>54</v>
      </c>
      <c r="J115" s="5" t="s">
        <v>55</v>
      </c>
      <c r="K115" s="5" t="s">
        <v>55</v>
      </c>
      <c r="L115" s="5" t="n">
        <v>4</v>
      </c>
      <c r="M115" s="5" t="n">
        <v>2</v>
      </c>
      <c r="N115" s="5" t="n">
        <v>10</v>
      </c>
      <c r="O115" s="5" t="n">
        <v>1</v>
      </c>
      <c r="P115" s="5" t="n">
        <v>4.5</v>
      </c>
      <c r="Q115" s="5" t="n">
        <v>1</v>
      </c>
      <c r="R115" s="5" t="n">
        <v>4</v>
      </c>
      <c r="S115" s="5" t="n">
        <v>10</v>
      </c>
      <c r="T115" s="5" t="s">
        <v>323</v>
      </c>
      <c r="U115" s="6"/>
      <c r="V115" s="6"/>
      <c r="W115" s="6"/>
      <c r="X115" s="6"/>
      <c r="Y115" s="7" t="str">
        <f aca="false">IF(COUNT(U115:X115)=4,(W115-X115)/2,"")</f>
        <v/>
      </c>
      <c r="Z115" s="7" t="str">
        <f aca="false">IF(COUNT(U115:X115)=4,(U115-V115)/2,"")</f>
        <v/>
      </c>
      <c r="AA115" s="7" t="str">
        <f aca="false">IF(COUNT(U115:X115)=4,MAX(1,MIN(10,ROUNDUP(5-Z115,0))),"")</f>
        <v/>
      </c>
      <c r="AB115" s="7" t="str">
        <f aca="false">IF(COUNT(U115:X115)=4,MAX(1,MIN(10,ROUNDUP(Y115+5,0))),"")</f>
        <v/>
      </c>
      <c r="AC115" s="6"/>
      <c r="AD115" s="6"/>
    </row>
    <row r="116" customFormat="false" ht="15" hidden="false" customHeight="true" outlineLevel="0" collapsed="false">
      <c r="A116" s="5" t="n">
        <v>115</v>
      </c>
      <c r="B116" s="5" t="s">
        <v>223</v>
      </c>
      <c r="C116" s="5" t="s">
        <v>171</v>
      </c>
      <c r="D116" s="5" t="s">
        <v>172</v>
      </c>
      <c r="E116" s="5" t="n">
        <v>821</v>
      </c>
      <c r="F116" s="5" t="s">
        <v>324</v>
      </c>
      <c r="G116" s="5" t="n">
        <v>4</v>
      </c>
      <c r="H116" s="5" t="s">
        <v>53</v>
      </c>
      <c r="I116" s="5" t="s">
        <v>54</v>
      </c>
      <c r="J116" s="5" t="s">
        <v>181</v>
      </c>
      <c r="K116" s="5" t="s">
        <v>223</v>
      </c>
      <c r="L116" s="5" t="n">
        <v>3</v>
      </c>
      <c r="M116" s="5" t="n">
        <v>4</v>
      </c>
      <c r="N116" s="5" t="n">
        <v>8</v>
      </c>
      <c r="O116" s="5" t="n">
        <v>3</v>
      </c>
      <c r="P116" s="5" t="n">
        <v>2.5</v>
      </c>
      <c r="Q116" s="5" t="n">
        <v>-0.5</v>
      </c>
      <c r="R116" s="5" t="n">
        <v>6</v>
      </c>
      <c r="S116" s="5" t="n">
        <v>8</v>
      </c>
      <c r="T116" s="5" t="s">
        <v>325</v>
      </c>
      <c r="U116" s="6"/>
      <c r="V116" s="6"/>
      <c r="W116" s="6"/>
      <c r="X116" s="6"/>
      <c r="Y116" s="7" t="str">
        <f aca="false">IF(COUNT(U116:X116)=4,(W116-X116)/2,"")</f>
        <v/>
      </c>
      <c r="Z116" s="7" t="str">
        <f aca="false">IF(COUNT(U116:X116)=4,(U116-V116)/2,"")</f>
        <v/>
      </c>
      <c r="AA116" s="7" t="str">
        <f aca="false">IF(COUNT(U116:X116)=4,MAX(1,MIN(10,ROUNDUP(5-Z116,0))),"")</f>
        <v/>
      </c>
      <c r="AB116" s="7" t="str">
        <f aca="false">IF(COUNT(U116:X116)=4,MAX(1,MIN(10,ROUNDUP(Y116+5,0))),"")</f>
        <v/>
      </c>
      <c r="AC116" s="6"/>
      <c r="AD116" s="6"/>
    </row>
    <row r="117" customFormat="false" ht="15" hidden="false" customHeight="true" outlineLevel="0" collapsed="false">
      <c r="A117" s="5" t="n">
        <v>116</v>
      </c>
      <c r="B117" s="5" t="s">
        <v>326</v>
      </c>
      <c r="C117" s="5" t="s">
        <v>203</v>
      </c>
      <c r="D117" s="5" t="s">
        <v>204</v>
      </c>
      <c r="E117" s="5" t="n">
        <v>820</v>
      </c>
      <c r="F117" s="5" t="s">
        <v>327</v>
      </c>
      <c r="G117" s="5" t="n">
        <v>4</v>
      </c>
      <c r="H117" s="5" t="s">
        <v>53</v>
      </c>
      <c r="I117" s="5" t="s">
        <v>54</v>
      </c>
      <c r="J117" s="5" t="s">
        <v>117</v>
      </c>
      <c r="K117" s="5" t="s">
        <v>117</v>
      </c>
      <c r="L117" s="5" t="n">
        <v>3</v>
      </c>
      <c r="M117" s="5" t="n">
        <v>1</v>
      </c>
      <c r="N117" s="5" t="n">
        <v>1</v>
      </c>
      <c r="O117" s="5" t="n">
        <v>9</v>
      </c>
      <c r="P117" s="5" t="n">
        <v>-4</v>
      </c>
      <c r="Q117" s="5" t="n">
        <v>1</v>
      </c>
      <c r="R117" s="5" t="n">
        <v>4</v>
      </c>
      <c r="S117" s="5" t="n">
        <v>1</v>
      </c>
      <c r="T117" s="5" t="s">
        <v>328</v>
      </c>
      <c r="U117" s="6"/>
      <c r="V117" s="6"/>
      <c r="W117" s="6"/>
      <c r="X117" s="6"/>
      <c r="Y117" s="7" t="str">
        <f aca="false">IF(COUNT(U117:X117)=4,(W117-X117)/2,"")</f>
        <v/>
      </c>
      <c r="Z117" s="7" t="str">
        <f aca="false">IF(COUNT(U117:X117)=4,(U117-V117)/2,"")</f>
        <v/>
      </c>
      <c r="AA117" s="7" t="str">
        <f aca="false">IF(COUNT(U117:X117)=4,MAX(1,MIN(10,ROUNDUP(5-Z117,0))),"")</f>
        <v/>
      </c>
      <c r="AB117" s="7" t="str">
        <f aca="false">IF(COUNT(U117:X117)=4,MAX(1,MIN(10,ROUNDUP(Y117+5,0))),"")</f>
        <v/>
      </c>
      <c r="AC117" s="6"/>
      <c r="AD117" s="6"/>
    </row>
    <row r="118" customFormat="false" ht="15" hidden="false" customHeight="true" outlineLevel="0" collapsed="false">
      <c r="A118" s="5" t="n">
        <v>117</v>
      </c>
      <c r="B118" s="5" t="s">
        <v>329</v>
      </c>
      <c r="C118" s="5" t="s">
        <v>108</v>
      </c>
      <c r="D118" s="5" t="s">
        <v>109</v>
      </c>
      <c r="E118" s="5" t="n">
        <v>796</v>
      </c>
      <c r="F118" s="5" t="s">
        <v>329</v>
      </c>
      <c r="G118" s="5" t="n">
        <v>2</v>
      </c>
      <c r="H118" s="5" t="s">
        <v>47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 t="s">
        <v>330</v>
      </c>
      <c r="U118" s="6"/>
      <c r="V118" s="6"/>
      <c r="W118" s="6"/>
      <c r="X118" s="6"/>
      <c r="Y118" s="7" t="str">
        <f aca="false">IF(COUNT(U118:X118)=4,(W118-X118)/2,"")</f>
        <v/>
      </c>
      <c r="Z118" s="7" t="str">
        <f aca="false">IF(COUNT(U118:X118)=4,(U118-V118)/2,"")</f>
        <v/>
      </c>
      <c r="AA118" s="7" t="str">
        <f aca="false">IF(COUNT(U118:X118)=4,MAX(1,MIN(10,ROUNDUP(5-Z118,0))),"")</f>
        <v/>
      </c>
      <c r="AB118" s="7" t="str">
        <f aca="false">IF(COUNT(U118:X118)=4,MAX(1,MIN(10,ROUNDUP(Y118+5,0))),"")</f>
        <v/>
      </c>
      <c r="AC118" s="6"/>
      <c r="AD118" s="6"/>
    </row>
    <row r="119" customFormat="false" ht="15" hidden="false" customHeight="true" outlineLevel="0" collapsed="false">
      <c r="A119" s="5" t="n">
        <v>118</v>
      </c>
      <c r="B119" s="5" t="s">
        <v>331</v>
      </c>
      <c r="C119" s="5" t="s">
        <v>171</v>
      </c>
      <c r="D119" s="5" t="s">
        <v>172</v>
      </c>
      <c r="E119" s="5" t="n">
        <v>794</v>
      </c>
      <c r="F119" s="5" t="s">
        <v>332</v>
      </c>
      <c r="G119" s="5" t="n">
        <v>4</v>
      </c>
      <c r="H119" s="5" t="s">
        <v>53</v>
      </c>
      <c r="I119" s="5" t="s">
        <v>54</v>
      </c>
      <c r="J119" s="5" t="s">
        <v>181</v>
      </c>
      <c r="K119" s="5" t="s">
        <v>333</v>
      </c>
      <c r="L119" s="5" t="n">
        <v>2</v>
      </c>
      <c r="M119" s="5" t="n">
        <v>4</v>
      </c>
      <c r="N119" s="5" t="n">
        <v>8</v>
      </c>
      <c r="O119" s="5" t="n">
        <v>2</v>
      </c>
      <c r="P119" s="5" t="n">
        <v>3</v>
      </c>
      <c r="Q119" s="5" t="n">
        <v>-1</v>
      </c>
      <c r="R119" s="5" t="n">
        <v>6</v>
      </c>
      <c r="S119" s="5" t="n">
        <v>8</v>
      </c>
      <c r="T119" s="5" t="s">
        <v>334</v>
      </c>
      <c r="U119" s="6"/>
      <c r="V119" s="6"/>
      <c r="W119" s="6"/>
      <c r="X119" s="6"/>
      <c r="Y119" s="7" t="str">
        <f aca="false">IF(COUNT(U119:X119)=4,(W119-X119)/2,"")</f>
        <v/>
      </c>
      <c r="Z119" s="7" t="str">
        <f aca="false">IF(COUNT(U119:X119)=4,(U119-V119)/2,"")</f>
        <v/>
      </c>
      <c r="AA119" s="7" t="str">
        <f aca="false">IF(COUNT(U119:X119)=4,MAX(1,MIN(10,ROUNDUP(5-Z119,0))),"")</f>
        <v/>
      </c>
      <c r="AB119" s="7" t="str">
        <f aca="false">IF(COUNT(U119:X119)=4,MAX(1,MIN(10,ROUNDUP(Y119+5,0))),"")</f>
        <v/>
      </c>
      <c r="AC119" s="6"/>
      <c r="AD119" s="6"/>
    </row>
    <row r="120" customFormat="false" ht="15" hidden="false" customHeight="true" outlineLevel="0" collapsed="false">
      <c r="A120" s="5" t="n">
        <v>119</v>
      </c>
      <c r="B120" s="5" t="s">
        <v>335</v>
      </c>
      <c r="C120" s="5" t="s">
        <v>108</v>
      </c>
      <c r="D120" s="5" t="s">
        <v>109</v>
      </c>
      <c r="E120" s="5" t="n">
        <v>784</v>
      </c>
      <c r="F120" s="5" t="s">
        <v>336</v>
      </c>
      <c r="G120" s="5" t="n">
        <v>4</v>
      </c>
      <c r="H120" s="5" t="s">
        <v>53</v>
      </c>
      <c r="I120" s="5" t="s">
        <v>64</v>
      </c>
      <c r="J120" s="5"/>
      <c r="K120" s="5"/>
      <c r="L120" s="5" t="n">
        <v>1</v>
      </c>
      <c r="M120" s="5" t="n">
        <v>8</v>
      </c>
      <c r="N120" s="5" t="n">
        <v>3</v>
      </c>
      <c r="O120" s="5" t="n">
        <v>6</v>
      </c>
      <c r="P120" s="5" t="n">
        <v>-1.5</v>
      </c>
      <c r="Q120" s="5" t="n">
        <v>-3.5</v>
      </c>
      <c r="R120" s="5" t="n">
        <v>9</v>
      </c>
      <c r="S120" s="5" t="n">
        <v>4</v>
      </c>
      <c r="T120" s="5" t="s">
        <v>123</v>
      </c>
      <c r="U120" s="6"/>
      <c r="V120" s="6"/>
      <c r="W120" s="6"/>
      <c r="X120" s="6"/>
      <c r="Y120" s="7" t="str">
        <f aca="false">IF(COUNT(U120:X120)=4,(W120-X120)/2,"")</f>
        <v/>
      </c>
      <c r="Z120" s="7" t="str">
        <f aca="false">IF(COUNT(U120:X120)=4,(U120-V120)/2,"")</f>
        <v/>
      </c>
      <c r="AA120" s="7" t="str">
        <f aca="false">IF(COUNT(U120:X120)=4,MAX(1,MIN(10,ROUNDUP(5-Z120,0))),"")</f>
        <v/>
      </c>
      <c r="AB120" s="7" t="str">
        <f aca="false">IF(COUNT(U120:X120)=4,MAX(1,MIN(10,ROUNDUP(Y120+5,0))),"")</f>
        <v/>
      </c>
      <c r="AC120" s="6"/>
      <c r="AD120" s="6"/>
    </row>
    <row r="121" customFormat="false" ht="15" hidden="false" customHeight="true" outlineLevel="0" collapsed="false">
      <c r="A121" s="5" t="n">
        <v>120</v>
      </c>
      <c r="B121" s="5" t="s">
        <v>337</v>
      </c>
      <c r="C121" s="5" t="s">
        <v>203</v>
      </c>
      <c r="D121" s="5" t="s">
        <v>204</v>
      </c>
      <c r="E121" s="5" t="n">
        <v>782</v>
      </c>
      <c r="F121" s="5" t="s">
        <v>338</v>
      </c>
      <c r="G121" s="5" t="n">
        <v>4</v>
      </c>
      <c r="H121" s="5" t="s">
        <v>53</v>
      </c>
      <c r="I121" s="5" t="s">
        <v>54</v>
      </c>
      <c r="J121" s="5" t="s">
        <v>117</v>
      </c>
      <c r="K121" s="5" t="s">
        <v>117</v>
      </c>
      <c r="L121" s="5" t="n">
        <v>5</v>
      </c>
      <c r="M121" s="5" t="n">
        <v>3</v>
      </c>
      <c r="N121" s="5" t="n">
        <v>2</v>
      </c>
      <c r="O121" s="5" t="n">
        <v>7</v>
      </c>
      <c r="P121" s="5" t="n">
        <v>-2.5</v>
      </c>
      <c r="Q121" s="5" t="n">
        <v>1</v>
      </c>
      <c r="R121" s="5" t="n">
        <v>4</v>
      </c>
      <c r="S121" s="5" t="n">
        <v>3</v>
      </c>
      <c r="T121" s="5" t="s">
        <v>176</v>
      </c>
      <c r="U121" s="6"/>
      <c r="V121" s="6"/>
      <c r="W121" s="6"/>
      <c r="X121" s="6"/>
      <c r="Y121" s="7" t="str">
        <f aca="false">IF(COUNT(U121:X121)=4,(W121-X121)/2,"")</f>
        <v/>
      </c>
      <c r="Z121" s="7" t="str">
        <f aca="false">IF(COUNT(U121:X121)=4,(U121-V121)/2,"")</f>
        <v/>
      </c>
      <c r="AA121" s="7" t="str">
        <f aca="false">IF(COUNT(U121:X121)=4,MAX(1,MIN(10,ROUNDUP(5-Z121,0))),"")</f>
        <v/>
      </c>
      <c r="AB121" s="7" t="str">
        <f aca="false">IF(COUNT(U121:X121)=4,MAX(1,MIN(10,ROUNDUP(Y121+5,0))),"")</f>
        <v/>
      </c>
      <c r="AC121" s="6"/>
      <c r="AD121" s="6"/>
    </row>
    <row r="122" customFormat="false" ht="15" hidden="false" customHeight="true" outlineLevel="0" collapsed="false">
      <c r="A122" s="5" t="n">
        <v>121</v>
      </c>
      <c r="B122" s="5" t="s">
        <v>339</v>
      </c>
      <c r="C122" s="5" t="s">
        <v>203</v>
      </c>
      <c r="D122" s="5" t="s">
        <v>204</v>
      </c>
      <c r="E122" s="5" t="n">
        <v>779</v>
      </c>
      <c r="F122" s="5" t="s">
        <v>340</v>
      </c>
      <c r="G122" s="5" t="n">
        <v>4</v>
      </c>
      <c r="H122" s="5" t="s">
        <v>53</v>
      </c>
      <c r="I122" s="5" t="s">
        <v>54</v>
      </c>
      <c r="J122" s="5" t="s">
        <v>117</v>
      </c>
      <c r="K122" s="5" t="s">
        <v>117</v>
      </c>
      <c r="L122" s="5" t="n">
        <v>3</v>
      </c>
      <c r="M122" s="5" t="n">
        <v>3</v>
      </c>
      <c r="N122" s="5" t="n">
        <v>2</v>
      </c>
      <c r="O122" s="5" t="n">
        <v>8</v>
      </c>
      <c r="P122" s="5" t="n">
        <v>-3</v>
      </c>
      <c r="Q122" s="5" t="n">
        <v>0</v>
      </c>
      <c r="R122" s="5" t="n">
        <v>5</v>
      </c>
      <c r="S122" s="5" t="n">
        <v>2</v>
      </c>
      <c r="T122" s="5" t="s">
        <v>341</v>
      </c>
      <c r="U122" s="6"/>
      <c r="V122" s="6"/>
      <c r="W122" s="6"/>
      <c r="X122" s="6"/>
      <c r="Y122" s="7" t="str">
        <f aca="false">IF(COUNT(U122:X122)=4,(W122-X122)/2,"")</f>
        <v/>
      </c>
      <c r="Z122" s="7" t="str">
        <f aca="false">IF(COUNT(U122:X122)=4,(U122-V122)/2,"")</f>
        <v/>
      </c>
      <c r="AA122" s="7" t="str">
        <f aca="false">IF(COUNT(U122:X122)=4,MAX(1,MIN(10,ROUNDUP(5-Z122,0))),"")</f>
        <v/>
      </c>
      <c r="AB122" s="7" t="str">
        <f aca="false">IF(COUNT(U122:X122)=4,MAX(1,MIN(10,ROUNDUP(Y122+5,0))),"")</f>
        <v/>
      </c>
      <c r="AC122" s="6"/>
      <c r="AD122" s="6"/>
    </row>
    <row r="123" customFormat="false" ht="15" hidden="false" customHeight="true" outlineLevel="0" collapsed="false">
      <c r="A123" s="5" t="n">
        <v>122</v>
      </c>
      <c r="B123" s="5" t="s">
        <v>342</v>
      </c>
      <c r="C123" s="5" t="s">
        <v>171</v>
      </c>
      <c r="D123" s="5" t="s">
        <v>172</v>
      </c>
      <c r="E123" s="5" t="n">
        <v>766</v>
      </c>
      <c r="F123" s="5" t="s">
        <v>343</v>
      </c>
      <c r="G123" s="5" t="n">
        <v>4</v>
      </c>
      <c r="H123" s="5" t="s">
        <v>53</v>
      </c>
      <c r="I123" s="5" t="s">
        <v>54</v>
      </c>
      <c r="J123" s="5" t="s">
        <v>181</v>
      </c>
      <c r="K123" s="5" t="s">
        <v>221</v>
      </c>
      <c r="L123" s="5" t="n">
        <v>2</v>
      </c>
      <c r="M123" s="5" t="n">
        <v>5</v>
      </c>
      <c r="N123" s="5" t="n">
        <v>6</v>
      </c>
      <c r="O123" s="5" t="n">
        <v>5</v>
      </c>
      <c r="P123" s="5" t="n">
        <v>0.5</v>
      </c>
      <c r="Q123" s="5" t="n">
        <v>-1.5</v>
      </c>
      <c r="R123" s="5" t="n">
        <v>7</v>
      </c>
      <c r="S123" s="5" t="n">
        <v>6</v>
      </c>
      <c r="T123" s="5" t="s">
        <v>344</v>
      </c>
      <c r="U123" s="6"/>
      <c r="V123" s="6"/>
      <c r="W123" s="6"/>
      <c r="X123" s="6"/>
      <c r="Y123" s="7" t="str">
        <f aca="false">IF(COUNT(U123:X123)=4,(W123-X123)/2,"")</f>
        <v/>
      </c>
      <c r="Z123" s="7" t="str">
        <f aca="false">IF(COUNT(U123:X123)=4,(U123-V123)/2,"")</f>
        <v/>
      </c>
      <c r="AA123" s="7" t="str">
        <f aca="false">IF(COUNT(U123:X123)=4,MAX(1,MIN(10,ROUNDUP(5-Z123,0))),"")</f>
        <v/>
      </c>
      <c r="AB123" s="7" t="str">
        <f aca="false">IF(COUNT(U123:X123)=4,MAX(1,MIN(10,ROUNDUP(Y123+5,0))),"")</f>
        <v/>
      </c>
      <c r="AC123" s="6"/>
      <c r="AD123" s="6"/>
    </row>
    <row r="124" customFormat="false" ht="15" hidden="false" customHeight="true" outlineLevel="0" collapsed="false">
      <c r="A124" s="5" t="n">
        <v>123</v>
      </c>
      <c r="B124" s="5" t="s">
        <v>345</v>
      </c>
      <c r="C124" s="5" t="s">
        <v>171</v>
      </c>
      <c r="D124" s="5" t="s">
        <v>172</v>
      </c>
      <c r="E124" s="5" t="n">
        <v>764</v>
      </c>
      <c r="F124" s="5" t="s">
        <v>346</v>
      </c>
      <c r="G124" s="5" t="n">
        <v>4</v>
      </c>
      <c r="H124" s="5" t="s">
        <v>53</v>
      </c>
      <c r="I124" s="5" t="s">
        <v>81</v>
      </c>
      <c r="J124" s="5" t="s">
        <v>174</v>
      </c>
      <c r="K124" s="5" t="s">
        <v>347</v>
      </c>
      <c r="L124" s="5" t="n">
        <v>6</v>
      </c>
      <c r="M124" s="5" t="n">
        <v>2</v>
      </c>
      <c r="N124" s="5" t="n">
        <v>9</v>
      </c>
      <c r="O124" s="5" t="n">
        <v>2</v>
      </c>
      <c r="P124" s="5" t="n">
        <v>3.5</v>
      </c>
      <c r="Q124" s="5" t="n">
        <v>2</v>
      </c>
      <c r="R124" s="5" t="n">
        <v>3</v>
      </c>
      <c r="S124" s="5" t="n">
        <v>9</v>
      </c>
      <c r="T124" s="5" t="s">
        <v>348</v>
      </c>
      <c r="U124" s="6"/>
      <c r="V124" s="6"/>
      <c r="W124" s="6"/>
      <c r="X124" s="6"/>
      <c r="Y124" s="7" t="str">
        <f aca="false">IF(COUNT(U124:X124)=4,(W124-X124)/2,"")</f>
        <v/>
      </c>
      <c r="Z124" s="7" t="str">
        <f aca="false">IF(COUNT(U124:X124)=4,(U124-V124)/2,"")</f>
        <v/>
      </c>
      <c r="AA124" s="7" t="str">
        <f aca="false">IF(COUNT(U124:X124)=4,MAX(1,MIN(10,ROUNDUP(5-Z124,0))),"")</f>
        <v/>
      </c>
      <c r="AB124" s="7" t="str">
        <f aca="false">IF(COUNT(U124:X124)=4,MAX(1,MIN(10,ROUNDUP(Y124+5,0))),"")</f>
        <v/>
      </c>
      <c r="AC124" s="6"/>
      <c r="AD124" s="6"/>
    </row>
    <row r="125" customFormat="false" ht="15" hidden="false" customHeight="true" outlineLevel="0" collapsed="false">
      <c r="A125" s="5" t="n">
        <v>124</v>
      </c>
      <c r="B125" s="5" t="s">
        <v>349</v>
      </c>
      <c r="C125" s="5" t="s">
        <v>145</v>
      </c>
      <c r="D125" s="5" t="s">
        <v>51</v>
      </c>
      <c r="E125" s="5" t="n">
        <v>763</v>
      </c>
      <c r="F125" s="5" t="s">
        <v>350</v>
      </c>
      <c r="G125" s="5" t="n">
        <v>4</v>
      </c>
      <c r="H125" s="5" t="s">
        <v>53</v>
      </c>
      <c r="I125" s="5" t="s">
        <v>54</v>
      </c>
      <c r="J125" s="5" t="s">
        <v>55</v>
      </c>
      <c r="K125" s="5" t="s">
        <v>55</v>
      </c>
      <c r="L125" s="5" t="n">
        <v>4</v>
      </c>
      <c r="M125" s="5" t="n">
        <v>3</v>
      </c>
      <c r="N125" s="5" t="n">
        <v>6</v>
      </c>
      <c r="O125" s="5" t="n">
        <v>4</v>
      </c>
      <c r="P125" s="5" t="n">
        <v>1</v>
      </c>
      <c r="Q125" s="5" t="n">
        <v>0.5</v>
      </c>
      <c r="R125" s="5" t="n">
        <v>5</v>
      </c>
      <c r="S125" s="5" t="n">
        <v>6</v>
      </c>
      <c r="T125" s="5" t="s">
        <v>217</v>
      </c>
      <c r="U125" s="6"/>
      <c r="V125" s="6"/>
      <c r="W125" s="6"/>
      <c r="X125" s="6"/>
      <c r="Y125" s="7" t="str">
        <f aca="false">IF(COUNT(U125:X125)=4,(W125-X125)/2,"")</f>
        <v/>
      </c>
      <c r="Z125" s="7" t="str">
        <f aca="false">IF(COUNT(U125:X125)=4,(U125-V125)/2,"")</f>
        <v/>
      </c>
      <c r="AA125" s="7" t="str">
        <f aca="false">IF(COUNT(U125:X125)=4,MAX(1,MIN(10,ROUNDUP(5-Z125,0))),"")</f>
        <v/>
      </c>
      <c r="AB125" s="7" t="str">
        <f aca="false">IF(COUNT(U125:X125)=4,MAX(1,MIN(10,ROUNDUP(Y125+5,0))),"")</f>
        <v/>
      </c>
      <c r="AC125" s="6"/>
      <c r="AD125" s="6"/>
    </row>
    <row r="126" customFormat="false" ht="15" hidden="false" customHeight="true" outlineLevel="0" collapsed="false">
      <c r="A126" s="5" t="n">
        <v>125</v>
      </c>
      <c r="B126" s="5" t="s">
        <v>351</v>
      </c>
      <c r="C126" s="5" t="s">
        <v>145</v>
      </c>
      <c r="D126" s="5" t="s">
        <v>51</v>
      </c>
      <c r="E126" s="5" t="n">
        <v>758</v>
      </c>
      <c r="F126" s="5" t="s">
        <v>352</v>
      </c>
      <c r="G126" s="5" t="n">
        <v>4</v>
      </c>
      <c r="H126" s="5" t="s">
        <v>53</v>
      </c>
      <c r="I126" s="5" t="s">
        <v>54</v>
      </c>
      <c r="J126" s="5" t="s">
        <v>55</v>
      </c>
      <c r="K126" s="5" t="s">
        <v>55</v>
      </c>
      <c r="L126" s="5" t="n">
        <v>5</v>
      </c>
      <c r="M126" s="5" t="n">
        <v>2</v>
      </c>
      <c r="N126" s="5" t="n">
        <v>4</v>
      </c>
      <c r="O126" s="5" t="n">
        <v>8</v>
      </c>
      <c r="P126" s="5" t="n">
        <v>-2</v>
      </c>
      <c r="Q126" s="5" t="n">
        <v>1.5</v>
      </c>
      <c r="R126" s="5" t="n">
        <v>4</v>
      </c>
      <c r="S126" s="5" t="n">
        <v>3</v>
      </c>
      <c r="T126" s="5" t="s">
        <v>353</v>
      </c>
      <c r="U126" s="6"/>
      <c r="V126" s="6"/>
      <c r="W126" s="6"/>
      <c r="X126" s="6"/>
      <c r="Y126" s="7" t="str">
        <f aca="false">IF(COUNT(U126:X126)=4,(W126-X126)/2,"")</f>
        <v/>
      </c>
      <c r="Z126" s="7" t="str">
        <f aca="false">IF(COUNT(U126:X126)=4,(U126-V126)/2,"")</f>
        <v/>
      </c>
      <c r="AA126" s="7" t="str">
        <f aca="false">IF(COUNT(U126:X126)=4,MAX(1,MIN(10,ROUNDUP(5-Z126,0))),"")</f>
        <v/>
      </c>
      <c r="AB126" s="7" t="str">
        <f aca="false">IF(COUNT(U126:X126)=4,MAX(1,MIN(10,ROUNDUP(Y126+5,0))),"")</f>
        <v/>
      </c>
      <c r="AC126" s="6"/>
      <c r="AD126" s="6"/>
    </row>
    <row r="127" customFormat="false" ht="15" hidden="false" customHeight="true" outlineLevel="0" collapsed="false">
      <c r="A127" s="5" t="n">
        <v>126</v>
      </c>
      <c r="B127" s="5" t="s">
        <v>354</v>
      </c>
      <c r="C127" s="5" t="s">
        <v>108</v>
      </c>
      <c r="D127" s="5" t="s">
        <v>109</v>
      </c>
      <c r="E127" s="5" t="n">
        <v>750</v>
      </c>
      <c r="F127" s="5" t="s">
        <v>354</v>
      </c>
      <c r="G127" s="5" t="n">
        <v>2</v>
      </c>
      <c r="H127" s="5" t="s">
        <v>47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 t="s">
        <v>355</v>
      </c>
      <c r="U127" s="6"/>
      <c r="V127" s="6"/>
      <c r="W127" s="6"/>
      <c r="X127" s="6"/>
      <c r="Y127" s="7" t="str">
        <f aca="false">IF(COUNT(U127:X127)=4,(W127-X127)/2,"")</f>
        <v/>
      </c>
      <c r="Z127" s="7" t="str">
        <f aca="false">IF(COUNT(U127:X127)=4,(U127-V127)/2,"")</f>
        <v/>
      </c>
      <c r="AA127" s="7" t="str">
        <f aca="false">IF(COUNT(U127:X127)=4,MAX(1,MIN(10,ROUNDUP(5-Z127,0))),"")</f>
        <v/>
      </c>
      <c r="AB127" s="7" t="str">
        <f aca="false">IF(COUNT(U127:X127)=4,MAX(1,MIN(10,ROUNDUP(Y127+5,0))),"")</f>
        <v/>
      </c>
      <c r="AC127" s="6"/>
      <c r="AD127" s="6"/>
    </row>
    <row r="128" customFormat="false" ht="15" hidden="false" customHeight="true" outlineLevel="0" collapsed="false">
      <c r="A128" s="5" t="n">
        <v>127</v>
      </c>
      <c r="B128" s="5" t="s">
        <v>356</v>
      </c>
      <c r="C128" s="5" t="s">
        <v>145</v>
      </c>
      <c r="D128" s="5" t="s">
        <v>51</v>
      </c>
      <c r="E128" s="5" t="n">
        <v>746</v>
      </c>
      <c r="F128" s="5" t="s">
        <v>357</v>
      </c>
      <c r="G128" s="5" t="n">
        <v>4</v>
      </c>
      <c r="H128" s="5" t="s">
        <v>53</v>
      </c>
      <c r="I128" s="5" t="s">
        <v>54</v>
      </c>
      <c r="J128" s="5" t="s">
        <v>55</v>
      </c>
      <c r="K128" s="5" t="s">
        <v>55</v>
      </c>
      <c r="L128" s="5" t="n">
        <v>5</v>
      </c>
      <c r="M128" s="5" t="n">
        <v>2</v>
      </c>
      <c r="N128" s="5" t="n">
        <v>10</v>
      </c>
      <c r="O128" s="5" t="n">
        <v>1</v>
      </c>
      <c r="P128" s="5" t="n">
        <v>4.5</v>
      </c>
      <c r="Q128" s="5" t="n">
        <v>1.5</v>
      </c>
      <c r="R128" s="5" t="n">
        <v>4</v>
      </c>
      <c r="S128" s="5" t="n">
        <v>10</v>
      </c>
      <c r="T128" s="5" t="s">
        <v>358</v>
      </c>
      <c r="U128" s="6"/>
      <c r="V128" s="6"/>
      <c r="W128" s="6"/>
      <c r="X128" s="6"/>
      <c r="Y128" s="7" t="str">
        <f aca="false">IF(COUNT(U128:X128)=4,(W128-X128)/2,"")</f>
        <v/>
      </c>
      <c r="Z128" s="7" t="str">
        <f aca="false">IF(COUNT(U128:X128)=4,(U128-V128)/2,"")</f>
        <v/>
      </c>
      <c r="AA128" s="7" t="str">
        <f aca="false">IF(COUNT(U128:X128)=4,MAX(1,MIN(10,ROUNDUP(5-Z128,0))),"")</f>
        <v/>
      </c>
      <c r="AB128" s="7" t="str">
        <f aca="false">IF(COUNT(U128:X128)=4,MAX(1,MIN(10,ROUNDUP(Y128+5,0))),"")</f>
        <v/>
      </c>
      <c r="AC128" s="6"/>
      <c r="AD128" s="6"/>
    </row>
    <row r="129" customFormat="false" ht="15" hidden="false" customHeight="true" outlineLevel="0" collapsed="false">
      <c r="A129" s="5" t="n">
        <v>128</v>
      </c>
      <c r="B129" s="5" t="s">
        <v>359</v>
      </c>
      <c r="C129" s="5" t="s">
        <v>58</v>
      </c>
      <c r="D129" s="5" t="s">
        <v>59</v>
      </c>
      <c r="E129" s="5" t="n">
        <v>730</v>
      </c>
      <c r="F129" s="5" t="s">
        <v>359</v>
      </c>
      <c r="G129" s="5" t="n">
        <v>1</v>
      </c>
      <c r="H129" s="5" t="s">
        <v>47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 t="s">
        <v>360</v>
      </c>
      <c r="U129" s="6"/>
      <c r="V129" s="6"/>
      <c r="W129" s="6"/>
      <c r="X129" s="6"/>
      <c r="Y129" s="7" t="str">
        <f aca="false">IF(COUNT(U129:X129)=4,(W129-X129)/2,"")</f>
        <v/>
      </c>
      <c r="Z129" s="7" t="str">
        <f aca="false">IF(COUNT(U129:X129)=4,(U129-V129)/2,"")</f>
        <v/>
      </c>
      <c r="AA129" s="7" t="str">
        <f aca="false">IF(COUNT(U129:X129)=4,MAX(1,MIN(10,ROUNDUP(5-Z129,0))),"")</f>
        <v/>
      </c>
      <c r="AB129" s="7" t="str">
        <f aca="false">IF(COUNT(U129:X129)=4,MAX(1,MIN(10,ROUNDUP(Y129+5,0))),"")</f>
        <v/>
      </c>
      <c r="AC129" s="6"/>
      <c r="AD129" s="6"/>
    </row>
    <row r="130" customFormat="false" ht="15" hidden="false" customHeight="true" outlineLevel="0" collapsed="false">
      <c r="A130" s="5" t="n">
        <v>129</v>
      </c>
      <c r="B130" s="5" t="s">
        <v>361</v>
      </c>
      <c r="C130" s="5" t="s">
        <v>45</v>
      </c>
      <c r="D130" s="5" t="s">
        <v>46</v>
      </c>
      <c r="E130" s="5" t="n">
        <v>730</v>
      </c>
      <c r="F130" s="5" t="s">
        <v>361</v>
      </c>
      <c r="G130" s="5" t="n">
        <v>1</v>
      </c>
      <c r="H130" s="5" t="s">
        <v>47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 t="s">
        <v>362</v>
      </c>
      <c r="U130" s="6"/>
      <c r="V130" s="6"/>
      <c r="W130" s="6"/>
      <c r="X130" s="6"/>
      <c r="Y130" s="7" t="str">
        <f aca="false">IF(COUNT(U130:X130)=4,(W130-X130)/2,"")</f>
        <v/>
      </c>
      <c r="Z130" s="7" t="str">
        <f aca="false">IF(COUNT(U130:X130)=4,(U130-V130)/2,"")</f>
        <v/>
      </c>
      <c r="AA130" s="7" t="str">
        <f aca="false">IF(COUNT(U130:X130)=4,MAX(1,MIN(10,ROUNDUP(5-Z130,0))),"")</f>
        <v/>
      </c>
      <c r="AB130" s="7" t="str">
        <f aca="false">IF(COUNT(U130:X130)=4,MAX(1,MIN(10,ROUNDUP(Y130+5,0))),"")</f>
        <v/>
      </c>
      <c r="AC130" s="6"/>
      <c r="AD130" s="6"/>
    </row>
    <row r="131" customFormat="false" ht="15" hidden="false" customHeight="true" outlineLevel="0" collapsed="false">
      <c r="A131" s="5" t="n">
        <v>130</v>
      </c>
      <c r="B131" s="5" t="s">
        <v>363</v>
      </c>
      <c r="C131" s="5" t="s">
        <v>203</v>
      </c>
      <c r="D131" s="5" t="s">
        <v>204</v>
      </c>
      <c r="E131" s="5" t="n">
        <v>722</v>
      </c>
      <c r="F131" s="5" t="s">
        <v>364</v>
      </c>
      <c r="G131" s="5" t="n">
        <v>4</v>
      </c>
      <c r="H131" s="5" t="s">
        <v>53</v>
      </c>
      <c r="I131" s="5" t="s">
        <v>54</v>
      </c>
      <c r="J131" s="5" t="s">
        <v>117</v>
      </c>
      <c r="K131" s="5" t="s">
        <v>117</v>
      </c>
      <c r="L131" s="5" t="n">
        <v>4</v>
      </c>
      <c r="M131" s="5" t="n">
        <v>2</v>
      </c>
      <c r="N131" s="5" t="n">
        <v>2</v>
      </c>
      <c r="O131" s="5" t="n">
        <v>8</v>
      </c>
      <c r="P131" s="5" t="n">
        <v>-3</v>
      </c>
      <c r="Q131" s="5" t="n">
        <v>1</v>
      </c>
      <c r="R131" s="5" t="n">
        <v>4</v>
      </c>
      <c r="S131" s="5" t="n">
        <v>2</v>
      </c>
      <c r="T131" s="5" t="s">
        <v>362</v>
      </c>
      <c r="U131" s="6"/>
      <c r="V131" s="6"/>
      <c r="W131" s="6"/>
      <c r="X131" s="6"/>
      <c r="Y131" s="7" t="str">
        <f aca="false">IF(COUNT(U131:X131)=4,(W131-X131)/2,"")</f>
        <v/>
      </c>
      <c r="Z131" s="7" t="str">
        <f aca="false">IF(COUNT(U131:X131)=4,(U131-V131)/2,"")</f>
        <v/>
      </c>
      <c r="AA131" s="7" t="str">
        <f aca="false">IF(COUNT(U131:X131)=4,MAX(1,MIN(10,ROUNDUP(5-Z131,0))),"")</f>
        <v/>
      </c>
      <c r="AB131" s="7" t="str">
        <f aca="false">IF(COUNT(U131:X131)=4,MAX(1,MIN(10,ROUNDUP(Y131+5,0))),"")</f>
        <v/>
      </c>
      <c r="AC131" s="6"/>
      <c r="AD131" s="6"/>
    </row>
    <row r="132" customFormat="false" ht="15" hidden="false" customHeight="true" outlineLevel="0" collapsed="false">
      <c r="A132" s="5" t="n">
        <v>131</v>
      </c>
      <c r="B132" s="5" t="s">
        <v>365</v>
      </c>
      <c r="C132" s="5" t="s">
        <v>171</v>
      </c>
      <c r="D132" s="5" t="s">
        <v>172</v>
      </c>
      <c r="E132" s="5" t="n">
        <v>715</v>
      </c>
      <c r="F132" s="5" t="s">
        <v>366</v>
      </c>
      <c r="G132" s="5" t="n">
        <v>4</v>
      </c>
      <c r="H132" s="5" t="s">
        <v>53</v>
      </c>
      <c r="I132" s="5" t="s">
        <v>54</v>
      </c>
      <c r="J132" s="5" t="s">
        <v>181</v>
      </c>
      <c r="K132" s="5" t="s">
        <v>223</v>
      </c>
      <c r="L132" s="5" t="n">
        <v>4</v>
      </c>
      <c r="M132" s="5" t="n">
        <v>4</v>
      </c>
      <c r="N132" s="5" t="n">
        <v>8</v>
      </c>
      <c r="O132" s="5" t="n">
        <v>4</v>
      </c>
      <c r="P132" s="5" t="n">
        <v>2</v>
      </c>
      <c r="Q132" s="5" t="n">
        <v>0</v>
      </c>
      <c r="R132" s="5" t="n">
        <v>5</v>
      </c>
      <c r="S132" s="5" t="n">
        <v>7</v>
      </c>
      <c r="T132" s="5" t="s">
        <v>367</v>
      </c>
      <c r="U132" s="6"/>
      <c r="V132" s="6"/>
      <c r="W132" s="6"/>
      <c r="X132" s="6"/>
      <c r="Y132" s="7" t="str">
        <f aca="false">IF(COUNT(U132:X132)=4,(W132-X132)/2,"")</f>
        <v/>
      </c>
      <c r="Z132" s="7" t="str">
        <f aca="false">IF(COUNT(U132:X132)=4,(U132-V132)/2,"")</f>
        <v/>
      </c>
      <c r="AA132" s="7" t="str">
        <f aca="false">IF(COUNT(U132:X132)=4,MAX(1,MIN(10,ROUNDUP(5-Z132,0))),"")</f>
        <v/>
      </c>
      <c r="AB132" s="7" t="str">
        <f aca="false">IF(COUNT(U132:X132)=4,MAX(1,MIN(10,ROUNDUP(Y132+5,0))),"")</f>
        <v/>
      </c>
      <c r="AC132" s="6"/>
      <c r="AD132" s="6"/>
    </row>
    <row r="133" customFormat="false" ht="15" hidden="false" customHeight="true" outlineLevel="0" collapsed="false">
      <c r="A133" s="5" t="n">
        <v>132</v>
      </c>
      <c r="B133" s="5" t="s">
        <v>368</v>
      </c>
      <c r="C133" s="5" t="s">
        <v>58</v>
      </c>
      <c r="D133" s="5" t="s">
        <v>59</v>
      </c>
      <c r="E133" s="5" t="n">
        <v>707</v>
      </c>
      <c r="F133" s="5" t="s">
        <v>368</v>
      </c>
      <c r="G133" s="5" t="n">
        <v>1</v>
      </c>
      <c r="H133" s="5" t="s">
        <v>47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 t="s">
        <v>232</v>
      </c>
      <c r="U133" s="6"/>
      <c r="V133" s="6"/>
      <c r="W133" s="6"/>
      <c r="X133" s="6"/>
      <c r="Y133" s="7" t="str">
        <f aca="false">IF(COUNT(U133:X133)=4,(W133-X133)/2,"")</f>
        <v/>
      </c>
      <c r="Z133" s="7" t="str">
        <f aca="false">IF(COUNT(U133:X133)=4,(U133-V133)/2,"")</f>
        <v/>
      </c>
      <c r="AA133" s="7" t="str">
        <f aca="false">IF(COUNT(U133:X133)=4,MAX(1,MIN(10,ROUNDUP(5-Z133,0))),"")</f>
        <v/>
      </c>
      <c r="AB133" s="7" t="str">
        <f aca="false">IF(COUNT(U133:X133)=4,MAX(1,MIN(10,ROUNDUP(Y133+5,0))),"")</f>
        <v/>
      </c>
      <c r="AC133" s="6"/>
      <c r="AD133" s="6"/>
    </row>
    <row r="134" customFormat="false" ht="15" hidden="false" customHeight="true" outlineLevel="0" collapsed="false">
      <c r="A134" s="5" t="n">
        <v>133</v>
      </c>
      <c r="B134" s="5" t="s">
        <v>369</v>
      </c>
      <c r="C134" s="5" t="s">
        <v>145</v>
      </c>
      <c r="D134" s="5" t="s">
        <v>51</v>
      </c>
      <c r="E134" s="5" t="n">
        <v>704</v>
      </c>
      <c r="F134" s="5" t="s">
        <v>370</v>
      </c>
      <c r="G134" s="5" t="n">
        <v>4</v>
      </c>
      <c r="H134" s="5" t="s">
        <v>53</v>
      </c>
      <c r="I134" s="5" t="s">
        <v>54</v>
      </c>
      <c r="J134" s="5" t="s">
        <v>55</v>
      </c>
      <c r="K134" s="5" t="s">
        <v>55</v>
      </c>
      <c r="L134" s="5" t="n">
        <v>5</v>
      </c>
      <c r="M134" s="5" t="n">
        <v>4</v>
      </c>
      <c r="N134" s="5" t="n">
        <v>3</v>
      </c>
      <c r="O134" s="5" t="n">
        <v>6</v>
      </c>
      <c r="P134" s="5" t="n">
        <v>-1.5</v>
      </c>
      <c r="Q134" s="5" t="n">
        <v>0.5</v>
      </c>
      <c r="R134" s="5" t="n">
        <v>5</v>
      </c>
      <c r="S134" s="5" t="n">
        <v>4</v>
      </c>
      <c r="T134" s="5" t="s">
        <v>371</v>
      </c>
      <c r="U134" s="6"/>
      <c r="V134" s="6"/>
      <c r="W134" s="6"/>
      <c r="X134" s="6"/>
      <c r="Y134" s="7" t="str">
        <f aca="false">IF(COUNT(U134:X134)=4,(W134-X134)/2,"")</f>
        <v/>
      </c>
      <c r="Z134" s="7" t="str">
        <f aca="false">IF(COUNT(U134:X134)=4,(U134-V134)/2,"")</f>
        <v/>
      </c>
      <c r="AA134" s="7" t="str">
        <f aca="false">IF(COUNT(U134:X134)=4,MAX(1,MIN(10,ROUNDUP(5-Z134,0))),"")</f>
        <v/>
      </c>
      <c r="AB134" s="7" t="str">
        <f aca="false">IF(COUNT(U134:X134)=4,MAX(1,MIN(10,ROUNDUP(Y134+5,0))),"")</f>
        <v/>
      </c>
      <c r="AC134" s="6"/>
      <c r="AD134" s="6"/>
    </row>
    <row r="135" customFormat="false" ht="15" hidden="false" customHeight="true" outlineLevel="0" collapsed="false">
      <c r="A135" s="5" t="n">
        <v>134</v>
      </c>
      <c r="B135" s="5" t="s">
        <v>372</v>
      </c>
      <c r="C135" s="5" t="s">
        <v>145</v>
      </c>
      <c r="D135" s="5" t="s">
        <v>51</v>
      </c>
      <c r="E135" s="5" t="n">
        <v>702</v>
      </c>
      <c r="F135" s="5" t="s">
        <v>373</v>
      </c>
      <c r="G135" s="5" t="n">
        <v>4</v>
      </c>
      <c r="H135" s="5" t="s">
        <v>53</v>
      </c>
      <c r="I135" s="5" t="s">
        <v>54</v>
      </c>
      <c r="J135" s="5" t="s">
        <v>55</v>
      </c>
      <c r="K135" s="5" t="s">
        <v>55</v>
      </c>
      <c r="L135" s="5" t="n">
        <v>6</v>
      </c>
      <c r="M135" s="5" t="n">
        <v>2</v>
      </c>
      <c r="N135" s="5" t="n">
        <v>4</v>
      </c>
      <c r="O135" s="5" t="n">
        <v>8</v>
      </c>
      <c r="P135" s="5" t="n">
        <v>-2</v>
      </c>
      <c r="Q135" s="5" t="n">
        <v>2</v>
      </c>
      <c r="R135" s="5" t="n">
        <v>3</v>
      </c>
      <c r="S135" s="5" t="n">
        <v>3</v>
      </c>
      <c r="T135" s="5" t="s">
        <v>374</v>
      </c>
      <c r="U135" s="6"/>
      <c r="V135" s="6"/>
      <c r="W135" s="6"/>
      <c r="X135" s="6"/>
      <c r="Y135" s="7" t="str">
        <f aca="false">IF(COUNT(U135:X135)=4,(W135-X135)/2,"")</f>
        <v/>
      </c>
      <c r="Z135" s="7" t="str">
        <f aca="false">IF(COUNT(U135:X135)=4,(U135-V135)/2,"")</f>
        <v/>
      </c>
      <c r="AA135" s="7" t="str">
        <f aca="false">IF(COUNT(U135:X135)=4,MAX(1,MIN(10,ROUNDUP(5-Z135,0))),"")</f>
        <v/>
      </c>
      <c r="AB135" s="7" t="str">
        <f aca="false">IF(COUNT(U135:X135)=4,MAX(1,MIN(10,ROUNDUP(Y135+5,0))),"")</f>
        <v/>
      </c>
      <c r="AC135" s="6"/>
      <c r="AD135" s="6"/>
    </row>
    <row r="136" customFormat="false" ht="15" hidden="false" customHeight="true" outlineLevel="0" collapsed="false">
      <c r="A136" s="5" t="n">
        <v>135</v>
      </c>
      <c r="B136" s="5" t="s">
        <v>375</v>
      </c>
      <c r="C136" s="5" t="s">
        <v>203</v>
      </c>
      <c r="D136" s="5" t="s">
        <v>204</v>
      </c>
      <c r="E136" s="5" t="n">
        <v>701</v>
      </c>
      <c r="F136" s="5" t="s">
        <v>376</v>
      </c>
      <c r="G136" s="5" t="n">
        <v>4</v>
      </c>
      <c r="H136" s="5" t="s">
        <v>53</v>
      </c>
      <c r="I136" s="5" t="s">
        <v>54</v>
      </c>
      <c r="J136" s="5" t="s">
        <v>117</v>
      </c>
      <c r="K136" s="5" t="s">
        <v>117</v>
      </c>
      <c r="L136" s="5" t="n">
        <v>3</v>
      </c>
      <c r="M136" s="5" t="n">
        <v>2</v>
      </c>
      <c r="N136" s="5" t="n">
        <v>2</v>
      </c>
      <c r="O136" s="5" t="n">
        <v>7</v>
      </c>
      <c r="P136" s="5" t="n">
        <v>-2.5</v>
      </c>
      <c r="Q136" s="5" t="n">
        <v>0.5</v>
      </c>
      <c r="R136" s="5" t="n">
        <v>5</v>
      </c>
      <c r="S136" s="5" t="n">
        <v>3</v>
      </c>
      <c r="T136" s="5" t="s">
        <v>210</v>
      </c>
      <c r="U136" s="6"/>
      <c r="V136" s="6"/>
      <c r="W136" s="6"/>
      <c r="X136" s="6"/>
      <c r="Y136" s="7" t="str">
        <f aca="false">IF(COUNT(U136:X136)=4,(W136-X136)/2,"")</f>
        <v/>
      </c>
      <c r="Z136" s="7" t="str">
        <f aca="false">IF(COUNT(U136:X136)=4,(U136-V136)/2,"")</f>
        <v/>
      </c>
      <c r="AA136" s="7" t="str">
        <f aca="false">IF(COUNT(U136:X136)=4,MAX(1,MIN(10,ROUNDUP(5-Z136,0))),"")</f>
        <v/>
      </c>
      <c r="AB136" s="7" t="str">
        <f aca="false">IF(COUNT(U136:X136)=4,MAX(1,MIN(10,ROUNDUP(Y136+5,0))),"")</f>
        <v/>
      </c>
      <c r="AC136" s="6"/>
      <c r="AD136" s="6"/>
    </row>
    <row r="137" customFormat="false" ht="15" hidden="false" customHeight="true" outlineLevel="0" collapsed="false">
      <c r="A137" s="5" t="n">
        <v>136</v>
      </c>
      <c r="B137" s="5" t="s">
        <v>377</v>
      </c>
      <c r="C137" s="5" t="s">
        <v>171</v>
      </c>
      <c r="D137" s="5" t="s">
        <v>172</v>
      </c>
      <c r="E137" s="5" t="n">
        <v>701</v>
      </c>
      <c r="F137" s="5" t="s">
        <v>378</v>
      </c>
      <c r="G137" s="5" t="n">
        <v>4</v>
      </c>
      <c r="H137" s="5" t="s">
        <v>53</v>
      </c>
      <c r="I137" s="5" t="s">
        <v>54</v>
      </c>
      <c r="J137" s="5" t="s">
        <v>181</v>
      </c>
      <c r="K137" s="5" t="s">
        <v>221</v>
      </c>
      <c r="L137" s="5" t="n">
        <v>2</v>
      </c>
      <c r="M137" s="5" t="n">
        <v>5</v>
      </c>
      <c r="N137" s="5" t="n">
        <v>6</v>
      </c>
      <c r="O137" s="5" t="n">
        <v>5</v>
      </c>
      <c r="P137" s="5" t="n">
        <v>0.5</v>
      </c>
      <c r="Q137" s="5" t="n">
        <v>-1.5</v>
      </c>
      <c r="R137" s="5" t="n">
        <v>7</v>
      </c>
      <c r="S137" s="5" t="n">
        <v>6</v>
      </c>
      <c r="T137" s="5" t="s">
        <v>379</v>
      </c>
      <c r="U137" s="6"/>
      <c r="V137" s="6"/>
      <c r="W137" s="6"/>
      <c r="X137" s="6"/>
      <c r="Y137" s="7" t="str">
        <f aca="false">IF(COUNT(U137:X137)=4,(W137-X137)/2,"")</f>
        <v/>
      </c>
      <c r="Z137" s="7" t="str">
        <f aca="false">IF(COUNT(U137:X137)=4,(U137-V137)/2,"")</f>
        <v/>
      </c>
      <c r="AA137" s="7" t="str">
        <f aca="false">IF(COUNT(U137:X137)=4,MAX(1,MIN(10,ROUNDUP(5-Z137,0))),"")</f>
        <v/>
      </c>
      <c r="AB137" s="7" t="str">
        <f aca="false">IF(COUNT(U137:X137)=4,MAX(1,MIN(10,ROUNDUP(Y137+5,0))),"")</f>
        <v/>
      </c>
      <c r="AC137" s="6"/>
      <c r="AD137" s="6"/>
    </row>
    <row r="138" customFormat="false" ht="15" hidden="false" customHeight="true" outlineLevel="0" collapsed="false">
      <c r="A138" s="5" t="n">
        <v>137</v>
      </c>
      <c r="B138" s="5" t="s">
        <v>380</v>
      </c>
      <c r="C138" s="5" t="s">
        <v>108</v>
      </c>
      <c r="D138" s="5" t="s">
        <v>109</v>
      </c>
      <c r="E138" s="5" t="n">
        <v>697</v>
      </c>
      <c r="F138" s="5" t="s">
        <v>380</v>
      </c>
      <c r="G138" s="5" t="n">
        <v>2</v>
      </c>
      <c r="H138" s="5" t="s">
        <v>47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 t="s">
        <v>381</v>
      </c>
      <c r="U138" s="6"/>
      <c r="V138" s="6"/>
      <c r="W138" s="6"/>
      <c r="X138" s="6"/>
      <c r="Y138" s="7" t="str">
        <f aca="false">IF(COUNT(U138:X138)=4,(W138-X138)/2,"")</f>
        <v/>
      </c>
      <c r="Z138" s="7" t="str">
        <f aca="false">IF(COUNT(U138:X138)=4,(U138-V138)/2,"")</f>
        <v/>
      </c>
      <c r="AA138" s="7" t="str">
        <f aca="false">IF(COUNT(U138:X138)=4,MAX(1,MIN(10,ROUNDUP(5-Z138,0))),"")</f>
        <v/>
      </c>
      <c r="AB138" s="7" t="str">
        <f aca="false">IF(COUNT(U138:X138)=4,MAX(1,MIN(10,ROUNDUP(Y138+5,0))),"")</f>
        <v/>
      </c>
      <c r="AC138" s="6"/>
      <c r="AD138" s="6"/>
    </row>
    <row r="139" customFormat="false" ht="15" hidden="false" customHeight="true" outlineLevel="0" collapsed="false">
      <c r="A139" s="5" t="n">
        <v>138</v>
      </c>
      <c r="B139" s="5" t="s">
        <v>382</v>
      </c>
      <c r="C139" s="5" t="s">
        <v>171</v>
      </c>
      <c r="D139" s="5" t="s">
        <v>172</v>
      </c>
      <c r="E139" s="5" t="n">
        <v>691</v>
      </c>
      <c r="F139" s="5" t="s">
        <v>383</v>
      </c>
      <c r="G139" s="5" t="n">
        <v>4</v>
      </c>
      <c r="H139" s="5" t="s">
        <v>53</v>
      </c>
      <c r="I139" s="5" t="s">
        <v>54</v>
      </c>
      <c r="J139" s="5" t="s">
        <v>181</v>
      </c>
      <c r="K139" s="5" t="s">
        <v>309</v>
      </c>
      <c r="L139" s="5" t="n">
        <v>2</v>
      </c>
      <c r="M139" s="5" t="n">
        <v>5</v>
      </c>
      <c r="N139" s="5" t="n">
        <v>5</v>
      </c>
      <c r="O139" s="5" t="n">
        <v>4</v>
      </c>
      <c r="P139" s="5" t="n">
        <v>0.5</v>
      </c>
      <c r="Q139" s="5" t="n">
        <v>-1.5</v>
      </c>
      <c r="R139" s="5" t="n">
        <v>7</v>
      </c>
      <c r="S139" s="5" t="n">
        <v>6</v>
      </c>
      <c r="T139" s="5" t="s">
        <v>384</v>
      </c>
      <c r="U139" s="6"/>
      <c r="V139" s="6"/>
      <c r="W139" s="6"/>
      <c r="X139" s="6"/>
      <c r="Y139" s="7" t="str">
        <f aca="false">IF(COUNT(U139:X139)=4,(W139-X139)/2,"")</f>
        <v/>
      </c>
      <c r="Z139" s="7" t="str">
        <f aca="false">IF(COUNT(U139:X139)=4,(U139-V139)/2,"")</f>
        <v/>
      </c>
      <c r="AA139" s="7" t="str">
        <f aca="false">IF(COUNT(U139:X139)=4,MAX(1,MIN(10,ROUNDUP(5-Z139,0))),"")</f>
        <v/>
      </c>
      <c r="AB139" s="7" t="str">
        <f aca="false">IF(COUNT(U139:X139)=4,MAX(1,MIN(10,ROUNDUP(Y139+5,0))),"")</f>
        <v/>
      </c>
      <c r="AC139" s="6"/>
      <c r="AD139" s="6"/>
    </row>
    <row r="140" customFormat="false" ht="15" hidden="false" customHeight="true" outlineLevel="0" collapsed="false">
      <c r="A140" s="5" t="n">
        <v>139</v>
      </c>
      <c r="B140" s="5" t="s">
        <v>385</v>
      </c>
      <c r="C140" s="5" t="s">
        <v>171</v>
      </c>
      <c r="D140" s="5" t="s">
        <v>172</v>
      </c>
      <c r="E140" s="5" t="n">
        <v>690</v>
      </c>
      <c r="F140" s="5" t="s">
        <v>386</v>
      </c>
      <c r="G140" s="5" t="n">
        <v>4</v>
      </c>
      <c r="H140" s="5" t="s">
        <v>53</v>
      </c>
      <c r="I140" s="5" t="s">
        <v>54</v>
      </c>
      <c r="J140" s="5" t="s">
        <v>117</v>
      </c>
      <c r="K140" s="5" t="s">
        <v>117</v>
      </c>
      <c r="L140" s="5" t="n">
        <v>5</v>
      </c>
      <c r="M140" s="5" t="n">
        <v>1</v>
      </c>
      <c r="N140" s="5" t="n">
        <v>1</v>
      </c>
      <c r="O140" s="5" t="n">
        <v>8</v>
      </c>
      <c r="P140" s="5" t="n">
        <v>-3.5</v>
      </c>
      <c r="Q140" s="5" t="n">
        <v>2</v>
      </c>
      <c r="R140" s="5" t="n">
        <v>3</v>
      </c>
      <c r="S140" s="5" t="n">
        <v>2</v>
      </c>
      <c r="T140" s="5" t="s">
        <v>348</v>
      </c>
      <c r="U140" s="6"/>
      <c r="V140" s="6"/>
      <c r="W140" s="6"/>
      <c r="X140" s="6"/>
      <c r="Y140" s="7" t="str">
        <f aca="false">IF(COUNT(U140:X140)=4,(W140-X140)/2,"")</f>
        <v/>
      </c>
      <c r="Z140" s="7" t="str">
        <f aca="false">IF(COUNT(U140:X140)=4,(U140-V140)/2,"")</f>
        <v/>
      </c>
      <c r="AA140" s="7" t="str">
        <f aca="false">IF(COUNT(U140:X140)=4,MAX(1,MIN(10,ROUNDUP(5-Z140,0))),"")</f>
        <v/>
      </c>
      <c r="AB140" s="7" t="str">
        <f aca="false">IF(COUNT(U140:X140)=4,MAX(1,MIN(10,ROUNDUP(Y140+5,0))),"")</f>
        <v/>
      </c>
      <c r="AC140" s="6"/>
      <c r="AD140" s="6"/>
    </row>
    <row r="141" customFormat="false" ht="15" hidden="false" customHeight="true" outlineLevel="0" collapsed="false">
      <c r="A141" s="5" t="n">
        <v>140</v>
      </c>
      <c r="B141" s="5" t="s">
        <v>387</v>
      </c>
      <c r="C141" s="5" t="s">
        <v>203</v>
      </c>
      <c r="D141" s="5" t="s">
        <v>204</v>
      </c>
      <c r="E141" s="5" t="n">
        <v>686</v>
      </c>
      <c r="F141" s="5" t="s">
        <v>387</v>
      </c>
      <c r="G141" s="5" t="n">
        <v>4</v>
      </c>
      <c r="H141" s="5" t="s">
        <v>53</v>
      </c>
      <c r="I141" s="5" t="s">
        <v>54</v>
      </c>
      <c r="J141" s="5" t="s">
        <v>117</v>
      </c>
      <c r="K141" s="5" t="s">
        <v>117</v>
      </c>
      <c r="L141" s="5" t="n">
        <v>4</v>
      </c>
      <c r="M141" s="5" t="n">
        <v>1</v>
      </c>
      <c r="N141" s="5" t="n">
        <v>1</v>
      </c>
      <c r="O141" s="5" t="n">
        <v>9</v>
      </c>
      <c r="P141" s="5" t="n">
        <v>-4</v>
      </c>
      <c r="Q141" s="5" t="n">
        <v>1.5</v>
      </c>
      <c r="R141" s="5" t="n">
        <v>4</v>
      </c>
      <c r="S141" s="5" t="n">
        <v>1</v>
      </c>
      <c r="T141" s="5" t="s">
        <v>379</v>
      </c>
      <c r="U141" s="6"/>
      <c r="V141" s="6"/>
      <c r="W141" s="6"/>
      <c r="X141" s="6"/>
      <c r="Y141" s="7" t="str">
        <f aca="false">IF(COUNT(U141:X141)=4,(W141-X141)/2,"")</f>
        <v/>
      </c>
      <c r="Z141" s="7" t="str">
        <f aca="false">IF(COUNT(U141:X141)=4,(U141-V141)/2,"")</f>
        <v/>
      </c>
      <c r="AA141" s="7" t="str">
        <f aca="false">IF(COUNT(U141:X141)=4,MAX(1,MIN(10,ROUNDUP(5-Z141,0))),"")</f>
        <v/>
      </c>
      <c r="AB141" s="7" t="str">
        <f aca="false">IF(COUNT(U141:X141)=4,MAX(1,MIN(10,ROUNDUP(Y141+5,0))),"")</f>
        <v/>
      </c>
      <c r="AC141" s="6"/>
      <c r="AD141" s="6"/>
    </row>
    <row r="142" customFormat="false" ht="15" hidden="false" customHeight="true" outlineLevel="0" collapsed="false">
      <c r="A142" s="5" t="n">
        <v>141</v>
      </c>
      <c r="B142" s="5" t="s">
        <v>388</v>
      </c>
      <c r="C142" s="5" t="s">
        <v>45</v>
      </c>
      <c r="D142" s="5" t="s">
        <v>46</v>
      </c>
      <c r="E142" s="5" t="n">
        <v>684</v>
      </c>
      <c r="F142" s="5" t="s">
        <v>388</v>
      </c>
      <c r="G142" s="5" t="n">
        <v>1</v>
      </c>
      <c r="H142" s="5" t="s">
        <v>47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389</v>
      </c>
      <c r="U142" s="6"/>
      <c r="V142" s="6"/>
      <c r="W142" s="6"/>
      <c r="X142" s="6"/>
      <c r="Y142" s="7" t="str">
        <f aca="false">IF(COUNT(U142:X142)=4,(W142-X142)/2,"")</f>
        <v/>
      </c>
      <c r="Z142" s="7" t="str">
        <f aca="false">IF(COUNT(U142:X142)=4,(U142-V142)/2,"")</f>
        <v/>
      </c>
      <c r="AA142" s="7" t="str">
        <f aca="false">IF(COUNT(U142:X142)=4,MAX(1,MIN(10,ROUNDUP(5-Z142,0))),"")</f>
        <v/>
      </c>
      <c r="AB142" s="7" t="str">
        <f aca="false">IF(COUNT(U142:X142)=4,MAX(1,MIN(10,ROUNDUP(Y142+5,0))),"")</f>
        <v/>
      </c>
      <c r="AC142" s="6"/>
      <c r="AD142" s="6"/>
    </row>
    <row r="143" customFormat="false" ht="15" hidden="false" customHeight="true" outlineLevel="0" collapsed="false">
      <c r="A143" s="5" t="n">
        <v>142</v>
      </c>
      <c r="B143" s="5" t="s">
        <v>390</v>
      </c>
      <c r="C143" s="5" t="s">
        <v>145</v>
      </c>
      <c r="D143" s="5" t="s">
        <v>51</v>
      </c>
      <c r="E143" s="5" t="n">
        <v>680</v>
      </c>
      <c r="F143" s="5" t="s">
        <v>391</v>
      </c>
      <c r="G143" s="5" t="n">
        <v>4</v>
      </c>
      <c r="H143" s="5" t="s">
        <v>53</v>
      </c>
      <c r="I143" s="5" t="s">
        <v>54</v>
      </c>
      <c r="J143" s="5" t="s">
        <v>55</v>
      </c>
      <c r="K143" s="5" t="s">
        <v>55</v>
      </c>
      <c r="L143" s="5" t="n">
        <v>5</v>
      </c>
      <c r="M143" s="5" t="n">
        <v>2</v>
      </c>
      <c r="N143" s="5" t="n">
        <v>8</v>
      </c>
      <c r="O143" s="5" t="n">
        <v>2</v>
      </c>
      <c r="P143" s="5" t="n">
        <v>3</v>
      </c>
      <c r="Q143" s="5" t="n">
        <v>1.5</v>
      </c>
      <c r="R143" s="5" t="n">
        <v>4</v>
      </c>
      <c r="S143" s="5" t="n">
        <v>8</v>
      </c>
      <c r="T143" s="5" t="s">
        <v>392</v>
      </c>
      <c r="U143" s="6"/>
      <c r="V143" s="6"/>
      <c r="W143" s="6"/>
      <c r="X143" s="6"/>
      <c r="Y143" s="7" t="str">
        <f aca="false">IF(COUNT(U143:X143)=4,(W143-X143)/2,"")</f>
        <v/>
      </c>
      <c r="Z143" s="7" t="str">
        <f aca="false">IF(COUNT(U143:X143)=4,(U143-V143)/2,"")</f>
        <v/>
      </c>
      <c r="AA143" s="7" t="str">
        <f aca="false">IF(COUNT(U143:X143)=4,MAX(1,MIN(10,ROUNDUP(5-Z143,0))),"")</f>
        <v/>
      </c>
      <c r="AB143" s="7" t="str">
        <f aca="false">IF(COUNT(U143:X143)=4,MAX(1,MIN(10,ROUNDUP(Y143+5,0))),"")</f>
        <v/>
      </c>
      <c r="AC143" s="6"/>
      <c r="AD143" s="6"/>
    </row>
    <row r="144" customFormat="false" ht="15" hidden="false" customHeight="true" outlineLevel="0" collapsed="false">
      <c r="A144" s="5" t="n">
        <v>143</v>
      </c>
      <c r="B144" s="5" t="s">
        <v>393</v>
      </c>
      <c r="C144" s="5" t="s">
        <v>58</v>
      </c>
      <c r="D144" s="5" t="s">
        <v>59</v>
      </c>
      <c r="E144" s="5" t="n">
        <v>680</v>
      </c>
      <c r="F144" s="5" t="s">
        <v>393</v>
      </c>
      <c r="G144" s="5" t="n">
        <v>3</v>
      </c>
      <c r="H144" s="5" t="s">
        <v>53</v>
      </c>
      <c r="I144" s="5" t="s">
        <v>64</v>
      </c>
      <c r="J144" s="5"/>
      <c r="K144" s="5"/>
      <c r="L144" s="5" t="n">
        <v>2</v>
      </c>
      <c r="M144" s="5" t="n">
        <v>2</v>
      </c>
      <c r="N144" s="5" t="n">
        <v>2</v>
      </c>
      <c r="O144" s="5" t="n">
        <v>8</v>
      </c>
      <c r="P144" s="5" t="n">
        <v>-3</v>
      </c>
      <c r="Q144" s="5" t="n">
        <v>0</v>
      </c>
      <c r="R144" s="5" t="n">
        <v>5</v>
      </c>
      <c r="S144" s="5" t="n">
        <v>2</v>
      </c>
      <c r="T144" s="5" t="s">
        <v>394</v>
      </c>
      <c r="U144" s="6"/>
      <c r="V144" s="6"/>
      <c r="W144" s="6"/>
      <c r="X144" s="6"/>
      <c r="Y144" s="7" t="str">
        <f aca="false">IF(COUNT(U144:X144)=4,(W144-X144)/2,"")</f>
        <v/>
      </c>
      <c r="Z144" s="7" t="str">
        <f aca="false">IF(COUNT(U144:X144)=4,(U144-V144)/2,"")</f>
        <v/>
      </c>
      <c r="AA144" s="7" t="str">
        <f aca="false">IF(COUNT(U144:X144)=4,MAX(1,MIN(10,ROUNDUP(5-Z144,0))),"")</f>
        <v/>
      </c>
      <c r="AB144" s="7" t="str">
        <f aca="false">IF(COUNT(U144:X144)=4,MAX(1,MIN(10,ROUNDUP(Y144+5,0))),"")</f>
        <v/>
      </c>
      <c r="AC144" s="6"/>
      <c r="AD144" s="6"/>
    </row>
    <row r="145" customFormat="false" ht="15" hidden="false" customHeight="true" outlineLevel="0" collapsed="false">
      <c r="A145" s="5" t="n">
        <v>144</v>
      </c>
      <c r="B145" s="5" t="s">
        <v>395</v>
      </c>
      <c r="C145" s="5" t="s">
        <v>79</v>
      </c>
      <c r="D145" s="5" t="s">
        <v>80</v>
      </c>
      <c r="E145" s="5" t="n">
        <v>675</v>
      </c>
      <c r="F145" s="5" t="s">
        <v>395</v>
      </c>
      <c r="G145" s="5" t="n">
        <v>3</v>
      </c>
      <c r="H145" s="5" t="s">
        <v>53</v>
      </c>
      <c r="I145" s="5" t="s">
        <v>81</v>
      </c>
      <c r="J145" s="5" t="s">
        <v>79</v>
      </c>
      <c r="K145" s="5" t="s">
        <v>152</v>
      </c>
      <c r="L145" s="5" t="n">
        <v>10</v>
      </c>
      <c r="M145" s="5" t="n">
        <v>0</v>
      </c>
      <c r="N145" s="5" t="n">
        <v>5</v>
      </c>
      <c r="O145" s="5" t="n">
        <v>5</v>
      </c>
      <c r="P145" s="5" t="n">
        <v>0</v>
      </c>
      <c r="Q145" s="5" t="n">
        <v>5</v>
      </c>
      <c r="R145" s="5" t="n">
        <v>1</v>
      </c>
      <c r="S145" s="5" t="n">
        <v>5</v>
      </c>
      <c r="T145" s="5" t="s">
        <v>396</v>
      </c>
      <c r="U145" s="6"/>
      <c r="V145" s="6"/>
      <c r="W145" s="6"/>
      <c r="X145" s="6"/>
      <c r="Y145" s="7" t="str">
        <f aca="false">IF(COUNT(U145:X145)=4,(W145-X145)/2,"")</f>
        <v/>
      </c>
      <c r="Z145" s="7" t="str">
        <f aca="false">IF(COUNT(U145:X145)=4,(U145-V145)/2,"")</f>
        <v/>
      </c>
      <c r="AA145" s="7" t="str">
        <f aca="false">IF(COUNT(U145:X145)=4,MAX(1,MIN(10,ROUNDUP(5-Z145,0))),"")</f>
        <v/>
      </c>
      <c r="AB145" s="7" t="str">
        <f aca="false">IF(COUNT(U145:X145)=4,MAX(1,MIN(10,ROUNDUP(Y145+5,0))),"")</f>
        <v/>
      </c>
      <c r="AC145" s="6"/>
      <c r="AD145" s="6"/>
    </row>
    <row r="146" customFormat="false" ht="15" hidden="false" customHeight="true" outlineLevel="0" collapsed="false">
      <c r="A146" s="5" t="n">
        <v>145</v>
      </c>
      <c r="B146" s="5" t="s">
        <v>397</v>
      </c>
      <c r="C146" s="5" t="s">
        <v>203</v>
      </c>
      <c r="D146" s="5" t="s">
        <v>204</v>
      </c>
      <c r="E146" s="5" t="n">
        <v>662</v>
      </c>
      <c r="F146" s="5" t="s">
        <v>398</v>
      </c>
      <c r="G146" s="5" t="n">
        <v>4</v>
      </c>
      <c r="H146" s="5" t="s">
        <v>53</v>
      </c>
      <c r="I146" s="5" t="s">
        <v>54</v>
      </c>
      <c r="J146" s="5" t="s">
        <v>117</v>
      </c>
      <c r="K146" s="5" t="s">
        <v>117</v>
      </c>
      <c r="L146" s="5" t="n">
        <v>3</v>
      </c>
      <c r="M146" s="5" t="n">
        <v>1</v>
      </c>
      <c r="N146" s="5" t="n">
        <v>2</v>
      </c>
      <c r="O146" s="5" t="n">
        <v>8</v>
      </c>
      <c r="P146" s="5" t="n">
        <v>-3</v>
      </c>
      <c r="Q146" s="5" t="n">
        <v>1</v>
      </c>
      <c r="R146" s="5" t="n">
        <v>4</v>
      </c>
      <c r="S146" s="5" t="n">
        <v>2</v>
      </c>
      <c r="T146" s="5" t="s">
        <v>399</v>
      </c>
      <c r="U146" s="6"/>
      <c r="V146" s="6"/>
      <c r="W146" s="6"/>
      <c r="X146" s="6"/>
      <c r="Y146" s="7" t="str">
        <f aca="false">IF(COUNT(U146:X146)=4,(W146-X146)/2,"")</f>
        <v/>
      </c>
      <c r="Z146" s="7" t="str">
        <f aca="false">IF(COUNT(U146:X146)=4,(U146-V146)/2,"")</f>
        <v/>
      </c>
      <c r="AA146" s="7" t="str">
        <f aca="false">IF(COUNT(U146:X146)=4,MAX(1,MIN(10,ROUNDUP(5-Z146,0))),"")</f>
        <v/>
      </c>
      <c r="AB146" s="7" t="str">
        <f aca="false">IF(COUNT(U146:X146)=4,MAX(1,MIN(10,ROUNDUP(Y146+5,0))),"")</f>
        <v/>
      </c>
      <c r="AC146" s="6"/>
      <c r="AD146" s="6"/>
    </row>
    <row r="147" customFormat="false" ht="15" hidden="false" customHeight="true" outlineLevel="0" collapsed="false">
      <c r="A147" s="5" t="n">
        <v>146</v>
      </c>
      <c r="B147" s="5" t="s">
        <v>400</v>
      </c>
      <c r="C147" s="5" t="s">
        <v>145</v>
      </c>
      <c r="D147" s="5" t="s">
        <v>51</v>
      </c>
      <c r="E147" s="5" t="n">
        <v>661</v>
      </c>
      <c r="F147" s="5" t="s">
        <v>401</v>
      </c>
      <c r="G147" s="5" t="n">
        <v>4</v>
      </c>
      <c r="H147" s="5" t="s">
        <v>53</v>
      </c>
      <c r="I147" s="5" t="s">
        <v>54</v>
      </c>
      <c r="J147" s="5" t="s">
        <v>55</v>
      </c>
      <c r="K147" s="5" t="s">
        <v>55</v>
      </c>
      <c r="L147" s="5" t="n">
        <v>5</v>
      </c>
      <c r="M147" s="5" t="n">
        <v>2</v>
      </c>
      <c r="N147" s="5" t="n">
        <v>8</v>
      </c>
      <c r="O147" s="5" t="n">
        <v>2</v>
      </c>
      <c r="P147" s="5" t="n">
        <v>3</v>
      </c>
      <c r="Q147" s="5" t="n">
        <v>1.5</v>
      </c>
      <c r="R147" s="5" t="n">
        <v>4</v>
      </c>
      <c r="S147" s="5" t="n">
        <v>8</v>
      </c>
      <c r="T147" s="5" t="s">
        <v>402</v>
      </c>
      <c r="U147" s="6"/>
      <c r="V147" s="6"/>
      <c r="W147" s="6"/>
      <c r="X147" s="6"/>
      <c r="Y147" s="7" t="str">
        <f aca="false">IF(COUNT(U147:X147)=4,(W147-X147)/2,"")</f>
        <v/>
      </c>
      <c r="Z147" s="7" t="str">
        <f aca="false">IF(COUNT(U147:X147)=4,(U147-V147)/2,"")</f>
        <v/>
      </c>
      <c r="AA147" s="7" t="str">
        <f aca="false">IF(COUNT(U147:X147)=4,MAX(1,MIN(10,ROUNDUP(5-Z147,0))),"")</f>
        <v/>
      </c>
      <c r="AB147" s="7" t="str">
        <f aca="false">IF(COUNT(U147:X147)=4,MAX(1,MIN(10,ROUNDUP(Y147+5,0))),"")</f>
        <v/>
      </c>
      <c r="AC147" s="6"/>
      <c r="AD147" s="6"/>
    </row>
    <row r="148" customFormat="false" ht="15" hidden="false" customHeight="true" outlineLevel="0" collapsed="false">
      <c r="A148" s="5" t="n">
        <v>147</v>
      </c>
      <c r="B148" s="5" t="s">
        <v>403</v>
      </c>
      <c r="C148" s="5" t="s">
        <v>145</v>
      </c>
      <c r="D148" s="5" t="s">
        <v>51</v>
      </c>
      <c r="E148" s="5" t="n">
        <v>658</v>
      </c>
      <c r="F148" s="5" t="s">
        <v>404</v>
      </c>
      <c r="G148" s="5" t="n">
        <v>4</v>
      </c>
      <c r="H148" s="5" t="s">
        <v>53</v>
      </c>
      <c r="I148" s="5" t="s">
        <v>54</v>
      </c>
      <c r="J148" s="5" t="s">
        <v>55</v>
      </c>
      <c r="K148" s="5" t="s">
        <v>55</v>
      </c>
      <c r="L148" s="5" t="n">
        <v>4</v>
      </c>
      <c r="M148" s="5" t="n">
        <v>3</v>
      </c>
      <c r="N148" s="5" t="n">
        <v>8</v>
      </c>
      <c r="O148" s="5" t="n">
        <v>4</v>
      </c>
      <c r="P148" s="5" t="n">
        <v>2</v>
      </c>
      <c r="Q148" s="5" t="n">
        <v>0.5</v>
      </c>
      <c r="R148" s="5" t="n">
        <v>5</v>
      </c>
      <c r="S148" s="5" t="n">
        <v>7</v>
      </c>
      <c r="T148" s="5" t="s">
        <v>405</v>
      </c>
      <c r="U148" s="6"/>
      <c r="V148" s="6"/>
      <c r="W148" s="6"/>
      <c r="X148" s="6"/>
      <c r="Y148" s="7" t="str">
        <f aca="false">IF(COUNT(U148:X148)=4,(W148-X148)/2,"")</f>
        <v/>
      </c>
      <c r="Z148" s="7" t="str">
        <f aca="false">IF(COUNT(U148:X148)=4,(U148-V148)/2,"")</f>
        <v/>
      </c>
      <c r="AA148" s="7" t="str">
        <f aca="false">IF(COUNT(U148:X148)=4,MAX(1,MIN(10,ROUNDUP(5-Z148,0))),"")</f>
        <v/>
      </c>
      <c r="AB148" s="7" t="str">
        <f aca="false">IF(COUNT(U148:X148)=4,MAX(1,MIN(10,ROUNDUP(Y148+5,0))),"")</f>
        <v/>
      </c>
      <c r="AC148" s="6"/>
      <c r="AD148" s="6"/>
    </row>
    <row r="149" customFormat="false" ht="15" hidden="false" customHeight="true" outlineLevel="0" collapsed="false">
      <c r="A149" s="5" t="n">
        <v>148</v>
      </c>
      <c r="B149" s="5" t="s">
        <v>406</v>
      </c>
      <c r="C149" s="5" t="s">
        <v>145</v>
      </c>
      <c r="D149" s="5" t="s">
        <v>51</v>
      </c>
      <c r="E149" s="5" t="n">
        <v>643</v>
      </c>
      <c r="F149" s="5" t="s">
        <v>407</v>
      </c>
      <c r="G149" s="5" t="n">
        <v>4</v>
      </c>
      <c r="H149" s="5" t="s">
        <v>53</v>
      </c>
      <c r="I149" s="5" t="s">
        <v>54</v>
      </c>
      <c r="J149" s="5" t="s">
        <v>55</v>
      </c>
      <c r="K149" s="5" t="s">
        <v>55</v>
      </c>
      <c r="L149" s="5" t="n">
        <v>5</v>
      </c>
      <c r="M149" s="5" t="n">
        <v>2</v>
      </c>
      <c r="N149" s="5" t="n">
        <v>8</v>
      </c>
      <c r="O149" s="5" t="n">
        <v>4</v>
      </c>
      <c r="P149" s="5" t="n">
        <v>2</v>
      </c>
      <c r="Q149" s="5" t="n">
        <v>1.5</v>
      </c>
      <c r="R149" s="5" t="n">
        <v>4</v>
      </c>
      <c r="S149" s="5" t="n">
        <v>7</v>
      </c>
      <c r="T149" s="5" t="s">
        <v>408</v>
      </c>
      <c r="U149" s="6"/>
      <c r="V149" s="6"/>
      <c r="W149" s="6"/>
      <c r="X149" s="6"/>
      <c r="Y149" s="7" t="str">
        <f aca="false">IF(COUNT(U149:X149)=4,(W149-X149)/2,"")</f>
        <v/>
      </c>
      <c r="Z149" s="7" t="str">
        <f aca="false">IF(COUNT(U149:X149)=4,(U149-V149)/2,"")</f>
        <v/>
      </c>
      <c r="AA149" s="7" t="str">
        <f aca="false">IF(COUNT(U149:X149)=4,MAX(1,MIN(10,ROUNDUP(5-Z149,0))),"")</f>
        <v/>
      </c>
      <c r="AB149" s="7" t="str">
        <f aca="false">IF(COUNT(U149:X149)=4,MAX(1,MIN(10,ROUNDUP(Y149+5,0))),"")</f>
        <v/>
      </c>
      <c r="AC149" s="6"/>
      <c r="AD149" s="6"/>
    </row>
    <row r="150" customFormat="false" ht="15" hidden="false" customHeight="true" outlineLevel="0" collapsed="false">
      <c r="A150" s="5" t="n">
        <v>149</v>
      </c>
      <c r="B150" s="5" t="s">
        <v>409</v>
      </c>
      <c r="C150" s="5" t="s">
        <v>67</v>
      </c>
      <c r="D150" s="5" t="s">
        <v>68</v>
      </c>
      <c r="E150" s="5" t="n">
        <v>639</v>
      </c>
      <c r="F150" s="5" t="s">
        <v>409</v>
      </c>
      <c r="G150" s="5" t="n">
        <v>1</v>
      </c>
      <c r="H150" s="5" t="s">
        <v>47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 t="s">
        <v>410</v>
      </c>
      <c r="U150" s="6"/>
      <c r="V150" s="6"/>
      <c r="W150" s="6"/>
      <c r="X150" s="6"/>
      <c r="Y150" s="7" t="str">
        <f aca="false">IF(COUNT(U150:X150)=4,(W150-X150)/2,"")</f>
        <v/>
      </c>
      <c r="Z150" s="7" t="str">
        <f aca="false">IF(COUNT(U150:X150)=4,(U150-V150)/2,"")</f>
        <v/>
      </c>
      <c r="AA150" s="7" t="str">
        <f aca="false">IF(COUNT(U150:X150)=4,MAX(1,MIN(10,ROUNDUP(5-Z150,0))),"")</f>
        <v/>
      </c>
      <c r="AB150" s="7" t="str">
        <f aca="false">IF(COUNT(U150:X150)=4,MAX(1,MIN(10,ROUNDUP(Y150+5,0))),"")</f>
        <v/>
      </c>
      <c r="AC150" s="6"/>
      <c r="AD150" s="6"/>
    </row>
    <row r="151" customFormat="false" ht="15" hidden="false" customHeight="true" outlineLevel="0" collapsed="false">
      <c r="A151" s="5" t="n">
        <v>150</v>
      </c>
      <c r="B151" s="5" t="s">
        <v>411</v>
      </c>
      <c r="C151" s="5" t="s">
        <v>171</v>
      </c>
      <c r="D151" s="5" t="s">
        <v>172</v>
      </c>
      <c r="E151" s="5" t="n">
        <v>636</v>
      </c>
      <c r="F151" s="5" t="s">
        <v>412</v>
      </c>
      <c r="G151" s="5" t="n">
        <v>4</v>
      </c>
      <c r="H151" s="5" t="s">
        <v>53</v>
      </c>
      <c r="I151" s="5" t="s">
        <v>54</v>
      </c>
      <c r="J151" s="5" t="s">
        <v>181</v>
      </c>
      <c r="K151" s="5" t="s">
        <v>413</v>
      </c>
      <c r="L151" s="5" t="n">
        <v>5</v>
      </c>
      <c r="M151" s="5" t="n">
        <v>3</v>
      </c>
      <c r="N151" s="5" t="n">
        <v>3</v>
      </c>
      <c r="O151" s="5" t="n">
        <v>8</v>
      </c>
      <c r="P151" s="5" t="n">
        <v>-2.5</v>
      </c>
      <c r="Q151" s="5" t="n">
        <v>1</v>
      </c>
      <c r="R151" s="5" t="n">
        <v>4</v>
      </c>
      <c r="S151" s="5" t="n">
        <v>3</v>
      </c>
      <c r="T151" s="5" t="s">
        <v>414</v>
      </c>
      <c r="U151" s="6"/>
      <c r="V151" s="6"/>
      <c r="W151" s="6"/>
      <c r="X151" s="6"/>
      <c r="Y151" s="7" t="str">
        <f aca="false">IF(COUNT(U151:X151)=4,(W151-X151)/2,"")</f>
        <v/>
      </c>
      <c r="Z151" s="7" t="str">
        <f aca="false">IF(COUNT(U151:X151)=4,(U151-V151)/2,"")</f>
        <v/>
      </c>
      <c r="AA151" s="7" t="str">
        <f aca="false">IF(COUNT(U151:X151)=4,MAX(1,MIN(10,ROUNDUP(5-Z151,0))),"")</f>
        <v/>
      </c>
      <c r="AB151" s="7" t="str">
        <f aca="false">IF(COUNT(U151:X151)=4,MAX(1,MIN(10,ROUNDUP(Y151+5,0))),"")</f>
        <v/>
      </c>
      <c r="AC151" s="6"/>
      <c r="AD151" s="6"/>
    </row>
    <row r="152" customFormat="false" ht="15" hidden="false" customHeight="true" outlineLevel="0" collapsed="false">
      <c r="A152" s="5" t="n">
        <v>151</v>
      </c>
      <c r="B152" s="5" t="s">
        <v>415</v>
      </c>
      <c r="C152" s="5" t="s">
        <v>203</v>
      </c>
      <c r="D152" s="5" t="s">
        <v>204</v>
      </c>
      <c r="E152" s="5" t="n">
        <v>634</v>
      </c>
      <c r="F152" s="5" t="s">
        <v>416</v>
      </c>
      <c r="G152" s="5" t="n">
        <v>4</v>
      </c>
      <c r="H152" s="5" t="s">
        <v>53</v>
      </c>
      <c r="I152" s="5" t="s">
        <v>54</v>
      </c>
      <c r="J152" s="5" t="s">
        <v>117</v>
      </c>
      <c r="K152" s="5" t="s">
        <v>117</v>
      </c>
      <c r="L152" s="5" t="n">
        <v>3</v>
      </c>
      <c r="M152" s="5" t="n">
        <v>1</v>
      </c>
      <c r="N152" s="5" t="n">
        <v>2</v>
      </c>
      <c r="O152" s="5" t="n">
        <v>7</v>
      </c>
      <c r="P152" s="5" t="n">
        <v>-2.5</v>
      </c>
      <c r="Q152" s="5" t="n">
        <v>1</v>
      </c>
      <c r="R152" s="5" t="n">
        <v>4</v>
      </c>
      <c r="S152" s="5" t="n">
        <v>3</v>
      </c>
      <c r="T152" s="5" t="s">
        <v>417</v>
      </c>
      <c r="U152" s="6"/>
      <c r="V152" s="6"/>
      <c r="W152" s="6"/>
      <c r="X152" s="6"/>
      <c r="Y152" s="7" t="str">
        <f aca="false">IF(COUNT(U152:X152)=4,(W152-X152)/2,"")</f>
        <v/>
      </c>
      <c r="Z152" s="7" t="str">
        <f aca="false">IF(COUNT(U152:X152)=4,(U152-V152)/2,"")</f>
        <v/>
      </c>
      <c r="AA152" s="7" t="str">
        <f aca="false">IF(COUNT(U152:X152)=4,MAX(1,MIN(10,ROUNDUP(5-Z152,0))),"")</f>
        <v/>
      </c>
      <c r="AB152" s="7" t="str">
        <f aca="false">IF(COUNT(U152:X152)=4,MAX(1,MIN(10,ROUNDUP(Y152+5,0))),"")</f>
        <v/>
      </c>
      <c r="AC152" s="6"/>
      <c r="AD152" s="6"/>
    </row>
    <row r="153" customFormat="false" ht="15" hidden="false" customHeight="true" outlineLevel="0" collapsed="false">
      <c r="A153" s="5" t="n">
        <v>152</v>
      </c>
      <c r="B153" s="5" t="s">
        <v>418</v>
      </c>
      <c r="C153" s="5" t="s">
        <v>203</v>
      </c>
      <c r="D153" s="5" t="s">
        <v>204</v>
      </c>
      <c r="E153" s="5" t="n">
        <v>633</v>
      </c>
      <c r="F153" s="5" t="s">
        <v>419</v>
      </c>
      <c r="G153" s="5" t="n">
        <v>4</v>
      </c>
      <c r="H153" s="5" t="s">
        <v>53</v>
      </c>
      <c r="I153" s="5" t="s">
        <v>54</v>
      </c>
      <c r="J153" s="5" t="s">
        <v>117</v>
      </c>
      <c r="K153" s="5" t="s">
        <v>117</v>
      </c>
      <c r="L153" s="5" t="n">
        <v>3</v>
      </c>
      <c r="M153" s="5" t="n">
        <v>2</v>
      </c>
      <c r="N153" s="5" t="n">
        <v>8</v>
      </c>
      <c r="O153" s="5" t="n">
        <v>2</v>
      </c>
      <c r="P153" s="5" t="n">
        <v>3</v>
      </c>
      <c r="Q153" s="5" t="n">
        <v>0.5</v>
      </c>
      <c r="R153" s="5" t="n">
        <v>5</v>
      </c>
      <c r="S153" s="5" t="n">
        <v>8</v>
      </c>
      <c r="T153" s="5" t="s">
        <v>420</v>
      </c>
      <c r="U153" s="6"/>
      <c r="V153" s="6"/>
      <c r="W153" s="6"/>
      <c r="X153" s="6"/>
      <c r="Y153" s="7" t="str">
        <f aca="false">IF(COUNT(U153:X153)=4,(W153-X153)/2,"")</f>
        <v/>
      </c>
      <c r="Z153" s="7" t="str">
        <f aca="false">IF(COUNT(U153:X153)=4,(U153-V153)/2,"")</f>
        <v/>
      </c>
      <c r="AA153" s="7" t="str">
        <f aca="false">IF(COUNT(U153:X153)=4,MAX(1,MIN(10,ROUNDUP(5-Z153,0))),"")</f>
        <v/>
      </c>
      <c r="AB153" s="7" t="str">
        <f aca="false">IF(COUNT(U153:X153)=4,MAX(1,MIN(10,ROUNDUP(Y153+5,0))),"")</f>
        <v/>
      </c>
      <c r="AC153" s="6"/>
      <c r="AD153" s="6"/>
    </row>
    <row r="154" customFormat="false" ht="15" hidden="false" customHeight="true" outlineLevel="0" collapsed="false">
      <c r="A154" s="5" t="n">
        <v>153</v>
      </c>
      <c r="B154" s="5" t="s">
        <v>421</v>
      </c>
      <c r="C154" s="5" t="s">
        <v>58</v>
      </c>
      <c r="D154" s="5" t="s">
        <v>59</v>
      </c>
      <c r="E154" s="5" t="n">
        <v>628</v>
      </c>
      <c r="F154" s="5" t="s">
        <v>421</v>
      </c>
      <c r="G154" s="5" t="n">
        <v>3</v>
      </c>
      <c r="H154" s="5" t="s">
        <v>53</v>
      </c>
      <c r="I154" s="5" t="s">
        <v>64</v>
      </c>
      <c r="J154" s="5"/>
      <c r="K154" s="5"/>
      <c r="L154" s="5" t="n">
        <v>5</v>
      </c>
      <c r="M154" s="5" t="n">
        <v>3</v>
      </c>
      <c r="N154" s="5" t="n">
        <v>2</v>
      </c>
      <c r="O154" s="5" t="n">
        <v>8</v>
      </c>
      <c r="P154" s="5" t="n">
        <v>-3</v>
      </c>
      <c r="Q154" s="5" t="n">
        <v>1</v>
      </c>
      <c r="R154" s="5" t="n">
        <v>4</v>
      </c>
      <c r="S154" s="5" t="n">
        <v>2</v>
      </c>
      <c r="T154" s="5" t="s">
        <v>422</v>
      </c>
      <c r="U154" s="6"/>
      <c r="V154" s="6"/>
      <c r="W154" s="6"/>
      <c r="X154" s="6"/>
      <c r="Y154" s="7" t="str">
        <f aca="false">IF(COUNT(U154:X154)=4,(W154-X154)/2,"")</f>
        <v/>
      </c>
      <c r="Z154" s="7" t="str">
        <f aca="false">IF(COUNT(U154:X154)=4,(U154-V154)/2,"")</f>
        <v/>
      </c>
      <c r="AA154" s="7" t="str">
        <f aca="false">IF(COUNT(U154:X154)=4,MAX(1,MIN(10,ROUNDUP(5-Z154,0))),"")</f>
        <v/>
      </c>
      <c r="AB154" s="7" t="str">
        <f aca="false">IF(COUNT(U154:X154)=4,MAX(1,MIN(10,ROUNDUP(Y154+5,0))),"")</f>
        <v/>
      </c>
      <c r="AC154" s="6"/>
      <c r="AD154" s="6"/>
    </row>
    <row r="155" customFormat="false" ht="15" hidden="false" customHeight="true" outlineLevel="0" collapsed="false">
      <c r="A155" s="5" t="n">
        <v>154</v>
      </c>
      <c r="B155" s="5" t="s">
        <v>423</v>
      </c>
      <c r="C155" s="5" t="s">
        <v>58</v>
      </c>
      <c r="D155" s="5" t="s">
        <v>59</v>
      </c>
      <c r="E155" s="5" t="n">
        <v>627</v>
      </c>
      <c r="F155" s="5" t="s">
        <v>423</v>
      </c>
      <c r="G155" s="5" t="n">
        <v>1</v>
      </c>
      <c r="H155" s="5" t="s">
        <v>47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 t="s">
        <v>424</v>
      </c>
      <c r="U155" s="6"/>
      <c r="V155" s="6"/>
      <c r="W155" s="6"/>
      <c r="X155" s="6"/>
      <c r="Y155" s="7" t="str">
        <f aca="false">IF(COUNT(U155:X155)=4,(W155-X155)/2,"")</f>
        <v/>
      </c>
      <c r="Z155" s="7" t="str">
        <f aca="false">IF(COUNT(U155:X155)=4,(U155-V155)/2,"")</f>
        <v/>
      </c>
      <c r="AA155" s="7" t="str">
        <f aca="false">IF(COUNT(U155:X155)=4,MAX(1,MIN(10,ROUNDUP(5-Z155,0))),"")</f>
        <v/>
      </c>
      <c r="AB155" s="7" t="str">
        <f aca="false">IF(COUNT(U155:X155)=4,MAX(1,MIN(10,ROUNDUP(Y155+5,0))),"")</f>
        <v/>
      </c>
      <c r="AC155" s="6"/>
      <c r="AD155" s="6"/>
    </row>
    <row r="156" customFormat="false" ht="15" hidden="false" customHeight="true" outlineLevel="0" collapsed="false">
      <c r="A156" s="5" t="n">
        <v>155</v>
      </c>
      <c r="B156" s="5" t="s">
        <v>425</v>
      </c>
      <c r="C156" s="5" t="s">
        <v>171</v>
      </c>
      <c r="D156" s="5" t="s">
        <v>172</v>
      </c>
      <c r="E156" s="5" t="n">
        <v>621</v>
      </c>
      <c r="F156" s="5" t="s">
        <v>426</v>
      </c>
      <c r="G156" s="5" t="n">
        <v>4</v>
      </c>
      <c r="H156" s="5" t="s">
        <v>53</v>
      </c>
      <c r="I156" s="5" t="s">
        <v>54</v>
      </c>
      <c r="J156" s="5" t="s">
        <v>181</v>
      </c>
      <c r="K156" s="5" t="s">
        <v>427</v>
      </c>
      <c r="L156" s="5" t="n">
        <v>4</v>
      </c>
      <c r="M156" s="5" t="n">
        <v>4</v>
      </c>
      <c r="N156" s="5" t="n">
        <v>3</v>
      </c>
      <c r="O156" s="5" t="n">
        <v>8</v>
      </c>
      <c r="P156" s="5" t="n">
        <v>-2.5</v>
      </c>
      <c r="Q156" s="5" t="n">
        <v>0</v>
      </c>
      <c r="R156" s="5" t="n">
        <v>5</v>
      </c>
      <c r="S156" s="5" t="n">
        <v>3</v>
      </c>
      <c r="T156" s="5" t="s">
        <v>399</v>
      </c>
      <c r="U156" s="6"/>
      <c r="V156" s="6"/>
      <c r="W156" s="6"/>
      <c r="X156" s="6"/>
      <c r="Y156" s="7" t="str">
        <f aca="false">IF(COUNT(U156:X156)=4,(W156-X156)/2,"")</f>
        <v/>
      </c>
      <c r="Z156" s="7" t="str">
        <f aca="false">IF(COUNT(U156:X156)=4,(U156-V156)/2,"")</f>
        <v/>
      </c>
      <c r="AA156" s="7" t="str">
        <f aca="false">IF(COUNT(U156:X156)=4,MAX(1,MIN(10,ROUNDUP(5-Z156,0))),"")</f>
        <v/>
      </c>
      <c r="AB156" s="7" t="str">
        <f aca="false">IF(COUNT(U156:X156)=4,MAX(1,MIN(10,ROUNDUP(Y156+5,0))),"")</f>
        <v/>
      </c>
      <c r="AC156" s="6"/>
      <c r="AD156" s="6"/>
    </row>
    <row r="157" customFormat="false" ht="15" hidden="false" customHeight="true" outlineLevel="0" collapsed="false">
      <c r="A157" s="5" t="n">
        <v>156</v>
      </c>
      <c r="B157" s="5" t="s">
        <v>428</v>
      </c>
      <c r="C157" s="5" t="s">
        <v>127</v>
      </c>
      <c r="D157" s="5" t="s">
        <v>128</v>
      </c>
      <c r="E157" s="5" t="n">
        <v>613</v>
      </c>
      <c r="F157" s="5" t="s">
        <v>429</v>
      </c>
      <c r="G157" s="5" t="n">
        <v>4</v>
      </c>
      <c r="H157" s="5" t="s">
        <v>53</v>
      </c>
      <c r="I157" s="5" t="s">
        <v>54</v>
      </c>
      <c r="J157" s="5" t="s">
        <v>117</v>
      </c>
      <c r="K157" s="5" t="s">
        <v>117</v>
      </c>
      <c r="L157" s="5" t="n">
        <v>3</v>
      </c>
      <c r="M157" s="5" t="n">
        <v>1</v>
      </c>
      <c r="N157" s="5" t="n">
        <v>2</v>
      </c>
      <c r="O157" s="5" t="n">
        <v>7</v>
      </c>
      <c r="P157" s="5" t="n">
        <v>-2.5</v>
      </c>
      <c r="Q157" s="5" t="n">
        <v>1</v>
      </c>
      <c r="R157" s="5" t="n">
        <v>4</v>
      </c>
      <c r="S157" s="5" t="n">
        <v>3</v>
      </c>
      <c r="T157" s="5" t="s">
        <v>430</v>
      </c>
      <c r="U157" s="6"/>
      <c r="V157" s="6"/>
      <c r="W157" s="6"/>
      <c r="X157" s="6"/>
      <c r="Y157" s="7" t="str">
        <f aca="false">IF(COUNT(U157:X157)=4,(W157-X157)/2,"")</f>
        <v/>
      </c>
      <c r="Z157" s="7" t="str">
        <f aca="false">IF(COUNT(U157:X157)=4,(U157-V157)/2,"")</f>
        <v/>
      </c>
      <c r="AA157" s="7" t="str">
        <f aca="false">IF(COUNT(U157:X157)=4,MAX(1,MIN(10,ROUNDUP(5-Z157,0))),"")</f>
        <v/>
      </c>
      <c r="AB157" s="7" t="str">
        <f aca="false">IF(COUNT(U157:X157)=4,MAX(1,MIN(10,ROUNDUP(Y157+5,0))),"")</f>
        <v/>
      </c>
      <c r="AC157" s="6"/>
      <c r="AD157" s="6"/>
    </row>
    <row r="158" customFormat="false" ht="15" hidden="false" customHeight="true" outlineLevel="0" collapsed="false">
      <c r="A158" s="5" t="n">
        <v>157</v>
      </c>
      <c r="B158" s="5" t="s">
        <v>431</v>
      </c>
      <c r="C158" s="5" t="s">
        <v>171</v>
      </c>
      <c r="D158" s="5" t="s">
        <v>172</v>
      </c>
      <c r="E158" s="5" t="n">
        <v>612</v>
      </c>
      <c r="F158" s="5" t="s">
        <v>432</v>
      </c>
      <c r="G158" s="5" t="n">
        <v>4</v>
      </c>
      <c r="H158" s="5" t="s">
        <v>53</v>
      </c>
      <c r="I158" s="5" t="s">
        <v>54</v>
      </c>
      <c r="J158" s="5" t="s">
        <v>181</v>
      </c>
      <c r="K158" s="5" t="s">
        <v>279</v>
      </c>
      <c r="L158" s="5" t="n">
        <v>4</v>
      </c>
      <c r="M158" s="5" t="n">
        <v>5</v>
      </c>
      <c r="N158" s="5" t="n">
        <v>5</v>
      </c>
      <c r="O158" s="5" t="n">
        <v>7</v>
      </c>
      <c r="P158" s="5" t="n">
        <v>-1</v>
      </c>
      <c r="Q158" s="5" t="n">
        <v>-0.5</v>
      </c>
      <c r="R158" s="5" t="n">
        <v>6</v>
      </c>
      <c r="S158" s="5" t="n">
        <v>4</v>
      </c>
      <c r="T158" s="5" t="s">
        <v>433</v>
      </c>
      <c r="U158" s="6"/>
      <c r="V158" s="6"/>
      <c r="W158" s="6"/>
      <c r="X158" s="6"/>
      <c r="Y158" s="7" t="str">
        <f aca="false">IF(COUNT(U158:X158)=4,(W158-X158)/2,"")</f>
        <v/>
      </c>
      <c r="Z158" s="7" t="str">
        <f aca="false">IF(COUNT(U158:X158)=4,(U158-V158)/2,"")</f>
        <v/>
      </c>
      <c r="AA158" s="7" t="str">
        <f aca="false">IF(COUNT(U158:X158)=4,MAX(1,MIN(10,ROUNDUP(5-Z158,0))),"")</f>
        <v/>
      </c>
      <c r="AB158" s="7" t="str">
        <f aca="false">IF(COUNT(U158:X158)=4,MAX(1,MIN(10,ROUNDUP(Y158+5,0))),"")</f>
        <v/>
      </c>
      <c r="AC158" s="6"/>
      <c r="AD158" s="6"/>
    </row>
    <row r="159" customFormat="false" ht="15" hidden="false" customHeight="true" outlineLevel="0" collapsed="false">
      <c r="A159" s="5" t="n">
        <v>158</v>
      </c>
      <c r="B159" s="5" t="s">
        <v>434</v>
      </c>
      <c r="C159" s="5" t="s">
        <v>145</v>
      </c>
      <c r="D159" s="5" t="s">
        <v>51</v>
      </c>
      <c r="E159" s="5" t="n">
        <v>611</v>
      </c>
      <c r="F159" s="5" t="s">
        <v>435</v>
      </c>
      <c r="G159" s="5" t="n">
        <v>4</v>
      </c>
      <c r="H159" s="5" t="s">
        <v>53</v>
      </c>
      <c r="I159" s="5" t="s">
        <v>54</v>
      </c>
      <c r="J159" s="5" t="s">
        <v>55</v>
      </c>
      <c r="K159" s="5" t="s">
        <v>55</v>
      </c>
      <c r="L159" s="5" t="n">
        <v>5</v>
      </c>
      <c r="M159" s="5" t="n">
        <v>2</v>
      </c>
      <c r="N159" s="5" t="n">
        <v>4</v>
      </c>
      <c r="O159" s="5" t="n">
        <v>8</v>
      </c>
      <c r="P159" s="5" t="n">
        <v>-2</v>
      </c>
      <c r="Q159" s="5" t="n">
        <v>1.5</v>
      </c>
      <c r="R159" s="5" t="n">
        <v>4</v>
      </c>
      <c r="S159" s="5" t="n">
        <v>3</v>
      </c>
      <c r="T159" s="5" t="s">
        <v>436</v>
      </c>
      <c r="U159" s="6"/>
      <c r="V159" s="6"/>
      <c r="W159" s="6"/>
      <c r="X159" s="6"/>
      <c r="Y159" s="7" t="str">
        <f aca="false">IF(COUNT(U159:X159)=4,(W159-X159)/2,"")</f>
        <v/>
      </c>
      <c r="Z159" s="7" t="str">
        <f aca="false">IF(COUNT(U159:X159)=4,(U159-V159)/2,"")</f>
        <v/>
      </c>
      <c r="AA159" s="7" t="str">
        <f aca="false">IF(COUNT(U159:X159)=4,MAX(1,MIN(10,ROUNDUP(5-Z159,0))),"")</f>
        <v/>
      </c>
      <c r="AB159" s="7" t="str">
        <f aca="false">IF(COUNT(U159:X159)=4,MAX(1,MIN(10,ROUNDUP(Y159+5,0))),"")</f>
        <v/>
      </c>
      <c r="AC159" s="6"/>
      <c r="AD159" s="6"/>
    </row>
    <row r="160" customFormat="false" ht="15" hidden="false" customHeight="true" outlineLevel="0" collapsed="false">
      <c r="A160" s="5" t="n">
        <v>159</v>
      </c>
      <c r="B160" s="5" t="s">
        <v>437</v>
      </c>
      <c r="C160" s="5" t="s">
        <v>171</v>
      </c>
      <c r="D160" s="5" t="s">
        <v>172</v>
      </c>
      <c r="E160" s="5" t="n">
        <v>610</v>
      </c>
      <c r="F160" s="5" t="s">
        <v>438</v>
      </c>
      <c r="G160" s="5" t="n">
        <v>4</v>
      </c>
      <c r="H160" s="5" t="s">
        <v>53</v>
      </c>
      <c r="I160" s="5" t="s">
        <v>54</v>
      </c>
      <c r="J160" s="5" t="s">
        <v>181</v>
      </c>
      <c r="K160" s="5" t="s">
        <v>223</v>
      </c>
      <c r="L160" s="5" t="n">
        <v>3</v>
      </c>
      <c r="M160" s="5" t="n">
        <v>4</v>
      </c>
      <c r="N160" s="5" t="n">
        <v>6</v>
      </c>
      <c r="O160" s="5" t="n">
        <v>4</v>
      </c>
      <c r="P160" s="5" t="n">
        <v>1</v>
      </c>
      <c r="Q160" s="5" t="n">
        <v>-0.5</v>
      </c>
      <c r="R160" s="5" t="n">
        <v>6</v>
      </c>
      <c r="S160" s="5" t="n">
        <v>6</v>
      </c>
      <c r="T160" s="5" t="s">
        <v>95</v>
      </c>
      <c r="U160" s="6"/>
      <c r="V160" s="6"/>
      <c r="W160" s="6"/>
      <c r="X160" s="6"/>
      <c r="Y160" s="7" t="str">
        <f aca="false">IF(COUNT(U160:X160)=4,(W160-X160)/2,"")</f>
        <v/>
      </c>
      <c r="Z160" s="7" t="str">
        <f aca="false">IF(COUNT(U160:X160)=4,(U160-V160)/2,"")</f>
        <v/>
      </c>
      <c r="AA160" s="7" t="str">
        <f aca="false">IF(COUNT(U160:X160)=4,MAX(1,MIN(10,ROUNDUP(5-Z160,0))),"")</f>
        <v/>
      </c>
      <c r="AB160" s="7" t="str">
        <f aca="false">IF(COUNT(U160:X160)=4,MAX(1,MIN(10,ROUNDUP(Y160+5,0))),"")</f>
        <v/>
      </c>
      <c r="AC160" s="6"/>
      <c r="AD160" s="6"/>
    </row>
    <row r="161" customFormat="false" ht="15" hidden="false" customHeight="true" outlineLevel="0" collapsed="false">
      <c r="A161" s="5" t="n">
        <v>160</v>
      </c>
      <c r="B161" s="5" t="s">
        <v>439</v>
      </c>
      <c r="C161" s="5" t="s">
        <v>79</v>
      </c>
      <c r="D161" s="5" t="s">
        <v>80</v>
      </c>
      <c r="E161" s="5" t="n">
        <v>603</v>
      </c>
      <c r="F161" s="5" t="s">
        <v>439</v>
      </c>
      <c r="G161" s="5" t="n">
        <v>3</v>
      </c>
      <c r="H161" s="5" t="s">
        <v>53</v>
      </c>
      <c r="I161" s="5" t="s">
        <v>81</v>
      </c>
      <c r="J161" s="5" t="s">
        <v>79</v>
      </c>
      <c r="K161" s="5" t="s">
        <v>82</v>
      </c>
      <c r="L161" s="5" t="n">
        <v>7</v>
      </c>
      <c r="M161" s="5" t="n">
        <v>2</v>
      </c>
      <c r="N161" s="5" t="n">
        <v>3</v>
      </c>
      <c r="O161" s="5" t="n">
        <v>7</v>
      </c>
      <c r="P161" s="5" t="n">
        <v>-2</v>
      </c>
      <c r="Q161" s="5" t="n">
        <v>2.5</v>
      </c>
      <c r="R161" s="5" t="n">
        <v>3</v>
      </c>
      <c r="S161" s="5" t="n">
        <v>3</v>
      </c>
      <c r="T161" s="5" t="s">
        <v>440</v>
      </c>
      <c r="U161" s="6"/>
      <c r="V161" s="6"/>
      <c r="W161" s="6"/>
      <c r="X161" s="6"/>
      <c r="Y161" s="7" t="str">
        <f aca="false">IF(COUNT(U161:X161)=4,(W161-X161)/2,"")</f>
        <v/>
      </c>
      <c r="Z161" s="7" t="str">
        <f aca="false">IF(COUNT(U161:X161)=4,(U161-V161)/2,"")</f>
        <v/>
      </c>
      <c r="AA161" s="7" t="str">
        <f aca="false">IF(COUNT(U161:X161)=4,MAX(1,MIN(10,ROUNDUP(5-Z161,0))),"")</f>
        <v/>
      </c>
      <c r="AB161" s="7" t="str">
        <f aca="false">IF(COUNT(U161:X161)=4,MAX(1,MIN(10,ROUNDUP(Y161+5,0))),"")</f>
        <v/>
      </c>
      <c r="AC161" s="6"/>
      <c r="AD161" s="6"/>
    </row>
    <row r="162" customFormat="false" ht="15" hidden="false" customHeight="true" outlineLevel="0" collapsed="false">
      <c r="A162" s="5" t="n">
        <v>161</v>
      </c>
      <c r="B162" s="5" t="s">
        <v>441</v>
      </c>
      <c r="C162" s="5" t="s">
        <v>171</v>
      </c>
      <c r="D162" s="5" t="s">
        <v>172</v>
      </c>
      <c r="E162" s="5" t="n">
        <v>594</v>
      </c>
      <c r="F162" s="5" t="s">
        <v>442</v>
      </c>
      <c r="G162" s="5" t="n">
        <v>4</v>
      </c>
      <c r="H162" s="5" t="s">
        <v>53</v>
      </c>
      <c r="I162" s="5" t="s">
        <v>54</v>
      </c>
      <c r="J162" s="5" t="s">
        <v>181</v>
      </c>
      <c r="K162" s="5" t="s">
        <v>443</v>
      </c>
      <c r="L162" s="5" t="n">
        <v>5</v>
      </c>
      <c r="M162" s="5" t="n">
        <v>3</v>
      </c>
      <c r="N162" s="5" t="n">
        <v>4</v>
      </c>
      <c r="O162" s="5" t="n">
        <v>8</v>
      </c>
      <c r="P162" s="5" t="n">
        <v>-2</v>
      </c>
      <c r="Q162" s="5" t="n">
        <v>1</v>
      </c>
      <c r="R162" s="5" t="n">
        <v>4</v>
      </c>
      <c r="S162" s="5" t="n">
        <v>3</v>
      </c>
      <c r="T162" s="5" t="s">
        <v>444</v>
      </c>
      <c r="U162" s="6"/>
      <c r="V162" s="6"/>
      <c r="W162" s="6"/>
      <c r="X162" s="6"/>
      <c r="Y162" s="7" t="str">
        <f aca="false">IF(COUNT(U162:X162)=4,(W162-X162)/2,"")</f>
        <v/>
      </c>
      <c r="Z162" s="7" t="str">
        <f aca="false">IF(COUNT(U162:X162)=4,(U162-V162)/2,"")</f>
        <v/>
      </c>
      <c r="AA162" s="7" t="str">
        <f aca="false">IF(COUNT(U162:X162)=4,MAX(1,MIN(10,ROUNDUP(5-Z162,0))),"")</f>
        <v/>
      </c>
      <c r="AB162" s="7" t="str">
        <f aca="false">IF(COUNT(U162:X162)=4,MAX(1,MIN(10,ROUNDUP(Y162+5,0))),"")</f>
        <v/>
      </c>
      <c r="AC162" s="6"/>
      <c r="AD162" s="6"/>
    </row>
    <row r="163" customFormat="false" ht="15" hidden="false" customHeight="true" outlineLevel="0" collapsed="false">
      <c r="A163" s="5" t="n">
        <v>162</v>
      </c>
      <c r="B163" s="5" t="s">
        <v>445</v>
      </c>
      <c r="C163" s="5" t="s">
        <v>58</v>
      </c>
      <c r="D163" s="5" t="s">
        <v>59</v>
      </c>
      <c r="E163" s="5" t="n">
        <v>585</v>
      </c>
      <c r="F163" s="5" t="s">
        <v>445</v>
      </c>
      <c r="G163" s="5" t="n">
        <v>1</v>
      </c>
      <c r="H163" s="5" t="s">
        <v>47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446</v>
      </c>
      <c r="U163" s="6"/>
      <c r="V163" s="6"/>
      <c r="W163" s="6"/>
      <c r="X163" s="6"/>
      <c r="Y163" s="7" t="str">
        <f aca="false">IF(COUNT(U163:X163)=4,(W163-X163)/2,"")</f>
        <v/>
      </c>
      <c r="Z163" s="7" t="str">
        <f aca="false">IF(COUNT(U163:X163)=4,(U163-V163)/2,"")</f>
        <v/>
      </c>
      <c r="AA163" s="7" t="str">
        <f aca="false">IF(COUNT(U163:X163)=4,MAX(1,MIN(10,ROUNDUP(5-Z163,0))),"")</f>
        <v/>
      </c>
      <c r="AB163" s="7" t="str">
        <f aca="false">IF(COUNT(U163:X163)=4,MAX(1,MIN(10,ROUNDUP(Y163+5,0))),"")</f>
        <v/>
      </c>
      <c r="AC163" s="6"/>
      <c r="AD163" s="6"/>
    </row>
    <row r="164" customFormat="false" ht="15" hidden="false" customHeight="true" outlineLevel="0" collapsed="false">
      <c r="A164" s="5" t="n">
        <v>163</v>
      </c>
      <c r="B164" s="5" t="s">
        <v>447</v>
      </c>
      <c r="C164" s="5" t="s">
        <v>145</v>
      </c>
      <c r="D164" s="5" t="s">
        <v>51</v>
      </c>
      <c r="E164" s="5" t="n">
        <v>583</v>
      </c>
      <c r="F164" s="5" t="s">
        <v>448</v>
      </c>
      <c r="G164" s="5" t="n">
        <v>4</v>
      </c>
      <c r="H164" s="5" t="s">
        <v>53</v>
      </c>
      <c r="I164" s="5" t="s">
        <v>54</v>
      </c>
      <c r="J164" s="5" t="s">
        <v>55</v>
      </c>
      <c r="K164" s="5" t="s">
        <v>55</v>
      </c>
      <c r="L164" s="5" t="n">
        <v>4</v>
      </c>
      <c r="M164" s="5" t="n">
        <v>3</v>
      </c>
      <c r="N164" s="5" t="n">
        <v>6</v>
      </c>
      <c r="O164" s="5" t="n">
        <v>4</v>
      </c>
      <c r="P164" s="5" t="n">
        <v>1</v>
      </c>
      <c r="Q164" s="5" t="n">
        <v>0.5</v>
      </c>
      <c r="R164" s="5" t="n">
        <v>5</v>
      </c>
      <c r="S164" s="5" t="n">
        <v>6</v>
      </c>
      <c r="T164" s="5" t="s">
        <v>449</v>
      </c>
      <c r="U164" s="6"/>
      <c r="V164" s="6"/>
      <c r="W164" s="6"/>
      <c r="X164" s="6"/>
      <c r="Y164" s="7" t="str">
        <f aca="false">IF(COUNT(U164:X164)=4,(W164-X164)/2,"")</f>
        <v/>
      </c>
      <c r="Z164" s="7" t="str">
        <f aca="false">IF(COUNT(U164:X164)=4,(U164-V164)/2,"")</f>
        <v/>
      </c>
      <c r="AA164" s="7" t="str">
        <f aca="false">IF(COUNT(U164:X164)=4,MAX(1,MIN(10,ROUNDUP(5-Z164,0))),"")</f>
        <v/>
      </c>
      <c r="AB164" s="7" t="str">
        <f aca="false">IF(COUNT(U164:X164)=4,MAX(1,MIN(10,ROUNDUP(Y164+5,0))),"")</f>
        <v/>
      </c>
      <c r="AC164" s="6"/>
      <c r="AD164" s="6"/>
    </row>
    <row r="165" customFormat="false" ht="15" hidden="false" customHeight="true" outlineLevel="0" collapsed="false">
      <c r="A165" s="5" t="n">
        <v>164</v>
      </c>
      <c r="B165" s="5" t="s">
        <v>450</v>
      </c>
      <c r="C165" s="5" t="s">
        <v>58</v>
      </c>
      <c r="D165" s="5" t="s">
        <v>59</v>
      </c>
      <c r="E165" s="5" t="n">
        <v>583</v>
      </c>
      <c r="F165" s="5" t="s">
        <v>450</v>
      </c>
      <c r="G165" s="5" t="n">
        <v>1</v>
      </c>
      <c r="H165" s="5" t="s">
        <v>47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451</v>
      </c>
      <c r="U165" s="6"/>
      <c r="V165" s="6"/>
      <c r="W165" s="6"/>
      <c r="X165" s="6"/>
      <c r="Y165" s="7" t="str">
        <f aca="false">IF(COUNT(U165:X165)=4,(W165-X165)/2,"")</f>
        <v/>
      </c>
      <c r="Z165" s="7" t="str">
        <f aca="false">IF(COUNT(U165:X165)=4,(U165-V165)/2,"")</f>
        <v/>
      </c>
      <c r="AA165" s="7" t="str">
        <f aca="false">IF(COUNT(U165:X165)=4,MAX(1,MIN(10,ROUNDUP(5-Z165,0))),"")</f>
        <v/>
      </c>
      <c r="AB165" s="7" t="str">
        <f aca="false">IF(COUNT(U165:X165)=4,MAX(1,MIN(10,ROUNDUP(Y165+5,0))),"")</f>
        <v/>
      </c>
      <c r="AC165" s="6"/>
      <c r="AD165" s="6"/>
    </row>
    <row r="166" customFormat="false" ht="15" hidden="false" customHeight="true" outlineLevel="0" collapsed="false">
      <c r="A166" s="5" t="n">
        <v>165</v>
      </c>
      <c r="B166" s="5" t="s">
        <v>452</v>
      </c>
      <c r="C166" s="5" t="s">
        <v>108</v>
      </c>
      <c r="D166" s="5" t="s">
        <v>109</v>
      </c>
      <c r="E166" s="5" t="n">
        <v>577</v>
      </c>
      <c r="F166" s="5" t="s">
        <v>452</v>
      </c>
      <c r="G166" s="5" t="n">
        <v>2</v>
      </c>
      <c r="H166" s="5" t="s">
        <v>47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 t="s">
        <v>453</v>
      </c>
      <c r="U166" s="6"/>
      <c r="V166" s="6"/>
      <c r="W166" s="6"/>
      <c r="X166" s="6"/>
      <c r="Y166" s="7" t="str">
        <f aca="false">IF(COUNT(U166:X166)=4,(W166-X166)/2,"")</f>
        <v/>
      </c>
      <c r="Z166" s="7" t="str">
        <f aca="false">IF(COUNT(U166:X166)=4,(U166-V166)/2,"")</f>
        <v/>
      </c>
      <c r="AA166" s="7" t="str">
        <f aca="false">IF(COUNT(U166:X166)=4,MAX(1,MIN(10,ROUNDUP(5-Z166,0))),"")</f>
        <v/>
      </c>
      <c r="AB166" s="7" t="str">
        <f aca="false">IF(COUNT(U166:X166)=4,MAX(1,MIN(10,ROUNDUP(Y166+5,0))),"")</f>
        <v/>
      </c>
      <c r="AC166" s="6"/>
      <c r="AD166" s="6"/>
    </row>
    <row r="167" customFormat="false" ht="15" hidden="false" customHeight="true" outlineLevel="0" collapsed="false">
      <c r="A167" s="5" t="n">
        <v>166</v>
      </c>
      <c r="B167" s="5" t="s">
        <v>454</v>
      </c>
      <c r="C167" s="5" t="s">
        <v>171</v>
      </c>
      <c r="D167" s="5" t="s">
        <v>172</v>
      </c>
      <c r="E167" s="5" t="n">
        <v>568</v>
      </c>
      <c r="F167" s="5" t="s">
        <v>455</v>
      </c>
      <c r="G167" s="5" t="n">
        <v>4</v>
      </c>
      <c r="H167" s="5" t="s">
        <v>53</v>
      </c>
      <c r="I167" s="5" t="s">
        <v>81</v>
      </c>
      <c r="J167" s="5" t="s">
        <v>174</v>
      </c>
      <c r="K167" s="5" t="s">
        <v>175</v>
      </c>
      <c r="L167" s="5" t="n">
        <v>9</v>
      </c>
      <c r="M167" s="5" t="n">
        <v>1</v>
      </c>
      <c r="N167" s="5" t="n">
        <v>1</v>
      </c>
      <c r="O167" s="5" t="n">
        <v>10</v>
      </c>
      <c r="P167" s="5" t="n">
        <v>-4.5</v>
      </c>
      <c r="Q167" s="5" t="n">
        <v>4</v>
      </c>
      <c r="R167" s="5" t="n">
        <v>1</v>
      </c>
      <c r="S167" s="5" t="n">
        <v>1</v>
      </c>
      <c r="T167" s="5" t="s">
        <v>430</v>
      </c>
      <c r="U167" s="6"/>
      <c r="V167" s="6"/>
      <c r="W167" s="6"/>
      <c r="X167" s="6"/>
      <c r="Y167" s="7" t="str">
        <f aca="false">IF(COUNT(U167:X167)=4,(W167-X167)/2,"")</f>
        <v/>
      </c>
      <c r="Z167" s="7" t="str">
        <f aca="false">IF(COUNT(U167:X167)=4,(U167-V167)/2,"")</f>
        <v/>
      </c>
      <c r="AA167" s="7" t="str">
        <f aca="false">IF(COUNT(U167:X167)=4,MAX(1,MIN(10,ROUNDUP(5-Z167,0))),"")</f>
        <v/>
      </c>
      <c r="AB167" s="7" t="str">
        <f aca="false">IF(COUNT(U167:X167)=4,MAX(1,MIN(10,ROUNDUP(Y167+5,0))),"")</f>
        <v/>
      </c>
      <c r="AC167" s="6"/>
      <c r="AD167" s="6"/>
    </row>
    <row r="168" customFormat="false" ht="15" hidden="false" customHeight="true" outlineLevel="0" collapsed="false">
      <c r="A168" s="5" t="n">
        <v>167</v>
      </c>
      <c r="B168" s="5" t="s">
        <v>456</v>
      </c>
      <c r="C168" s="5" t="s">
        <v>108</v>
      </c>
      <c r="D168" s="5" t="s">
        <v>109</v>
      </c>
      <c r="E168" s="5" t="n">
        <v>565</v>
      </c>
      <c r="F168" s="5" t="s">
        <v>457</v>
      </c>
      <c r="G168" s="5" t="n">
        <v>2</v>
      </c>
      <c r="H168" s="5" t="s">
        <v>47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 t="s">
        <v>83</v>
      </c>
      <c r="U168" s="6"/>
      <c r="V168" s="6"/>
      <c r="W168" s="6"/>
      <c r="X168" s="6"/>
      <c r="Y168" s="7" t="str">
        <f aca="false">IF(COUNT(U168:X168)=4,(W168-X168)/2,"")</f>
        <v/>
      </c>
      <c r="Z168" s="7" t="str">
        <f aca="false">IF(COUNT(U168:X168)=4,(U168-V168)/2,"")</f>
        <v/>
      </c>
      <c r="AA168" s="7" t="str">
        <f aca="false">IF(COUNT(U168:X168)=4,MAX(1,MIN(10,ROUNDUP(5-Z168,0))),"")</f>
        <v/>
      </c>
      <c r="AB168" s="7" t="str">
        <f aca="false">IF(COUNT(U168:X168)=4,MAX(1,MIN(10,ROUNDUP(Y168+5,0))),"")</f>
        <v/>
      </c>
      <c r="AC168" s="6"/>
      <c r="AD168" s="6"/>
    </row>
    <row r="169" customFormat="false" ht="15" hidden="false" customHeight="true" outlineLevel="0" collapsed="false">
      <c r="A169" s="5" t="n">
        <v>168</v>
      </c>
      <c r="B169" s="5" t="s">
        <v>458</v>
      </c>
      <c r="C169" s="5" t="s">
        <v>171</v>
      </c>
      <c r="D169" s="5" t="s">
        <v>172</v>
      </c>
      <c r="E169" s="5" t="n">
        <v>563</v>
      </c>
      <c r="F169" s="5" t="s">
        <v>459</v>
      </c>
      <c r="G169" s="5" t="n">
        <v>4</v>
      </c>
      <c r="H169" s="5" t="s">
        <v>53</v>
      </c>
      <c r="I169" s="5" t="s">
        <v>54</v>
      </c>
      <c r="J169" s="5" t="s">
        <v>181</v>
      </c>
      <c r="K169" s="5" t="s">
        <v>223</v>
      </c>
      <c r="L169" s="5" t="n">
        <v>2</v>
      </c>
      <c r="M169" s="5" t="n">
        <v>7</v>
      </c>
      <c r="N169" s="5" t="n">
        <v>6</v>
      </c>
      <c r="O169" s="5" t="n">
        <v>4</v>
      </c>
      <c r="P169" s="5" t="n">
        <v>1</v>
      </c>
      <c r="Q169" s="5" t="n">
        <v>-2.5</v>
      </c>
      <c r="R169" s="5" t="n">
        <v>8</v>
      </c>
      <c r="S169" s="5" t="n">
        <v>6</v>
      </c>
      <c r="T169" s="5" t="s">
        <v>460</v>
      </c>
      <c r="U169" s="6"/>
      <c r="V169" s="6"/>
      <c r="W169" s="6"/>
      <c r="X169" s="6"/>
      <c r="Y169" s="7" t="str">
        <f aca="false">IF(COUNT(U169:X169)=4,(W169-X169)/2,"")</f>
        <v/>
      </c>
      <c r="Z169" s="7" t="str">
        <f aca="false">IF(COUNT(U169:X169)=4,(U169-V169)/2,"")</f>
        <v/>
      </c>
      <c r="AA169" s="7" t="str">
        <f aca="false">IF(COUNT(U169:X169)=4,MAX(1,MIN(10,ROUNDUP(5-Z169,0))),"")</f>
        <v/>
      </c>
      <c r="AB169" s="7" t="str">
        <f aca="false">IF(COUNT(U169:X169)=4,MAX(1,MIN(10,ROUNDUP(Y169+5,0))),"")</f>
        <v/>
      </c>
      <c r="AC169" s="6"/>
      <c r="AD169" s="6"/>
    </row>
    <row r="170" customFormat="false" ht="15" hidden="false" customHeight="true" outlineLevel="0" collapsed="false">
      <c r="A170" s="5" t="n">
        <v>169</v>
      </c>
      <c r="B170" s="5" t="s">
        <v>461</v>
      </c>
      <c r="C170" s="5" t="s">
        <v>58</v>
      </c>
      <c r="D170" s="5" t="s">
        <v>59</v>
      </c>
      <c r="E170" s="5" t="n">
        <v>562</v>
      </c>
      <c r="F170" s="5" t="s">
        <v>461</v>
      </c>
      <c r="G170" s="5" t="n">
        <v>1</v>
      </c>
      <c r="H170" s="5" t="s">
        <v>47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 t="s">
        <v>462</v>
      </c>
      <c r="U170" s="6"/>
      <c r="V170" s="6"/>
      <c r="W170" s="6"/>
      <c r="X170" s="6"/>
      <c r="Y170" s="7" t="str">
        <f aca="false">IF(COUNT(U170:X170)=4,(W170-X170)/2,"")</f>
        <v/>
      </c>
      <c r="Z170" s="7" t="str">
        <f aca="false">IF(COUNT(U170:X170)=4,(U170-V170)/2,"")</f>
        <v/>
      </c>
      <c r="AA170" s="7" t="str">
        <f aca="false">IF(COUNT(U170:X170)=4,MAX(1,MIN(10,ROUNDUP(5-Z170,0))),"")</f>
        <v/>
      </c>
      <c r="AB170" s="7" t="str">
        <f aca="false">IF(COUNT(U170:X170)=4,MAX(1,MIN(10,ROUNDUP(Y170+5,0))),"")</f>
        <v/>
      </c>
      <c r="AC170" s="6"/>
      <c r="AD170" s="6"/>
    </row>
    <row r="171" customFormat="false" ht="15" hidden="false" customHeight="true" outlineLevel="0" collapsed="false">
      <c r="A171" s="5" t="n">
        <v>170</v>
      </c>
      <c r="B171" s="5" t="s">
        <v>463</v>
      </c>
      <c r="C171" s="5" t="s">
        <v>171</v>
      </c>
      <c r="D171" s="5" t="s">
        <v>172</v>
      </c>
      <c r="E171" s="5" t="n">
        <v>560</v>
      </c>
      <c r="F171" s="5" t="s">
        <v>464</v>
      </c>
      <c r="G171" s="5" t="n">
        <v>4</v>
      </c>
      <c r="H171" s="5" t="s">
        <v>53</v>
      </c>
      <c r="I171" s="5" t="s">
        <v>54</v>
      </c>
      <c r="J171" s="5" t="s">
        <v>181</v>
      </c>
      <c r="K171" s="5" t="s">
        <v>223</v>
      </c>
      <c r="L171" s="5" t="n">
        <v>3</v>
      </c>
      <c r="M171" s="5" t="n">
        <v>4</v>
      </c>
      <c r="N171" s="5" t="n">
        <v>6</v>
      </c>
      <c r="O171" s="5" t="n">
        <v>4</v>
      </c>
      <c r="P171" s="5" t="n">
        <v>1</v>
      </c>
      <c r="Q171" s="5" t="n">
        <v>-0.5</v>
      </c>
      <c r="R171" s="5" t="n">
        <v>6</v>
      </c>
      <c r="S171" s="5" t="n">
        <v>6</v>
      </c>
      <c r="T171" s="5" t="s">
        <v>465</v>
      </c>
      <c r="U171" s="6"/>
      <c r="V171" s="6"/>
      <c r="W171" s="6"/>
      <c r="X171" s="6"/>
      <c r="Y171" s="7" t="str">
        <f aca="false">IF(COUNT(U171:X171)=4,(W171-X171)/2,"")</f>
        <v/>
      </c>
      <c r="Z171" s="7" t="str">
        <f aca="false">IF(COUNT(U171:X171)=4,(U171-V171)/2,"")</f>
        <v/>
      </c>
      <c r="AA171" s="7" t="str">
        <f aca="false">IF(COUNT(U171:X171)=4,MAX(1,MIN(10,ROUNDUP(5-Z171,0))),"")</f>
        <v/>
      </c>
      <c r="AB171" s="7" t="str">
        <f aca="false">IF(COUNT(U171:X171)=4,MAX(1,MIN(10,ROUNDUP(Y171+5,0))),"")</f>
        <v/>
      </c>
      <c r="AC171" s="6"/>
      <c r="AD171" s="6"/>
    </row>
    <row r="172" customFormat="false" ht="15" hidden="false" customHeight="true" outlineLevel="0" collapsed="false">
      <c r="A172" s="5" t="n">
        <v>171</v>
      </c>
      <c r="B172" s="5" t="s">
        <v>466</v>
      </c>
      <c r="C172" s="5" t="s">
        <v>171</v>
      </c>
      <c r="D172" s="5" t="s">
        <v>172</v>
      </c>
      <c r="E172" s="5" t="n">
        <v>560</v>
      </c>
      <c r="F172" s="5" t="s">
        <v>467</v>
      </c>
      <c r="G172" s="5" t="n">
        <v>4</v>
      </c>
      <c r="H172" s="5" t="s">
        <v>53</v>
      </c>
      <c r="I172" s="5" t="s">
        <v>54</v>
      </c>
      <c r="J172" s="5" t="s">
        <v>181</v>
      </c>
      <c r="K172" s="5" t="s">
        <v>221</v>
      </c>
      <c r="L172" s="5" t="n">
        <v>2</v>
      </c>
      <c r="M172" s="5" t="n">
        <v>7</v>
      </c>
      <c r="N172" s="5" t="n">
        <v>6</v>
      </c>
      <c r="O172" s="5" t="n">
        <v>5</v>
      </c>
      <c r="P172" s="5" t="n">
        <v>0.5</v>
      </c>
      <c r="Q172" s="5" t="n">
        <v>-2.5</v>
      </c>
      <c r="R172" s="5" t="n">
        <v>8</v>
      </c>
      <c r="S172" s="5" t="n">
        <v>6</v>
      </c>
      <c r="T172" s="5" t="s">
        <v>217</v>
      </c>
      <c r="U172" s="6"/>
      <c r="V172" s="6"/>
      <c r="W172" s="6"/>
      <c r="X172" s="6"/>
      <c r="Y172" s="7" t="str">
        <f aca="false">IF(COUNT(U172:X172)=4,(W172-X172)/2,"")</f>
        <v/>
      </c>
      <c r="Z172" s="7" t="str">
        <f aca="false">IF(COUNT(U172:X172)=4,(U172-V172)/2,"")</f>
        <v/>
      </c>
      <c r="AA172" s="7" t="str">
        <f aca="false">IF(COUNT(U172:X172)=4,MAX(1,MIN(10,ROUNDUP(5-Z172,0))),"")</f>
        <v/>
      </c>
      <c r="AB172" s="7" t="str">
        <f aca="false">IF(COUNT(U172:X172)=4,MAX(1,MIN(10,ROUNDUP(Y172+5,0))),"")</f>
        <v/>
      </c>
      <c r="AC172" s="6"/>
      <c r="AD172" s="6"/>
    </row>
    <row r="173" customFormat="false" ht="15" hidden="false" customHeight="true" outlineLevel="0" collapsed="false">
      <c r="A173" s="5" t="n">
        <v>172</v>
      </c>
      <c r="B173" s="5" t="s">
        <v>468</v>
      </c>
      <c r="C173" s="5" t="s">
        <v>145</v>
      </c>
      <c r="D173" s="5" t="s">
        <v>51</v>
      </c>
      <c r="E173" s="5" t="n">
        <v>559</v>
      </c>
      <c r="F173" s="5" t="s">
        <v>469</v>
      </c>
      <c r="G173" s="5" t="n">
        <v>4</v>
      </c>
      <c r="H173" s="5" t="s">
        <v>53</v>
      </c>
      <c r="I173" s="5" t="s">
        <v>54</v>
      </c>
      <c r="J173" s="5" t="s">
        <v>55</v>
      </c>
      <c r="K173" s="5" t="s">
        <v>55</v>
      </c>
      <c r="L173" s="5" t="n">
        <v>6</v>
      </c>
      <c r="M173" s="5" t="n">
        <v>1</v>
      </c>
      <c r="N173" s="5" t="n">
        <v>6</v>
      </c>
      <c r="O173" s="5" t="n">
        <v>5</v>
      </c>
      <c r="P173" s="5" t="n">
        <v>0.5</v>
      </c>
      <c r="Q173" s="5" t="n">
        <v>2.5</v>
      </c>
      <c r="R173" s="5" t="n">
        <v>3</v>
      </c>
      <c r="S173" s="5" t="n">
        <v>6</v>
      </c>
      <c r="T173" s="5" t="s">
        <v>470</v>
      </c>
      <c r="U173" s="6"/>
      <c r="V173" s="6"/>
      <c r="W173" s="6"/>
      <c r="X173" s="6"/>
      <c r="Y173" s="7" t="str">
        <f aca="false">IF(COUNT(U173:X173)=4,(W173-X173)/2,"")</f>
        <v/>
      </c>
      <c r="Z173" s="7" t="str">
        <f aca="false">IF(COUNT(U173:X173)=4,(U173-V173)/2,"")</f>
        <v/>
      </c>
      <c r="AA173" s="7" t="str">
        <f aca="false">IF(COUNT(U173:X173)=4,MAX(1,MIN(10,ROUNDUP(5-Z173,0))),"")</f>
        <v/>
      </c>
      <c r="AB173" s="7" t="str">
        <f aca="false">IF(COUNT(U173:X173)=4,MAX(1,MIN(10,ROUNDUP(Y173+5,0))),"")</f>
        <v/>
      </c>
      <c r="AC173" s="6"/>
      <c r="AD173" s="6"/>
    </row>
    <row r="174" customFormat="false" ht="15" hidden="false" customHeight="true" outlineLevel="0" collapsed="false">
      <c r="A174" s="5" t="n">
        <v>173</v>
      </c>
      <c r="B174" s="5" t="s">
        <v>15</v>
      </c>
      <c r="C174" s="5" t="s">
        <v>171</v>
      </c>
      <c r="D174" s="5" t="s">
        <v>172</v>
      </c>
      <c r="E174" s="5" t="n">
        <v>553</v>
      </c>
      <c r="F174" s="5" t="s">
        <v>471</v>
      </c>
      <c r="G174" s="5" t="n">
        <v>4</v>
      </c>
      <c r="H174" s="5" t="s">
        <v>53</v>
      </c>
      <c r="I174" s="5" t="s">
        <v>54</v>
      </c>
      <c r="J174" s="5" t="s">
        <v>181</v>
      </c>
      <c r="K174" s="5" t="s">
        <v>443</v>
      </c>
      <c r="L174" s="5" t="n">
        <v>5</v>
      </c>
      <c r="M174" s="5" t="n">
        <v>3</v>
      </c>
      <c r="N174" s="5" t="n">
        <v>4</v>
      </c>
      <c r="O174" s="5" t="n">
        <v>8</v>
      </c>
      <c r="P174" s="5" t="n">
        <v>-2</v>
      </c>
      <c r="Q174" s="5" t="n">
        <v>1</v>
      </c>
      <c r="R174" s="5" t="n">
        <v>4</v>
      </c>
      <c r="S174" s="5" t="n">
        <v>3</v>
      </c>
      <c r="T174" s="5" t="s">
        <v>472</v>
      </c>
      <c r="U174" s="6"/>
      <c r="V174" s="6"/>
      <c r="W174" s="6"/>
      <c r="X174" s="6"/>
      <c r="Y174" s="7" t="str">
        <f aca="false">IF(COUNT(U174:X174)=4,(W174-X174)/2,"")</f>
        <v/>
      </c>
      <c r="Z174" s="7" t="str">
        <f aca="false">IF(COUNT(U174:X174)=4,(U174-V174)/2,"")</f>
        <v/>
      </c>
      <c r="AA174" s="7" t="str">
        <f aca="false">IF(COUNT(U174:X174)=4,MAX(1,MIN(10,ROUNDUP(5-Z174,0))),"")</f>
        <v/>
      </c>
      <c r="AB174" s="7" t="str">
        <f aca="false">IF(COUNT(U174:X174)=4,MAX(1,MIN(10,ROUNDUP(Y174+5,0))),"")</f>
        <v/>
      </c>
      <c r="AC174" s="6"/>
      <c r="AD174" s="6"/>
    </row>
    <row r="175" customFormat="false" ht="15" hidden="false" customHeight="true" outlineLevel="0" collapsed="false">
      <c r="A175" s="5" t="n">
        <v>174</v>
      </c>
      <c r="B175" s="5" t="s">
        <v>473</v>
      </c>
      <c r="C175" s="5" t="s">
        <v>108</v>
      </c>
      <c r="D175" s="5" t="s">
        <v>109</v>
      </c>
      <c r="E175" s="5" t="n">
        <v>552</v>
      </c>
      <c r="F175" s="5" t="s">
        <v>473</v>
      </c>
      <c r="G175" s="5" t="n">
        <v>4</v>
      </c>
      <c r="H175" s="5" t="s">
        <v>53</v>
      </c>
      <c r="I175" s="5" t="s">
        <v>64</v>
      </c>
      <c r="J175" s="5"/>
      <c r="K175" s="5"/>
      <c r="L175" s="5" t="n">
        <v>1</v>
      </c>
      <c r="M175" s="5" t="n">
        <v>8</v>
      </c>
      <c r="N175" s="5" t="n">
        <v>3</v>
      </c>
      <c r="O175" s="5" t="n">
        <v>6</v>
      </c>
      <c r="P175" s="5" t="n">
        <v>-1.5</v>
      </c>
      <c r="Q175" s="5" t="n">
        <v>-3.5</v>
      </c>
      <c r="R175" s="5" t="n">
        <v>9</v>
      </c>
      <c r="S175" s="5" t="n">
        <v>4</v>
      </c>
      <c r="T175" s="5" t="s">
        <v>474</v>
      </c>
      <c r="U175" s="6"/>
      <c r="V175" s="6"/>
      <c r="W175" s="6"/>
      <c r="X175" s="6"/>
      <c r="Y175" s="7" t="str">
        <f aca="false">IF(COUNT(U175:X175)=4,(W175-X175)/2,"")</f>
        <v/>
      </c>
      <c r="Z175" s="7" t="str">
        <f aca="false">IF(COUNT(U175:X175)=4,(U175-V175)/2,"")</f>
        <v/>
      </c>
      <c r="AA175" s="7" t="str">
        <f aca="false">IF(COUNT(U175:X175)=4,MAX(1,MIN(10,ROUNDUP(5-Z175,0))),"")</f>
        <v/>
      </c>
      <c r="AB175" s="7" t="str">
        <f aca="false">IF(COUNT(U175:X175)=4,MAX(1,MIN(10,ROUNDUP(Y175+5,0))),"")</f>
        <v/>
      </c>
      <c r="AC175" s="6"/>
      <c r="AD175" s="6"/>
    </row>
    <row r="176" customFormat="false" ht="15" hidden="false" customHeight="true" outlineLevel="0" collapsed="false">
      <c r="A176" s="5" t="n">
        <v>175</v>
      </c>
      <c r="B176" s="5" t="s">
        <v>475</v>
      </c>
      <c r="C176" s="5" t="s">
        <v>171</v>
      </c>
      <c r="D176" s="5" t="s">
        <v>172</v>
      </c>
      <c r="E176" s="5" t="n">
        <v>545</v>
      </c>
      <c r="F176" s="5" t="s">
        <v>476</v>
      </c>
      <c r="G176" s="5" t="n">
        <v>4</v>
      </c>
      <c r="H176" s="5" t="s">
        <v>53</v>
      </c>
      <c r="I176" s="5" t="s">
        <v>54</v>
      </c>
      <c r="J176" s="5" t="s">
        <v>181</v>
      </c>
      <c r="K176" s="5" t="s">
        <v>333</v>
      </c>
      <c r="L176" s="5" t="n">
        <v>2</v>
      </c>
      <c r="M176" s="5" t="n">
        <v>5</v>
      </c>
      <c r="N176" s="5" t="n">
        <v>9</v>
      </c>
      <c r="O176" s="5" t="n">
        <v>2</v>
      </c>
      <c r="P176" s="5" t="n">
        <v>3.5</v>
      </c>
      <c r="Q176" s="5" t="n">
        <v>-1.5</v>
      </c>
      <c r="R176" s="5" t="n">
        <v>7</v>
      </c>
      <c r="S176" s="5" t="n">
        <v>9</v>
      </c>
      <c r="T176" s="5" t="s">
        <v>477</v>
      </c>
      <c r="U176" s="6"/>
      <c r="V176" s="6"/>
      <c r="W176" s="6"/>
      <c r="X176" s="6"/>
      <c r="Y176" s="7" t="str">
        <f aca="false">IF(COUNT(U176:X176)=4,(W176-X176)/2,"")</f>
        <v/>
      </c>
      <c r="Z176" s="7" t="str">
        <f aca="false">IF(COUNT(U176:X176)=4,(U176-V176)/2,"")</f>
        <v/>
      </c>
      <c r="AA176" s="7" t="str">
        <f aca="false">IF(COUNT(U176:X176)=4,MAX(1,MIN(10,ROUNDUP(5-Z176,0))),"")</f>
        <v/>
      </c>
      <c r="AB176" s="7" t="str">
        <f aca="false">IF(COUNT(U176:X176)=4,MAX(1,MIN(10,ROUNDUP(Y176+5,0))),"")</f>
        <v/>
      </c>
      <c r="AC176" s="6"/>
      <c r="AD176" s="6"/>
    </row>
    <row r="177" customFormat="false" ht="15" hidden="false" customHeight="true" outlineLevel="0" collapsed="false">
      <c r="A177" s="5" t="n">
        <v>176</v>
      </c>
      <c r="B177" s="5" t="s">
        <v>478</v>
      </c>
      <c r="C177" s="5" t="s">
        <v>171</v>
      </c>
      <c r="D177" s="5" t="s">
        <v>172</v>
      </c>
      <c r="E177" s="5" t="n">
        <v>543</v>
      </c>
      <c r="F177" s="5" t="s">
        <v>479</v>
      </c>
      <c r="G177" s="5" t="n">
        <v>4</v>
      </c>
      <c r="H177" s="5" t="s">
        <v>53</v>
      </c>
      <c r="I177" s="5" t="s">
        <v>54</v>
      </c>
      <c r="J177" s="5" t="s">
        <v>181</v>
      </c>
      <c r="K177" s="5" t="s">
        <v>413</v>
      </c>
      <c r="L177" s="5" t="n">
        <v>5</v>
      </c>
      <c r="M177" s="5" t="n">
        <v>3</v>
      </c>
      <c r="N177" s="5" t="n">
        <v>3</v>
      </c>
      <c r="O177" s="5" t="n">
        <v>8</v>
      </c>
      <c r="P177" s="5" t="n">
        <v>-2.5</v>
      </c>
      <c r="Q177" s="5" t="n">
        <v>1</v>
      </c>
      <c r="R177" s="5" t="n">
        <v>4</v>
      </c>
      <c r="S177" s="5" t="n">
        <v>3</v>
      </c>
      <c r="T177" s="5" t="s">
        <v>110</v>
      </c>
      <c r="U177" s="6"/>
      <c r="V177" s="6"/>
      <c r="W177" s="6"/>
      <c r="X177" s="6"/>
      <c r="Y177" s="7" t="str">
        <f aca="false">IF(COUNT(U177:X177)=4,(W177-X177)/2,"")</f>
        <v/>
      </c>
      <c r="Z177" s="7" t="str">
        <f aca="false">IF(COUNT(U177:X177)=4,(U177-V177)/2,"")</f>
        <v/>
      </c>
      <c r="AA177" s="7" t="str">
        <f aca="false">IF(COUNT(U177:X177)=4,MAX(1,MIN(10,ROUNDUP(5-Z177,0))),"")</f>
        <v/>
      </c>
      <c r="AB177" s="7" t="str">
        <f aca="false">IF(COUNT(U177:X177)=4,MAX(1,MIN(10,ROUNDUP(Y177+5,0))),"")</f>
        <v/>
      </c>
      <c r="AC177" s="6"/>
      <c r="AD177" s="6"/>
    </row>
    <row r="178" customFormat="false" ht="15" hidden="false" customHeight="true" outlineLevel="0" collapsed="false">
      <c r="A178" s="5" t="n">
        <v>177</v>
      </c>
      <c r="B178" s="5" t="s">
        <v>480</v>
      </c>
      <c r="C178" s="5" t="s">
        <v>171</v>
      </c>
      <c r="D178" s="5" t="s">
        <v>172</v>
      </c>
      <c r="E178" s="5" t="n">
        <v>539</v>
      </c>
      <c r="F178" s="5" t="s">
        <v>481</v>
      </c>
      <c r="G178" s="5" t="n">
        <v>4</v>
      </c>
      <c r="H178" s="5" t="s">
        <v>53</v>
      </c>
      <c r="I178" s="5" t="s">
        <v>81</v>
      </c>
      <c r="J178" s="5" t="s">
        <v>174</v>
      </c>
      <c r="K178" s="5" t="s">
        <v>347</v>
      </c>
      <c r="L178" s="5" t="n">
        <v>5</v>
      </c>
      <c r="M178" s="5" t="n">
        <v>2</v>
      </c>
      <c r="N178" s="5" t="n">
        <v>9</v>
      </c>
      <c r="O178" s="5" t="n">
        <v>2</v>
      </c>
      <c r="P178" s="5" t="n">
        <v>3.5</v>
      </c>
      <c r="Q178" s="5" t="n">
        <v>1.5</v>
      </c>
      <c r="R178" s="5" t="n">
        <v>4</v>
      </c>
      <c r="S178" s="5" t="n">
        <v>9</v>
      </c>
      <c r="T178" s="5" t="s">
        <v>482</v>
      </c>
      <c r="U178" s="6"/>
      <c r="V178" s="6"/>
      <c r="W178" s="6"/>
      <c r="X178" s="6"/>
      <c r="Y178" s="7" t="str">
        <f aca="false">IF(COUNT(U178:X178)=4,(W178-X178)/2,"")</f>
        <v/>
      </c>
      <c r="Z178" s="7" t="str">
        <f aca="false">IF(COUNT(U178:X178)=4,(U178-V178)/2,"")</f>
        <v/>
      </c>
      <c r="AA178" s="7" t="str">
        <f aca="false">IF(COUNT(U178:X178)=4,MAX(1,MIN(10,ROUNDUP(5-Z178,0))),"")</f>
        <v/>
      </c>
      <c r="AB178" s="7" t="str">
        <f aca="false">IF(COUNT(U178:X178)=4,MAX(1,MIN(10,ROUNDUP(Y178+5,0))),"")</f>
        <v/>
      </c>
      <c r="AC178" s="6"/>
      <c r="AD178" s="6"/>
    </row>
    <row r="179" customFormat="false" ht="15" hidden="false" customHeight="true" outlineLevel="0" collapsed="false">
      <c r="A179" s="5" t="n">
        <v>178</v>
      </c>
      <c r="B179" s="5" t="s">
        <v>483</v>
      </c>
      <c r="C179" s="5" t="s">
        <v>145</v>
      </c>
      <c r="D179" s="5" t="s">
        <v>51</v>
      </c>
      <c r="E179" s="5" t="n">
        <v>538</v>
      </c>
      <c r="F179" s="5" t="s">
        <v>484</v>
      </c>
      <c r="G179" s="5" t="n">
        <v>4</v>
      </c>
      <c r="H179" s="5" t="s">
        <v>53</v>
      </c>
      <c r="I179" s="5" t="s">
        <v>54</v>
      </c>
      <c r="J179" s="5" t="s">
        <v>55</v>
      </c>
      <c r="K179" s="5" t="s">
        <v>55</v>
      </c>
      <c r="L179" s="5" t="n">
        <v>5</v>
      </c>
      <c r="M179" s="5" t="n">
        <v>2</v>
      </c>
      <c r="N179" s="5" t="n">
        <v>8</v>
      </c>
      <c r="O179" s="5" t="n">
        <v>2</v>
      </c>
      <c r="P179" s="5" t="n">
        <v>3</v>
      </c>
      <c r="Q179" s="5" t="n">
        <v>1.5</v>
      </c>
      <c r="R179" s="5" t="n">
        <v>4</v>
      </c>
      <c r="S179" s="5" t="n">
        <v>8</v>
      </c>
      <c r="T179" s="5" t="s">
        <v>485</v>
      </c>
      <c r="U179" s="6"/>
      <c r="V179" s="6"/>
      <c r="W179" s="6"/>
      <c r="X179" s="6"/>
      <c r="Y179" s="7" t="str">
        <f aca="false">IF(COUNT(U179:X179)=4,(W179-X179)/2,"")</f>
        <v/>
      </c>
      <c r="Z179" s="7" t="str">
        <f aca="false">IF(COUNT(U179:X179)=4,(U179-V179)/2,"")</f>
        <v/>
      </c>
      <c r="AA179" s="7" t="str">
        <f aca="false">IF(COUNT(U179:X179)=4,MAX(1,MIN(10,ROUNDUP(5-Z179,0))),"")</f>
        <v/>
      </c>
      <c r="AB179" s="7" t="str">
        <f aca="false">IF(COUNT(U179:X179)=4,MAX(1,MIN(10,ROUNDUP(Y179+5,0))),"")</f>
        <v/>
      </c>
      <c r="AC179" s="6"/>
      <c r="AD179" s="6"/>
    </row>
    <row r="180" customFormat="false" ht="15" hidden="false" customHeight="true" outlineLevel="0" collapsed="false">
      <c r="A180" s="5" t="n">
        <v>179</v>
      </c>
      <c r="B180" s="5" t="s">
        <v>486</v>
      </c>
      <c r="C180" s="5" t="s">
        <v>203</v>
      </c>
      <c r="D180" s="5" t="s">
        <v>204</v>
      </c>
      <c r="E180" s="5" t="n">
        <v>537</v>
      </c>
      <c r="F180" s="5" t="s">
        <v>487</v>
      </c>
      <c r="G180" s="5" t="n">
        <v>4</v>
      </c>
      <c r="H180" s="5" t="s">
        <v>53</v>
      </c>
      <c r="I180" s="5" t="s">
        <v>54</v>
      </c>
      <c r="J180" s="5" t="s">
        <v>117</v>
      </c>
      <c r="K180" s="5" t="s">
        <v>117</v>
      </c>
      <c r="L180" s="5" t="n">
        <v>4</v>
      </c>
      <c r="M180" s="5" t="n">
        <v>2</v>
      </c>
      <c r="N180" s="5" t="n">
        <v>8</v>
      </c>
      <c r="O180" s="5" t="n">
        <v>2</v>
      </c>
      <c r="P180" s="5" t="n">
        <v>3</v>
      </c>
      <c r="Q180" s="5" t="n">
        <v>1</v>
      </c>
      <c r="R180" s="5" t="n">
        <v>4</v>
      </c>
      <c r="S180" s="5" t="n">
        <v>8</v>
      </c>
      <c r="T180" s="5" t="s">
        <v>488</v>
      </c>
      <c r="U180" s="6"/>
      <c r="V180" s="6"/>
      <c r="W180" s="6"/>
      <c r="X180" s="6"/>
      <c r="Y180" s="7" t="str">
        <f aca="false">IF(COUNT(U180:X180)=4,(W180-X180)/2,"")</f>
        <v/>
      </c>
      <c r="Z180" s="7" t="str">
        <f aca="false">IF(COUNT(U180:X180)=4,(U180-V180)/2,"")</f>
        <v/>
      </c>
      <c r="AA180" s="7" t="str">
        <f aca="false">IF(COUNT(U180:X180)=4,MAX(1,MIN(10,ROUNDUP(5-Z180,0))),"")</f>
        <v/>
      </c>
      <c r="AB180" s="7" t="str">
        <f aca="false">IF(COUNT(U180:X180)=4,MAX(1,MIN(10,ROUNDUP(Y180+5,0))),"")</f>
        <v/>
      </c>
      <c r="AC180" s="6"/>
      <c r="AD180" s="6"/>
    </row>
    <row r="181" customFormat="false" ht="15" hidden="false" customHeight="true" outlineLevel="0" collapsed="false">
      <c r="A181" s="5" t="n">
        <v>180</v>
      </c>
      <c r="B181" s="5" t="s">
        <v>489</v>
      </c>
      <c r="C181" s="5" t="s">
        <v>171</v>
      </c>
      <c r="D181" s="5" t="s">
        <v>172</v>
      </c>
      <c r="E181" s="5" t="n">
        <v>536</v>
      </c>
      <c r="F181" s="5" t="s">
        <v>490</v>
      </c>
      <c r="G181" s="5" t="n">
        <v>4</v>
      </c>
      <c r="H181" s="5" t="s">
        <v>53</v>
      </c>
      <c r="I181" s="5" t="s">
        <v>81</v>
      </c>
      <c r="J181" s="5" t="s">
        <v>174</v>
      </c>
      <c r="K181" s="5" t="s">
        <v>347</v>
      </c>
      <c r="L181" s="5" t="n">
        <v>7</v>
      </c>
      <c r="M181" s="5" t="n">
        <v>2</v>
      </c>
      <c r="N181" s="5" t="n">
        <v>9</v>
      </c>
      <c r="O181" s="5" t="n">
        <v>2</v>
      </c>
      <c r="P181" s="5" t="n">
        <v>3.5</v>
      </c>
      <c r="Q181" s="5" t="n">
        <v>2.5</v>
      </c>
      <c r="R181" s="5" t="n">
        <v>3</v>
      </c>
      <c r="S181" s="5" t="n">
        <v>9</v>
      </c>
      <c r="T181" s="5" t="s">
        <v>491</v>
      </c>
      <c r="U181" s="6"/>
      <c r="V181" s="6"/>
      <c r="W181" s="6"/>
      <c r="X181" s="6"/>
      <c r="Y181" s="7" t="str">
        <f aca="false">IF(COUNT(U181:X181)=4,(W181-X181)/2,"")</f>
        <v/>
      </c>
      <c r="Z181" s="7" t="str">
        <f aca="false">IF(COUNT(U181:X181)=4,(U181-V181)/2,"")</f>
        <v/>
      </c>
      <c r="AA181" s="7" t="str">
        <f aca="false">IF(COUNT(U181:X181)=4,MAX(1,MIN(10,ROUNDUP(5-Z181,0))),"")</f>
        <v/>
      </c>
      <c r="AB181" s="7" t="str">
        <f aca="false">IF(COUNT(U181:X181)=4,MAX(1,MIN(10,ROUNDUP(Y181+5,0))),"")</f>
        <v/>
      </c>
      <c r="AC181" s="6"/>
      <c r="AD181" s="6"/>
    </row>
    <row r="182" customFormat="false" ht="15" hidden="false" customHeight="true" outlineLevel="0" collapsed="false">
      <c r="A182" s="5" t="n">
        <v>181</v>
      </c>
      <c r="B182" s="5" t="s">
        <v>492</v>
      </c>
      <c r="C182" s="5" t="s">
        <v>145</v>
      </c>
      <c r="D182" s="5" t="s">
        <v>51</v>
      </c>
      <c r="E182" s="5" t="n">
        <v>536</v>
      </c>
      <c r="F182" s="5" t="s">
        <v>493</v>
      </c>
      <c r="G182" s="5" t="n">
        <v>4</v>
      </c>
      <c r="H182" s="5" t="s">
        <v>53</v>
      </c>
      <c r="I182" s="5" t="s">
        <v>54</v>
      </c>
      <c r="J182" s="5" t="s">
        <v>55</v>
      </c>
      <c r="K182" s="5" t="s">
        <v>55</v>
      </c>
      <c r="L182" s="5" t="n">
        <v>4</v>
      </c>
      <c r="M182" s="5" t="n">
        <v>3</v>
      </c>
      <c r="N182" s="5" t="n">
        <v>3</v>
      </c>
      <c r="O182" s="5" t="n">
        <v>6</v>
      </c>
      <c r="P182" s="5" t="n">
        <v>-1.5</v>
      </c>
      <c r="Q182" s="5" t="n">
        <v>0.5</v>
      </c>
      <c r="R182" s="5" t="n">
        <v>5</v>
      </c>
      <c r="S182" s="5" t="n">
        <v>4</v>
      </c>
      <c r="T182" s="5" t="s">
        <v>494</v>
      </c>
      <c r="U182" s="6"/>
      <c r="V182" s="6"/>
      <c r="W182" s="6"/>
      <c r="X182" s="6"/>
      <c r="Y182" s="7" t="str">
        <f aca="false">IF(COUNT(U182:X182)=4,(W182-X182)/2,"")</f>
        <v/>
      </c>
      <c r="Z182" s="7" t="str">
        <f aca="false">IF(COUNT(U182:X182)=4,(U182-V182)/2,"")</f>
        <v/>
      </c>
      <c r="AA182" s="7" t="str">
        <f aca="false">IF(COUNT(U182:X182)=4,MAX(1,MIN(10,ROUNDUP(5-Z182,0))),"")</f>
        <v/>
      </c>
      <c r="AB182" s="7" t="str">
        <f aca="false">IF(COUNT(U182:X182)=4,MAX(1,MIN(10,ROUNDUP(Y182+5,0))),"")</f>
        <v/>
      </c>
      <c r="AC182" s="6"/>
      <c r="AD182" s="6"/>
    </row>
    <row r="183" customFormat="false" ht="15" hidden="false" customHeight="true" outlineLevel="0" collapsed="false">
      <c r="A183" s="5" t="n">
        <v>182</v>
      </c>
      <c r="B183" s="5" t="s">
        <v>495</v>
      </c>
      <c r="C183" s="5" t="s">
        <v>203</v>
      </c>
      <c r="D183" s="5" t="s">
        <v>204</v>
      </c>
      <c r="E183" s="5" t="n">
        <v>534</v>
      </c>
      <c r="F183" s="5" t="s">
        <v>496</v>
      </c>
      <c r="G183" s="5" t="n">
        <v>4</v>
      </c>
      <c r="H183" s="5" t="s">
        <v>53</v>
      </c>
      <c r="I183" s="5" t="s">
        <v>54</v>
      </c>
      <c r="J183" s="5" t="s">
        <v>117</v>
      </c>
      <c r="K183" s="5" t="s">
        <v>117</v>
      </c>
      <c r="L183" s="5" t="n">
        <v>3</v>
      </c>
      <c r="M183" s="5" t="n">
        <v>2</v>
      </c>
      <c r="N183" s="5" t="n">
        <v>2</v>
      </c>
      <c r="O183" s="5" t="n">
        <v>7</v>
      </c>
      <c r="P183" s="5" t="n">
        <v>-2.5</v>
      </c>
      <c r="Q183" s="5" t="n">
        <v>0.5</v>
      </c>
      <c r="R183" s="5" t="n">
        <v>5</v>
      </c>
      <c r="S183" s="5" t="n">
        <v>3</v>
      </c>
      <c r="T183" s="5" t="s">
        <v>497</v>
      </c>
      <c r="U183" s="6"/>
      <c r="V183" s="6"/>
      <c r="W183" s="6"/>
      <c r="X183" s="6"/>
      <c r="Y183" s="7" t="str">
        <f aca="false">IF(COUNT(U183:X183)=4,(W183-X183)/2,"")</f>
        <v/>
      </c>
      <c r="Z183" s="7" t="str">
        <f aca="false">IF(COUNT(U183:X183)=4,(U183-V183)/2,"")</f>
        <v/>
      </c>
      <c r="AA183" s="7" t="str">
        <f aca="false">IF(COUNT(U183:X183)=4,MAX(1,MIN(10,ROUNDUP(5-Z183,0))),"")</f>
        <v/>
      </c>
      <c r="AB183" s="7" t="str">
        <f aca="false">IF(COUNT(U183:X183)=4,MAX(1,MIN(10,ROUNDUP(Y183+5,0))),"")</f>
        <v/>
      </c>
      <c r="AC183" s="6"/>
      <c r="AD183" s="6"/>
    </row>
    <row r="184" customFormat="false" ht="15" hidden="false" customHeight="true" outlineLevel="0" collapsed="false">
      <c r="A184" s="5" t="n">
        <v>183</v>
      </c>
      <c r="B184" s="5" t="s">
        <v>498</v>
      </c>
      <c r="C184" s="5" t="s">
        <v>171</v>
      </c>
      <c r="D184" s="5" t="s">
        <v>172</v>
      </c>
      <c r="E184" s="5" t="n">
        <v>534</v>
      </c>
      <c r="F184" s="5" t="s">
        <v>499</v>
      </c>
      <c r="G184" s="5" t="n">
        <v>4</v>
      </c>
      <c r="H184" s="5" t="s">
        <v>53</v>
      </c>
      <c r="I184" s="5" t="s">
        <v>54</v>
      </c>
      <c r="J184" s="5" t="s">
        <v>181</v>
      </c>
      <c r="K184" s="5" t="s">
        <v>413</v>
      </c>
      <c r="L184" s="5" t="n">
        <v>5</v>
      </c>
      <c r="M184" s="5" t="n">
        <v>3</v>
      </c>
      <c r="N184" s="5" t="n">
        <v>3</v>
      </c>
      <c r="O184" s="5" t="n">
        <v>8</v>
      </c>
      <c r="P184" s="5" t="n">
        <v>-2.5</v>
      </c>
      <c r="Q184" s="5" t="n">
        <v>1</v>
      </c>
      <c r="R184" s="5" t="n">
        <v>4</v>
      </c>
      <c r="S184" s="5" t="n">
        <v>3</v>
      </c>
      <c r="T184" s="5" t="s">
        <v>500</v>
      </c>
      <c r="U184" s="6"/>
      <c r="V184" s="6"/>
      <c r="W184" s="6"/>
      <c r="X184" s="6"/>
      <c r="Y184" s="7" t="str">
        <f aca="false">IF(COUNT(U184:X184)=4,(W184-X184)/2,"")</f>
        <v/>
      </c>
      <c r="Z184" s="7" t="str">
        <f aca="false">IF(COUNT(U184:X184)=4,(U184-V184)/2,"")</f>
        <v/>
      </c>
      <c r="AA184" s="7" t="str">
        <f aca="false">IF(COUNT(U184:X184)=4,MAX(1,MIN(10,ROUNDUP(5-Z184,0))),"")</f>
        <v/>
      </c>
      <c r="AB184" s="7" t="str">
        <f aca="false">IF(COUNT(U184:X184)=4,MAX(1,MIN(10,ROUNDUP(Y184+5,0))),"")</f>
        <v/>
      </c>
      <c r="AC184" s="6"/>
      <c r="AD184" s="6"/>
    </row>
    <row r="185" customFormat="false" ht="15" hidden="false" customHeight="true" outlineLevel="0" collapsed="false">
      <c r="A185" s="5" t="n">
        <v>184</v>
      </c>
      <c r="B185" s="5" t="s">
        <v>501</v>
      </c>
      <c r="C185" s="5" t="s">
        <v>171</v>
      </c>
      <c r="D185" s="5" t="s">
        <v>172</v>
      </c>
      <c r="E185" s="5" t="n">
        <v>531</v>
      </c>
      <c r="F185" s="5" t="s">
        <v>502</v>
      </c>
      <c r="G185" s="5" t="n">
        <v>4</v>
      </c>
      <c r="H185" s="5" t="s">
        <v>53</v>
      </c>
      <c r="I185" s="5" t="s">
        <v>81</v>
      </c>
      <c r="J185" s="5" t="s">
        <v>174</v>
      </c>
      <c r="K185" s="5" t="s">
        <v>347</v>
      </c>
      <c r="L185" s="5" t="n">
        <v>5</v>
      </c>
      <c r="M185" s="5" t="n">
        <v>2</v>
      </c>
      <c r="N185" s="5" t="n">
        <v>10</v>
      </c>
      <c r="O185" s="5" t="n">
        <v>1</v>
      </c>
      <c r="P185" s="5" t="n">
        <v>4.5</v>
      </c>
      <c r="Q185" s="5" t="n">
        <v>1.5</v>
      </c>
      <c r="R185" s="5" t="n">
        <v>4</v>
      </c>
      <c r="S185" s="5" t="n">
        <v>10</v>
      </c>
      <c r="T185" s="5" t="s">
        <v>503</v>
      </c>
      <c r="U185" s="6"/>
      <c r="V185" s="6"/>
      <c r="W185" s="6"/>
      <c r="X185" s="6"/>
      <c r="Y185" s="7" t="str">
        <f aca="false">IF(COUNT(U185:X185)=4,(W185-X185)/2,"")</f>
        <v/>
      </c>
      <c r="Z185" s="7" t="str">
        <f aca="false">IF(COUNT(U185:X185)=4,(U185-V185)/2,"")</f>
        <v/>
      </c>
      <c r="AA185" s="7" t="str">
        <f aca="false">IF(COUNT(U185:X185)=4,MAX(1,MIN(10,ROUNDUP(5-Z185,0))),"")</f>
        <v/>
      </c>
      <c r="AB185" s="7" t="str">
        <f aca="false">IF(COUNT(U185:X185)=4,MAX(1,MIN(10,ROUNDUP(Y185+5,0))),"")</f>
        <v/>
      </c>
      <c r="AC185" s="6"/>
      <c r="AD185" s="6"/>
    </row>
    <row r="186" customFormat="false" ht="15" hidden="false" customHeight="true" outlineLevel="0" collapsed="false">
      <c r="A186" s="5" t="n">
        <v>185</v>
      </c>
      <c r="B186" s="5" t="s">
        <v>504</v>
      </c>
      <c r="C186" s="5" t="s">
        <v>145</v>
      </c>
      <c r="D186" s="5" t="s">
        <v>51</v>
      </c>
      <c r="E186" s="5" t="n">
        <v>528</v>
      </c>
      <c r="F186" s="5" t="s">
        <v>505</v>
      </c>
      <c r="G186" s="5" t="n">
        <v>4</v>
      </c>
      <c r="H186" s="5" t="s">
        <v>53</v>
      </c>
      <c r="I186" s="5" t="s">
        <v>54</v>
      </c>
      <c r="J186" s="5" t="s">
        <v>55</v>
      </c>
      <c r="K186" s="5" t="s">
        <v>55</v>
      </c>
      <c r="L186" s="5" t="n">
        <v>4</v>
      </c>
      <c r="M186" s="5" t="n">
        <v>3</v>
      </c>
      <c r="N186" s="5" t="n">
        <v>3</v>
      </c>
      <c r="O186" s="5" t="n">
        <v>6</v>
      </c>
      <c r="P186" s="5" t="n">
        <v>-1.5</v>
      </c>
      <c r="Q186" s="5" t="n">
        <v>0.5</v>
      </c>
      <c r="R186" s="5" t="n">
        <v>5</v>
      </c>
      <c r="S186" s="5" t="n">
        <v>4</v>
      </c>
      <c r="T186" s="5" t="s">
        <v>506</v>
      </c>
      <c r="U186" s="6"/>
      <c r="V186" s="6"/>
      <c r="W186" s="6"/>
      <c r="X186" s="6"/>
      <c r="Y186" s="7" t="str">
        <f aca="false">IF(COUNT(U186:X186)=4,(W186-X186)/2,"")</f>
        <v/>
      </c>
      <c r="Z186" s="7" t="str">
        <f aca="false">IF(COUNT(U186:X186)=4,(U186-V186)/2,"")</f>
        <v/>
      </c>
      <c r="AA186" s="7" t="str">
        <f aca="false">IF(COUNT(U186:X186)=4,MAX(1,MIN(10,ROUNDUP(5-Z186,0))),"")</f>
        <v/>
      </c>
      <c r="AB186" s="7" t="str">
        <f aca="false">IF(COUNT(U186:X186)=4,MAX(1,MIN(10,ROUNDUP(Y186+5,0))),"")</f>
        <v/>
      </c>
      <c r="AC186" s="6"/>
      <c r="AD186" s="6"/>
    </row>
    <row r="187" customFormat="false" ht="15" hidden="false" customHeight="true" outlineLevel="0" collapsed="false">
      <c r="A187" s="5" t="n">
        <v>186</v>
      </c>
      <c r="B187" s="5" t="s">
        <v>507</v>
      </c>
      <c r="C187" s="5" t="s">
        <v>171</v>
      </c>
      <c r="D187" s="5" t="s">
        <v>172</v>
      </c>
      <c r="E187" s="5" t="n">
        <v>527</v>
      </c>
      <c r="F187" s="5" t="s">
        <v>508</v>
      </c>
      <c r="G187" s="5" t="n">
        <v>4</v>
      </c>
      <c r="H187" s="5" t="s">
        <v>53</v>
      </c>
      <c r="I187" s="5" t="s">
        <v>54</v>
      </c>
      <c r="J187" s="5" t="s">
        <v>181</v>
      </c>
      <c r="K187" s="5" t="s">
        <v>235</v>
      </c>
      <c r="L187" s="5" t="n">
        <v>4</v>
      </c>
      <c r="M187" s="5" t="n">
        <v>4</v>
      </c>
      <c r="N187" s="5" t="n">
        <v>7</v>
      </c>
      <c r="O187" s="5" t="n">
        <v>4</v>
      </c>
      <c r="P187" s="5" t="n">
        <v>1.5</v>
      </c>
      <c r="Q187" s="5" t="n">
        <v>0</v>
      </c>
      <c r="R187" s="5" t="n">
        <v>5</v>
      </c>
      <c r="S187" s="5" t="n">
        <v>7</v>
      </c>
      <c r="T187" s="5" t="s">
        <v>509</v>
      </c>
      <c r="U187" s="6"/>
      <c r="V187" s="6"/>
      <c r="W187" s="6"/>
      <c r="X187" s="6"/>
      <c r="Y187" s="7" t="str">
        <f aca="false">IF(COUNT(U187:X187)=4,(W187-X187)/2,"")</f>
        <v/>
      </c>
      <c r="Z187" s="7" t="str">
        <f aca="false">IF(COUNT(U187:X187)=4,(U187-V187)/2,"")</f>
        <v/>
      </c>
      <c r="AA187" s="7" t="str">
        <f aca="false">IF(COUNT(U187:X187)=4,MAX(1,MIN(10,ROUNDUP(5-Z187,0))),"")</f>
        <v/>
      </c>
      <c r="AB187" s="7" t="str">
        <f aca="false">IF(COUNT(U187:X187)=4,MAX(1,MIN(10,ROUNDUP(Y187+5,0))),"")</f>
        <v/>
      </c>
      <c r="AC187" s="6"/>
      <c r="AD187" s="6"/>
    </row>
    <row r="188" customFormat="false" ht="15" hidden="false" customHeight="true" outlineLevel="0" collapsed="false">
      <c r="A188" s="5" t="n">
        <v>187</v>
      </c>
      <c r="B188" s="5" t="s">
        <v>309</v>
      </c>
      <c r="C188" s="5" t="s">
        <v>171</v>
      </c>
      <c r="D188" s="5" t="s">
        <v>172</v>
      </c>
      <c r="E188" s="5" t="n">
        <v>524</v>
      </c>
      <c r="F188" s="5" t="s">
        <v>510</v>
      </c>
      <c r="G188" s="5" t="n">
        <v>4</v>
      </c>
      <c r="H188" s="5" t="s">
        <v>53</v>
      </c>
      <c r="I188" s="5" t="s">
        <v>54</v>
      </c>
      <c r="J188" s="5" t="s">
        <v>181</v>
      </c>
      <c r="K188" s="5" t="s">
        <v>511</v>
      </c>
      <c r="L188" s="5" t="n">
        <v>2</v>
      </c>
      <c r="M188" s="5" t="n">
        <v>6</v>
      </c>
      <c r="N188" s="5" t="n">
        <v>5</v>
      </c>
      <c r="O188" s="5" t="n">
        <v>5</v>
      </c>
      <c r="P188" s="5" t="n">
        <v>0</v>
      </c>
      <c r="Q188" s="5" t="n">
        <v>-2</v>
      </c>
      <c r="R188" s="5" t="n">
        <v>7</v>
      </c>
      <c r="S188" s="5" t="n">
        <v>5</v>
      </c>
      <c r="T188" s="5" t="s">
        <v>214</v>
      </c>
      <c r="U188" s="6"/>
      <c r="V188" s="6"/>
      <c r="W188" s="6"/>
      <c r="X188" s="6"/>
      <c r="Y188" s="7" t="str">
        <f aca="false">IF(COUNT(U188:X188)=4,(W188-X188)/2,"")</f>
        <v/>
      </c>
      <c r="Z188" s="7" t="str">
        <f aca="false">IF(COUNT(U188:X188)=4,(U188-V188)/2,"")</f>
        <v/>
      </c>
      <c r="AA188" s="7" t="str">
        <f aca="false">IF(COUNT(U188:X188)=4,MAX(1,MIN(10,ROUNDUP(5-Z188,0))),"")</f>
        <v/>
      </c>
      <c r="AB188" s="7" t="str">
        <f aca="false">IF(COUNT(U188:X188)=4,MAX(1,MIN(10,ROUNDUP(Y188+5,0))),"")</f>
        <v/>
      </c>
      <c r="AC188" s="6"/>
      <c r="AD188" s="6"/>
    </row>
    <row r="189" customFormat="false" ht="15" hidden="false" customHeight="true" outlineLevel="0" collapsed="false">
      <c r="A189" s="5" t="n">
        <v>188</v>
      </c>
      <c r="B189" s="5" t="s">
        <v>512</v>
      </c>
      <c r="C189" s="5" t="s">
        <v>145</v>
      </c>
      <c r="D189" s="5" t="s">
        <v>51</v>
      </c>
      <c r="E189" s="5" t="n">
        <v>524</v>
      </c>
      <c r="F189" s="5" t="s">
        <v>513</v>
      </c>
      <c r="G189" s="5" t="n">
        <v>4</v>
      </c>
      <c r="H189" s="5" t="s">
        <v>53</v>
      </c>
      <c r="I189" s="5" t="s">
        <v>54</v>
      </c>
      <c r="J189" s="5" t="s">
        <v>55</v>
      </c>
      <c r="K189" s="5" t="s">
        <v>55</v>
      </c>
      <c r="L189" s="5" t="n">
        <v>4</v>
      </c>
      <c r="M189" s="5" t="n">
        <v>3</v>
      </c>
      <c r="N189" s="5" t="n">
        <v>9</v>
      </c>
      <c r="O189" s="5" t="n">
        <v>2</v>
      </c>
      <c r="P189" s="5" t="n">
        <v>3.5</v>
      </c>
      <c r="Q189" s="5" t="n">
        <v>0.5</v>
      </c>
      <c r="R189" s="5" t="n">
        <v>5</v>
      </c>
      <c r="S189" s="5" t="n">
        <v>9</v>
      </c>
      <c r="T189" s="5" t="s">
        <v>155</v>
      </c>
      <c r="U189" s="6"/>
      <c r="V189" s="6"/>
      <c r="W189" s="6"/>
      <c r="X189" s="6"/>
      <c r="Y189" s="7" t="str">
        <f aca="false">IF(COUNT(U189:X189)=4,(W189-X189)/2,"")</f>
        <v/>
      </c>
      <c r="Z189" s="7" t="str">
        <f aca="false">IF(COUNT(U189:X189)=4,(U189-V189)/2,"")</f>
        <v/>
      </c>
      <c r="AA189" s="7" t="str">
        <f aca="false">IF(COUNT(U189:X189)=4,MAX(1,MIN(10,ROUNDUP(5-Z189,0))),"")</f>
        <v/>
      </c>
      <c r="AB189" s="7" t="str">
        <f aca="false">IF(COUNT(U189:X189)=4,MAX(1,MIN(10,ROUNDUP(Y189+5,0))),"")</f>
        <v/>
      </c>
      <c r="AC189" s="6"/>
      <c r="AD189" s="6"/>
    </row>
    <row r="190" customFormat="false" ht="15" hidden="false" customHeight="true" outlineLevel="0" collapsed="false">
      <c r="A190" s="5" t="n">
        <v>189</v>
      </c>
      <c r="B190" s="5" t="s">
        <v>514</v>
      </c>
      <c r="C190" s="5" t="s">
        <v>145</v>
      </c>
      <c r="D190" s="5" t="s">
        <v>51</v>
      </c>
      <c r="E190" s="5" t="n">
        <v>521</v>
      </c>
      <c r="F190" s="5" t="s">
        <v>515</v>
      </c>
      <c r="G190" s="5" t="n">
        <v>4</v>
      </c>
      <c r="H190" s="5" t="s">
        <v>53</v>
      </c>
      <c r="I190" s="5" t="s">
        <v>54</v>
      </c>
      <c r="J190" s="5" t="s">
        <v>117</v>
      </c>
      <c r="K190" s="5" t="s">
        <v>117</v>
      </c>
      <c r="L190" s="5" t="n">
        <v>3</v>
      </c>
      <c r="M190" s="5" t="n">
        <v>3</v>
      </c>
      <c r="N190" s="5" t="n">
        <v>7</v>
      </c>
      <c r="O190" s="5" t="n">
        <v>3</v>
      </c>
      <c r="P190" s="5" t="n">
        <v>2</v>
      </c>
      <c r="Q190" s="5" t="n">
        <v>0</v>
      </c>
      <c r="R190" s="5" t="n">
        <v>5</v>
      </c>
      <c r="S190" s="5" t="n">
        <v>7</v>
      </c>
      <c r="T190" s="5" t="s">
        <v>516</v>
      </c>
      <c r="U190" s="6"/>
      <c r="V190" s="6"/>
      <c r="W190" s="6"/>
      <c r="X190" s="6"/>
      <c r="Y190" s="7" t="str">
        <f aca="false">IF(COUNT(U190:X190)=4,(W190-X190)/2,"")</f>
        <v/>
      </c>
      <c r="Z190" s="7" t="str">
        <f aca="false">IF(COUNT(U190:X190)=4,(U190-V190)/2,"")</f>
        <v/>
      </c>
      <c r="AA190" s="7" t="str">
        <f aca="false">IF(COUNT(U190:X190)=4,MAX(1,MIN(10,ROUNDUP(5-Z190,0))),"")</f>
        <v/>
      </c>
      <c r="AB190" s="7" t="str">
        <f aca="false">IF(COUNT(U190:X190)=4,MAX(1,MIN(10,ROUNDUP(Y190+5,0))),"")</f>
        <v/>
      </c>
      <c r="AC190" s="6"/>
      <c r="AD190" s="6"/>
    </row>
    <row r="191" customFormat="false" ht="15" hidden="false" customHeight="true" outlineLevel="0" collapsed="false">
      <c r="A191" s="5" t="n">
        <v>190</v>
      </c>
      <c r="B191" s="5" t="s">
        <v>517</v>
      </c>
      <c r="C191" s="5" t="s">
        <v>145</v>
      </c>
      <c r="D191" s="5" t="s">
        <v>51</v>
      </c>
      <c r="E191" s="5" t="n">
        <v>521</v>
      </c>
      <c r="F191" s="5" t="s">
        <v>518</v>
      </c>
      <c r="G191" s="5" t="n">
        <v>4</v>
      </c>
      <c r="H191" s="5" t="s">
        <v>53</v>
      </c>
      <c r="I191" s="5" t="s">
        <v>54</v>
      </c>
      <c r="J191" s="5" t="s">
        <v>55</v>
      </c>
      <c r="K191" s="5" t="s">
        <v>55</v>
      </c>
      <c r="L191" s="5" t="n">
        <v>5</v>
      </c>
      <c r="M191" s="5" t="n">
        <v>2</v>
      </c>
      <c r="N191" s="5" t="n">
        <v>10</v>
      </c>
      <c r="O191" s="5" t="n">
        <v>1</v>
      </c>
      <c r="P191" s="5" t="n">
        <v>4.5</v>
      </c>
      <c r="Q191" s="5" t="n">
        <v>1.5</v>
      </c>
      <c r="R191" s="5" t="n">
        <v>4</v>
      </c>
      <c r="S191" s="5" t="n">
        <v>10</v>
      </c>
      <c r="T191" s="5" t="s">
        <v>519</v>
      </c>
      <c r="U191" s="6"/>
      <c r="V191" s="6"/>
      <c r="W191" s="6"/>
      <c r="X191" s="6"/>
      <c r="Y191" s="7" t="str">
        <f aca="false">IF(COUNT(U191:X191)=4,(W191-X191)/2,"")</f>
        <v/>
      </c>
      <c r="Z191" s="7" t="str">
        <f aca="false">IF(COUNT(U191:X191)=4,(U191-V191)/2,"")</f>
        <v/>
      </c>
      <c r="AA191" s="7" t="str">
        <f aca="false">IF(COUNT(U191:X191)=4,MAX(1,MIN(10,ROUNDUP(5-Z191,0))),"")</f>
        <v/>
      </c>
      <c r="AB191" s="7" t="str">
        <f aca="false">IF(COUNT(U191:X191)=4,MAX(1,MIN(10,ROUNDUP(Y191+5,0))),"")</f>
        <v/>
      </c>
      <c r="AC191" s="6"/>
      <c r="AD191" s="6"/>
    </row>
    <row r="192" customFormat="false" ht="15" hidden="false" customHeight="true" outlineLevel="0" collapsed="false">
      <c r="A192" s="5" t="n">
        <v>191</v>
      </c>
      <c r="B192" s="5" t="s">
        <v>520</v>
      </c>
      <c r="C192" s="5" t="s">
        <v>171</v>
      </c>
      <c r="D192" s="5" t="s">
        <v>172</v>
      </c>
      <c r="E192" s="5" t="n">
        <v>514</v>
      </c>
      <c r="F192" s="5" t="s">
        <v>521</v>
      </c>
      <c r="G192" s="5" t="n">
        <v>4</v>
      </c>
      <c r="H192" s="5" t="s">
        <v>53</v>
      </c>
      <c r="I192" s="5" t="s">
        <v>54</v>
      </c>
      <c r="J192" s="5" t="s">
        <v>181</v>
      </c>
      <c r="K192" s="5" t="s">
        <v>413</v>
      </c>
      <c r="L192" s="5" t="n">
        <v>5</v>
      </c>
      <c r="M192" s="5" t="n">
        <v>3</v>
      </c>
      <c r="N192" s="5" t="n">
        <v>3</v>
      </c>
      <c r="O192" s="5" t="n">
        <v>8</v>
      </c>
      <c r="P192" s="5" t="n">
        <v>-2.5</v>
      </c>
      <c r="Q192" s="5" t="n">
        <v>1</v>
      </c>
      <c r="R192" s="5" t="n">
        <v>4</v>
      </c>
      <c r="S192" s="5" t="n">
        <v>3</v>
      </c>
      <c r="T192" s="5" t="s">
        <v>522</v>
      </c>
      <c r="U192" s="6"/>
      <c r="V192" s="6"/>
      <c r="W192" s="6"/>
      <c r="X192" s="6"/>
      <c r="Y192" s="7" t="str">
        <f aca="false">IF(COUNT(U192:X192)=4,(W192-X192)/2,"")</f>
        <v/>
      </c>
      <c r="Z192" s="7" t="str">
        <f aca="false">IF(COUNT(U192:X192)=4,(U192-V192)/2,"")</f>
        <v/>
      </c>
      <c r="AA192" s="7" t="str">
        <f aca="false">IF(COUNT(U192:X192)=4,MAX(1,MIN(10,ROUNDUP(5-Z192,0))),"")</f>
        <v/>
      </c>
      <c r="AB192" s="7" t="str">
        <f aca="false">IF(COUNT(U192:X192)=4,MAX(1,MIN(10,ROUNDUP(Y192+5,0))),"")</f>
        <v/>
      </c>
      <c r="AC192" s="6"/>
      <c r="AD192" s="6"/>
    </row>
    <row r="193" customFormat="false" ht="15" hidden="false" customHeight="true" outlineLevel="0" collapsed="false">
      <c r="A193" s="5" t="n">
        <v>192</v>
      </c>
      <c r="B193" s="5" t="s">
        <v>523</v>
      </c>
      <c r="C193" s="5" t="s">
        <v>171</v>
      </c>
      <c r="D193" s="5" t="s">
        <v>172</v>
      </c>
      <c r="E193" s="5" t="n">
        <v>514</v>
      </c>
      <c r="F193" s="5" t="s">
        <v>524</v>
      </c>
      <c r="G193" s="5" t="n">
        <v>4</v>
      </c>
      <c r="H193" s="5" t="s">
        <v>53</v>
      </c>
      <c r="I193" s="5" t="s">
        <v>54</v>
      </c>
      <c r="J193" s="5" t="s">
        <v>181</v>
      </c>
      <c r="K193" s="5" t="s">
        <v>309</v>
      </c>
      <c r="L193" s="5" t="n">
        <v>2</v>
      </c>
      <c r="M193" s="5" t="n">
        <v>5</v>
      </c>
      <c r="N193" s="5" t="n">
        <v>5</v>
      </c>
      <c r="O193" s="5" t="n">
        <v>4</v>
      </c>
      <c r="P193" s="5" t="n">
        <v>0.5</v>
      </c>
      <c r="Q193" s="5" t="n">
        <v>-1.5</v>
      </c>
      <c r="R193" s="5" t="n">
        <v>7</v>
      </c>
      <c r="S193" s="5" t="n">
        <v>6</v>
      </c>
      <c r="T193" s="5" t="s">
        <v>525</v>
      </c>
      <c r="U193" s="6"/>
      <c r="V193" s="6"/>
      <c r="W193" s="6"/>
      <c r="X193" s="6"/>
      <c r="Y193" s="7" t="str">
        <f aca="false">IF(COUNT(U193:X193)=4,(W193-X193)/2,"")</f>
        <v/>
      </c>
      <c r="Z193" s="7" t="str">
        <f aca="false">IF(COUNT(U193:X193)=4,(U193-V193)/2,"")</f>
        <v/>
      </c>
      <c r="AA193" s="7" t="str">
        <f aca="false">IF(COUNT(U193:X193)=4,MAX(1,MIN(10,ROUNDUP(5-Z193,0))),"")</f>
        <v/>
      </c>
      <c r="AB193" s="7" t="str">
        <f aca="false">IF(COUNT(U193:X193)=4,MAX(1,MIN(10,ROUNDUP(Y193+5,0))),"")</f>
        <v/>
      </c>
      <c r="AC193" s="6"/>
      <c r="AD193" s="6"/>
    </row>
    <row r="194" customFormat="false" ht="15" hidden="false" customHeight="true" outlineLevel="0" collapsed="false">
      <c r="A194" s="5" t="n">
        <v>193</v>
      </c>
      <c r="B194" s="5" t="s">
        <v>526</v>
      </c>
      <c r="C194" s="5" t="s">
        <v>171</v>
      </c>
      <c r="D194" s="5" t="s">
        <v>172</v>
      </c>
      <c r="E194" s="5" t="n">
        <v>511</v>
      </c>
      <c r="F194" s="5" t="s">
        <v>527</v>
      </c>
      <c r="G194" s="5" t="n">
        <v>4</v>
      </c>
      <c r="H194" s="5" t="s">
        <v>53</v>
      </c>
      <c r="I194" s="5" t="s">
        <v>54</v>
      </c>
      <c r="J194" s="5" t="s">
        <v>181</v>
      </c>
      <c r="K194" s="5" t="s">
        <v>182</v>
      </c>
      <c r="L194" s="5" t="n">
        <v>2</v>
      </c>
      <c r="M194" s="5" t="n">
        <v>6</v>
      </c>
      <c r="N194" s="5" t="n">
        <v>7</v>
      </c>
      <c r="O194" s="5" t="n">
        <v>3</v>
      </c>
      <c r="P194" s="5" t="n">
        <v>2</v>
      </c>
      <c r="Q194" s="5" t="n">
        <v>-2</v>
      </c>
      <c r="R194" s="5" t="n">
        <v>7</v>
      </c>
      <c r="S194" s="5" t="n">
        <v>7</v>
      </c>
      <c r="T194" s="5" t="s">
        <v>528</v>
      </c>
      <c r="U194" s="6"/>
      <c r="V194" s="6"/>
      <c r="W194" s="6"/>
      <c r="X194" s="6"/>
      <c r="Y194" s="7" t="str">
        <f aca="false">IF(COUNT(U194:X194)=4,(W194-X194)/2,"")</f>
        <v/>
      </c>
      <c r="Z194" s="7" t="str">
        <f aca="false">IF(COUNT(U194:X194)=4,(U194-V194)/2,"")</f>
        <v/>
      </c>
      <c r="AA194" s="7" t="str">
        <f aca="false">IF(COUNT(U194:X194)=4,MAX(1,MIN(10,ROUNDUP(5-Z194,0))),"")</f>
        <v/>
      </c>
      <c r="AB194" s="7" t="str">
        <f aca="false">IF(COUNT(U194:X194)=4,MAX(1,MIN(10,ROUNDUP(Y194+5,0))),"")</f>
        <v/>
      </c>
      <c r="AC194" s="6"/>
      <c r="AD194" s="6"/>
    </row>
    <row r="195" customFormat="false" ht="15" hidden="false" customHeight="true" outlineLevel="0" collapsed="false">
      <c r="A195" s="5" t="n">
        <v>194</v>
      </c>
      <c r="B195" s="5" t="s">
        <v>529</v>
      </c>
      <c r="C195" s="5" t="s">
        <v>145</v>
      </c>
      <c r="D195" s="5" t="s">
        <v>51</v>
      </c>
      <c r="E195" s="5" t="n">
        <v>511</v>
      </c>
      <c r="F195" s="5" t="s">
        <v>530</v>
      </c>
      <c r="G195" s="5" t="n">
        <v>4</v>
      </c>
      <c r="H195" s="5" t="s">
        <v>53</v>
      </c>
      <c r="I195" s="5" t="s">
        <v>54</v>
      </c>
      <c r="J195" s="5" t="s">
        <v>55</v>
      </c>
      <c r="K195" s="5" t="s">
        <v>55</v>
      </c>
      <c r="L195" s="5" t="n">
        <v>4</v>
      </c>
      <c r="M195" s="5" t="n">
        <v>3</v>
      </c>
      <c r="N195" s="5" t="n">
        <v>9</v>
      </c>
      <c r="O195" s="5" t="n">
        <v>2</v>
      </c>
      <c r="P195" s="5" t="n">
        <v>3.5</v>
      </c>
      <c r="Q195" s="5" t="n">
        <v>0.5</v>
      </c>
      <c r="R195" s="5" t="n">
        <v>5</v>
      </c>
      <c r="S195" s="5" t="n">
        <v>9</v>
      </c>
      <c r="T195" s="5" t="s">
        <v>531</v>
      </c>
      <c r="U195" s="6"/>
      <c r="V195" s="6"/>
      <c r="W195" s="6"/>
      <c r="X195" s="6"/>
      <c r="Y195" s="7" t="str">
        <f aca="false">IF(COUNT(U195:X195)=4,(W195-X195)/2,"")</f>
        <v/>
      </c>
      <c r="Z195" s="7" t="str">
        <f aca="false">IF(COUNT(U195:X195)=4,(U195-V195)/2,"")</f>
        <v/>
      </c>
      <c r="AA195" s="7" t="str">
        <f aca="false">IF(COUNT(U195:X195)=4,MAX(1,MIN(10,ROUNDUP(5-Z195,0))),"")</f>
        <v/>
      </c>
      <c r="AB195" s="7" t="str">
        <f aca="false">IF(COUNT(U195:X195)=4,MAX(1,MIN(10,ROUNDUP(Y195+5,0))),"")</f>
        <v/>
      </c>
      <c r="AC195" s="6"/>
      <c r="AD195" s="6"/>
    </row>
    <row r="196" customFormat="false" ht="15" hidden="false" customHeight="true" outlineLevel="0" collapsed="false">
      <c r="A196" s="5" t="n">
        <v>195</v>
      </c>
      <c r="B196" s="5" t="s">
        <v>532</v>
      </c>
      <c r="C196" s="5" t="s">
        <v>171</v>
      </c>
      <c r="D196" s="5" t="s">
        <v>172</v>
      </c>
      <c r="E196" s="5" t="n">
        <v>509</v>
      </c>
      <c r="F196" s="5" t="s">
        <v>533</v>
      </c>
      <c r="G196" s="5" t="n">
        <v>4</v>
      </c>
      <c r="H196" s="5" t="s">
        <v>53</v>
      </c>
      <c r="I196" s="5" t="s">
        <v>54</v>
      </c>
      <c r="J196" s="5" t="s">
        <v>181</v>
      </c>
      <c r="K196" s="5" t="s">
        <v>182</v>
      </c>
      <c r="L196" s="5" t="n">
        <v>2</v>
      </c>
      <c r="M196" s="5" t="n">
        <v>6</v>
      </c>
      <c r="N196" s="5" t="n">
        <v>7</v>
      </c>
      <c r="O196" s="5" t="n">
        <v>3</v>
      </c>
      <c r="P196" s="5" t="n">
        <v>2</v>
      </c>
      <c r="Q196" s="5" t="n">
        <v>-2</v>
      </c>
      <c r="R196" s="5" t="n">
        <v>7</v>
      </c>
      <c r="S196" s="5" t="n">
        <v>7</v>
      </c>
      <c r="T196" s="5" t="s">
        <v>534</v>
      </c>
      <c r="U196" s="6"/>
      <c r="V196" s="6"/>
      <c r="W196" s="6"/>
      <c r="X196" s="6"/>
      <c r="Y196" s="7" t="str">
        <f aca="false">IF(COUNT(U196:X196)=4,(W196-X196)/2,"")</f>
        <v/>
      </c>
      <c r="Z196" s="7" t="str">
        <f aca="false">IF(COUNT(U196:X196)=4,(U196-V196)/2,"")</f>
        <v/>
      </c>
      <c r="AA196" s="7" t="str">
        <f aca="false">IF(COUNT(U196:X196)=4,MAX(1,MIN(10,ROUNDUP(5-Z196,0))),"")</f>
        <v/>
      </c>
      <c r="AB196" s="7" t="str">
        <f aca="false">IF(COUNT(U196:X196)=4,MAX(1,MIN(10,ROUNDUP(Y196+5,0))),"")</f>
        <v/>
      </c>
      <c r="AC196" s="6"/>
      <c r="AD196" s="6"/>
    </row>
    <row r="197" customFormat="false" ht="15" hidden="false" customHeight="true" outlineLevel="0" collapsed="false">
      <c r="A197" s="5" t="n">
        <v>196</v>
      </c>
      <c r="B197" s="5" t="s">
        <v>535</v>
      </c>
      <c r="C197" s="5" t="s">
        <v>203</v>
      </c>
      <c r="D197" s="5" t="s">
        <v>204</v>
      </c>
      <c r="E197" s="5" t="n">
        <v>508</v>
      </c>
      <c r="F197" s="5" t="s">
        <v>536</v>
      </c>
      <c r="G197" s="5" t="n">
        <v>4</v>
      </c>
      <c r="H197" s="5" t="s">
        <v>53</v>
      </c>
      <c r="I197" s="5" t="s">
        <v>54</v>
      </c>
      <c r="J197" s="5" t="s">
        <v>117</v>
      </c>
      <c r="K197" s="5" t="s">
        <v>117</v>
      </c>
      <c r="L197" s="5" t="n">
        <v>3</v>
      </c>
      <c r="M197" s="5" t="n">
        <v>1</v>
      </c>
      <c r="N197" s="5" t="n">
        <v>2</v>
      </c>
      <c r="O197" s="5" t="n">
        <v>7</v>
      </c>
      <c r="P197" s="5" t="n">
        <v>-2.5</v>
      </c>
      <c r="Q197" s="5" t="n">
        <v>1</v>
      </c>
      <c r="R197" s="5" t="n">
        <v>4</v>
      </c>
      <c r="S197" s="5" t="n">
        <v>3</v>
      </c>
      <c r="T197" s="5" t="s">
        <v>537</v>
      </c>
      <c r="U197" s="6"/>
      <c r="V197" s="6"/>
      <c r="W197" s="6"/>
      <c r="X197" s="6"/>
      <c r="Y197" s="7" t="str">
        <f aca="false">IF(COUNT(U197:X197)=4,(W197-X197)/2,"")</f>
        <v/>
      </c>
      <c r="Z197" s="7" t="str">
        <f aca="false">IF(COUNT(U197:X197)=4,(U197-V197)/2,"")</f>
        <v/>
      </c>
      <c r="AA197" s="7" t="str">
        <f aca="false">IF(COUNT(U197:X197)=4,MAX(1,MIN(10,ROUNDUP(5-Z197,0))),"")</f>
        <v/>
      </c>
      <c r="AB197" s="7" t="str">
        <f aca="false">IF(COUNT(U197:X197)=4,MAX(1,MIN(10,ROUNDUP(Y197+5,0))),"")</f>
        <v/>
      </c>
      <c r="AC197" s="6"/>
      <c r="AD197" s="6"/>
    </row>
    <row r="198" customFormat="false" ht="15" hidden="false" customHeight="true" outlineLevel="0" collapsed="false">
      <c r="A198" s="5" t="n">
        <v>197</v>
      </c>
      <c r="B198" s="5" t="s">
        <v>538</v>
      </c>
      <c r="C198" s="5" t="s">
        <v>145</v>
      </c>
      <c r="D198" s="5" t="s">
        <v>51</v>
      </c>
      <c r="E198" s="5" t="n">
        <v>508</v>
      </c>
      <c r="F198" s="5" t="s">
        <v>539</v>
      </c>
      <c r="G198" s="5" t="n">
        <v>4</v>
      </c>
      <c r="H198" s="5" t="s">
        <v>53</v>
      </c>
      <c r="I198" s="5" t="s">
        <v>54</v>
      </c>
      <c r="J198" s="5" t="s">
        <v>55</v>
      </c>
      <c r="K198" s="5" t="s">
        <v>55</v>
      </c>
      <c r="L198" s="5" t="n">
        <v>4</v>
      </c>
      <c r="M198" s="5" t="n">
        <v>3</v>
      </c>
      <c r="N198" s="5" t="n">
        <v>9</v>
      </c>
      <c r="O198" s="5" t="n">
        <v>2</v>
      </c>
      <c r="P198" s="5" t="n">
        <v>3.5</v>
      </c>
      <c r="Q198" s="5" t="n">
        <v>0.5</v>
      </c>
      <c r="R198" s="5" t="n">
        <v>5</v>
      </c>
      <c r="S198" s="5" t="n">
        <v>9</v>
      </c>
      <c r="T198" s="5" t="s">
        <v>187</v>
      </c>
      <c r="U198" s="6"/>
      <c r="V198" s="6"/>
      <c r="W198" s="6"/>
      <c r="X198" s="6"/>
      <c r="Y198" s="7" t="str">
        <f aca="false">IF(COUNT(U198:X198)=4,(W198-X198)/2,"")</f>
        <v/>
      </c>
      <c r="Z198" s="7" t="str">
        <f aca="false">IF(COUNT(U198:X198)=4,(U198-V198)/2,"")</f>
        <v/>
      </c>
      <c r="AA198" s="7" t="str">
        <f aca="false">IF(COUNT(U198:X198)=4,MAX(1,MIN(10,ROUNDUP(5-Z198,0))),"")</f>
        <v/>
      </c>
      <c r="AB198" s="7" t="str">
        <f aca="false">IF(COUNT(U198:X198)=4,MAX(1,MIN(10,ROUNDUP(Y198+5,0))),"")</f>
        <v/>
      </c>
      <c r="AC198" s="6"/>
      <c r="AD198" s="6"/>
    </row>
    <row r="199" customFormat="false" ht="15" hidden="false" customHeight="true" outlineLevel="0" collapsed="false">
      <c r="A199" s="5" t="n">
        <v>198</v>
      </c>
      <c r="B199" s="5" t="s">
        <v>540</v>
      </c>
      <c r="C199" s="5" t="s">
        <v>171</v>
      </c>
      <c r="D199" s="5" t="s">
        <v>172</v>
      </c>
      <c r="E199" s="5" t="n">
        <v>505</v>
      </c>
      <c r="F199" s="5" t="s">
        <v>541</v>
      </c>
      <c r="G199" s="5" t="n">
        <v>4</v>
      </c>
      <c r="H199" s="5" t="s">
        <v>53</v>
      </c>
      <c r="I199" s="5" t="s">
        <v>54</v>
      </c>
      <c r="J199" s="5" t="s">
        <v>181</v>
      </c>
      <c r="K199" s="5" t="s">
        <v>443</v>
      </c>
      <c r="L199" s="5" t="n">
        <v>5</v>
      </c>
      <c r="M199" s="5" t="n">
        <v>3</v>
      </c>
      <c r="N199" s="5" t="n">
        <v>4</v>
      </c>
      <c r="O199" s="5" t="n">
        <v>8</v>
      </c>
      <c r="P199" s="5" t="n">
        <v>-2</v>
      </c>
      <c r="Q199" s="5" t="n">
        <v>1</v>
      </c>
      <c r="R199" s="5" t="n">
        <v>4</v>
      </c>
      <c r="S199" s="5" t="n">
        <v>3</v>
      </c>
      <c r="T199" s="5" t="s">
        <v>542</v>
      </c>
      <c r="U199" s="6"/>
      <c r="V199" s="6"/>
      <c r="W199" s="6"/>
      <c r="X199" s="6"/>
      <c r="Y199" s="7" t="str">
        <f aca="false">IF(COUNT(U199:X199)=4,(W199-X199)/2,"")</f>
        <v/>
      </c>
      <c r="Z199" s="7" t="str">
        <f aca="false">IF(COUNT(U199:X199)=4,(U199-V199)/2,"")</f>
        <v/>
      </c>
      <c r="AA199" s="7" t="str">
        <f aca="false">IF(COUNT(U199:X199)=4,MAX(1,MIN(10,ROUNDUP(5-Z199,0))),"")</f>
        <v/>
      </c>
      <c r="AB199" s="7" t="str">
        <f aca="false">IF(COUNT(U199:X199)=4,MAX(1,MIN(10,ROUNDUP(Y199+5,0))),"")</f>
        <v/>
      </c>
      <c r="AC199" s="6"/>
      <c r="AD199" s="6"/>
    </row>
    <row r="200" customFormat="false" ht="15" hidden="false" customHeight="true" outlineLevel="0" collapsed="false">
      <c r="A200" s="5" t="n">
        <v>199</v>
      </c>
      <c r="B200" s="5" t="s">
        <v>543</v>
      </c>
      <c r="C200" s="5" t="s">
        <v>203</v>
      </c>
      <c r="D200" s="5" t="s">
        <v>204</v>
      </c>
      <c r="E200" s="5" t="n">
        <v>502</v>
      </c>
      <c r="F200" s="5" t="s">
        <v>544</v>
      </c>
      <c r="G200" s="5" t="n">
        <v>4</v>
      </c>
      <c r="H200" s="5" t="s">
        <v>53</v>
      </c>
      <c r="I200" s="5" t="s">
        <v>54</v>
      </c>
      <c r="J200" s="5" t="s">
        <v>117</v>
      </c>
      <c r="K200" s="5" t="s">
        <v>117</v>
      </c>
      <c r="L200" s="5" t="n">
        <v>3</v>
      </c>
      <c r="M200" s="5" t="n">
        <v>2</v>
      </c>
      <c r="N200" s="5" t="n">
        <v>2</v>
      </c>
      <c r="O200" s="5" t="n">
        <v>7</v>
      </c>
      <c r="P200" s="5" t="n">
        <v>-2.5</v>
      </c>
      <c r="Q200" s="5" t="n">
        <v>0.5</v>
      </c>
      <c r="R200" s="5" t="n">
        <v>5</v>
      </c>
      <c r="S200" s="5" t="n">
        <v>3</v>
      </c>
      <c r="T200" s="5" t="s">
        <v>60</v>
      </c>
      <c r="U200" s="6"/>
      <c r="V200" s="6"/>
      <c r="W200" s="6"/>
      <c r="X200" s="6"/>
      <c r="Y200" s="7" t="str">
        <f aca="false">IF(COUNT(U200:X200)=4,(W200-X200)/2,"")</f>
        <v/>
      </c>
      <c r="Z200" s="7" t="str">
        <f aca="false">IF(COUNT(U200:X200)=4,(U200-V200)/2,"")</f>
        <v/>
      </c>
      <c r="AA200" s="7" t="str">
        <f aca="false">IF(COUNT(U200:X200)=4,MAX(1,MIN(10,ROUNDUP(5-Z200,0))),"")</f>
        <v/>
      </c>
      <c r="AB200" s="7" t="str">
        <f aca="false">IF(COUNT(U200:X200)=4,MAX(1,MIN(10,ROUNDUP(Y200+5,0))),"")</f>
        <v/>
      </c>
      <c r="AC200" s="6"/>
      <c r="AD200" s="6"/>
    </row>
    <row r="201" customFormat="false" ht="15" hidden="false" customHeight="true" outlineLevel="0" collapsed="false">
      <c r="A201" s="5" t="n">
        <v>200</v>
      </c>
      <c r="B201" s="5" t="s">
        <v>545</v>
      </c>
      <c r="C201" s="5" t="s">
        <v>171</v>
      </c>
      <c r="D201" s="5" t="s">
        <v>172</v>
      </c>
      <c r="E201" s="5" t="n">
        <v>500</v>
      </c>
      <c r="F201" s="5" t="s">
        <v>546</v>
      </c>
      <c r="G201" s="5" t="n">
        <v>4</v>
      </c>
      <c r="H201" s="5" t="s">
        <v>53</v>
      </c>
      <c r="I201" s="5" t="s">
        <v>54</v>
      </c>
      <c r="J201" s="5" t="s">
        <v>181</v>
      </c>
      <c r="K201" s="5" t="s">
        <v>223</v>
      </c>
      <c r="L201" s="5" t="n">
        <v>3</v>
      </c>
      <c r="M201" s="5" t="n">
        <v>4</v>
      </c>
      <c r="N201" s="5" t="n">
        <v>6</v>
      </c>
      <c r="O201" s="5" t="n">
        <v>4</v>
      </c>
      <c r="P201" s="5" t="n">
        <v>1</v>
      </c>
      <c r="Q201" s="5" t="n">
        <v>-0.5</v>
      </c>
      <c r="R201" s="5" t="n">
        <v>6</v>
      </c>
      <c r="S201" s="5" t="n">
        <v>6</v>
      </c>
      <c r="T201" s="5" t="s">
        <v>547</v>
      </c>
      <c r="U201" s="6"/>
      <c r="V201" s="6"/>
      <c r="W201" s="6"/>
      <c r="X201" s="6"/>
      <c r="Y201" s="7" t="str">
        <f aca="false">IF(COUNT(U201:X201)=4,(W201-X201)/2,"")</f>
        <v/>
      </c>
      <c r="Z201" s="7" t="str">
        <f aca="false">IF(COUNT(U201:X201)=4,(U201-V201)/2,"")</f>
        <v/>
      </c>
      <c r="AA201" s="7" t="str">
        <f aca="false">IF(COUNT(U201:X201)=4,MAX(1,MIN(10,ROUNDUP(5-Z201,0))),"")</f>
        <v/>
      </c>
      <c r="AB201" s="7" t="str">
        <f aca="false">IF(COUNT(U201:X201)=4,MAX(1,MIN(10,ROUNDUP(Y201+5,0))),"")</f>
        <v/>
      </c>
      <c r="AC201" s="6"/>
      <c r="AD201" s="6"/>
    </row>
    <row r="202" customFormat="false" ht="15" hidden="false" customHeight="true" outlineLevel="0" collapsed="false">
      <c r="A202" s="5" t="n">
        <v>201</v>
      </c>
      <c r="B202" s="5" t="s">
        <v>548</v>
      </c>
      <c r="C202" s="5" t="s">
        <v>108</v>
      </c>
      <c r="D202" s="5" t="s">
        <v>109</v>
      </c>
      <c r="E202" s="5" t="n">
        <v>499</v>
      </c>
      <c r="F202" s="5" t="s">
        <v>548</v>
      </c>
      <c r="G202" s="5" t="n">
        <v>4</v>
      </c>
      <c r="H202" s="5" t="s">
        <v>53</v>
      </c>
      <c r="I202" s="5" t="s">
        <v>64</v>
      </c>
      <c r="J202" s="5"/>
      <c r="K202" s="5"/>
      <c r="L202" s="5" t="n">
        <v>5</v>
      </c>
      <c r="M202" s="5" t="n">
        <v>3</v>
      </c>
      <c r="N202" s="5" t="n">
        <v>2</v>
      </c>
      <c r="O202" s="5" t="n">
        <v>8</v>
      </c>
      <c r="P202" s="5" t="n">
        <v>-3</v>
      </c>
      <c r="Q202" s="5" t="n">
        <v>1</v>
      </c>
      <c r="R202" s="5" t="n">
        <v>4</v>
      </c>
      <c r="S202" s="5" t="n">
        <v>2</v>
      </c>
      <c r="T202" s="5" t="s">
        <v>453</v>
      </c>
      <c r="U202" s="6"/>
      <c r="V202" s="6"/>
      <c r="W202" s="6"/>
      <c r="X202" s="6"/>
      <c r="Y202" s="7" t="str">
        <f aca="false">IF(COUNT(U202:X202)=4,(W202-X202)/2,"")</f>
        <v/>
      </c>
      <c r="Z202" s="7" t="str">
        <f aca="false">IF(COUNT(U202:X202)=4,(U202-V202)/2,"")</f>
        <v/>
      </c>
      <c r="AA202" s="7" t="str">
        <f aca="false">IF(COUNT(U202:X202)=4,MAX(1,MIN(10,ROUNDUP(5-Z202,0))),"")</f>
        <v/>
      </c>
      <c r="AB202" s="7" t="str">
        <f aca="false">IF(COUNT(U202:X202)=4,MAX(1,MIN(10,ROUNDUP(Y202+5,0))),"")</f>
        <v/>
      </c>
      <c r="AC202" s="6"/>
      <c r="AD202" s="6"/>
    </row>
    <row r="203" customFormat="false" ht="15" hidden="false" customHeight="true" outlineLevel="0" collapsed="false">
      <c r="A203" s="5" t="n">
        <v>202</v>
      </c>
      <c r="B203" s="5" t="s">
        <v>549</v>
      </c>
      <c r="C203" s="5" t="s">
        <v>171</v>
      </c>
      <c r="D203" s="5" t="s">
        <v>172</v>
      </c>
      <c r="E203" s="5" t="n">
        <v>498</v>
      </c>
      <c r="F203" s="5" t="s">
        <v>550</v>
      </c>
      <c r="G203" s="5" t="n">
        <v>4</v>
      </c>
      <c r="H203" s="5" t="s">
        <v>53</v>
      </c>
      <c r="I203" s="5" t="s">
        <v>54</v>
      </c>
      <c r="J203" s="5" t="s">
        <v>181</v>
      </c>
      <c r="K203" s="5" t="s">
        <v>551</v>
      </c>
      <c r="L203" s="5" t="n">
        <v>2</v>
      </c>
      <c r="M203" s="5" t="n">
        <v>5</v>
      </c>
      <c r="N203" s="5" t="n">
        <v>10</v>
      </c>
      <c r="O203" s="5" t="n">
        <v>1</v>
      </c>
      <c r="P203" s="5" t="n">
        <v>4.5</v>
      </c>
      <c r="Q203" s="5" t="n">
        <v>-1.5</v>
      </c>
      <c r="R203" s="5" t="n">
        <v>7</v>
      </c>
      <c r="S203" s="5" t="n">
        <v>10</v>
      </c>
      <c r="T203" s="5" t="s">
        <v>552</v>
      </c>
      <c r="U203" s="6"/>
      <c r="V203" s="6"/>
      <c r="W203" s="6"/>
      <c r="X203" s="6"/>
      <c r="Y203" s="7" t="str">
        <f aca="false">IF(COUNT(U203:X203)=4,(W203-X203)/2,"")</f>
        <v/>
      </c>
      <c r="Z203" s="7" t="str">
        <f aca="false">IF(COUNT(U203:X203)=4,(U203-V203)/2,"")</f>
        <v/>
      </c>
      <c r="AA203" s="7" t="str">
        <f aca="false">IF(COUNT(U203:X203)=4,MAX(1,MIN(10,ROUNDUP(5-Z203,0))),"")</f>
        <v/>
      </c>
      <c r="AB203" s="7" t="str">
        <f aca="false">IF(COUNT(U203:X203)=4,MAX(1,MIN(10,ROUNDUP(Y203+5,0))),"")</f>
        <v/>
      </c>
      <c r="AC203" s="6"/>
      <c r="AD203" s="6"/>
    </row>
    <row r="204" customFormat="false" ht="15" hidden="false" customHeight="true" outlineLevel="0" collapsed="false">
      <c r="A204" s="5" t="n">
        <v>203</v>
      </c>
      <c r="B204" s="5" t="s">
        <v>553</v>
      </c>
      <c r="C204" s="5" t="s">
        <v>171</v>
      </c>
      <c r="D204" s="5" t="s">
        <v>172</v>
      </c>
      <c r="E204" s="5" t="n">
        <v>497</v>
      </c>
      <c r="F204" s="5" t="s">
        <v>554</v>
      </c>
      <c r="G204" s="5" t="n">
        <v>4</v>
      </c>
      <c r="H204" s="5" t="s">
        <v>53</v>
      </c>
      <c r="I204" s="5" t="s">
        <v>54</v>
      </c>
      <c r="J204" s="5" t="s">
        <v>181</v>
      </c>
      <c r="K204" s="5" t="s">
        <v>279</v>
      </c>
      <c r="L204" s="5" t="n">
        <v>4</v>
      </c>
      <c r="M204" s="5" t="n">
        <v>4</v>
      </c>
      <c r="N204" s="5" t="n">
        <v>5</v>
      </c>
      <c r="O204" s="5" t="n">
        <v>7</v>
      </c>
      <c r="P204" s="5" t="n">
        <v>-1</v>
      </c>
      <c r="Q204" s="5" t="n">
        <v>0</v>
      </c>
      <c r="R204" s="5" t="n">
        <v>5</v>
      </c>
      <c r="S204" s="5" t="n">
        <v>4</v>
      </c>
      <c r="T204" s="5" t="s">
        <v>224</v>
      </c>
      <c r="U204" s="6"/>
      <c r="V204" s="6"/>
      <c r="W204" s="6"/>
      <c r="X204" s="6"/>
      <c r="Y204" s="7" t="str">
        <f aca="false">IF(COUNT(U204:X204)=4,(W204-X204)/2,"")</f>
        <v/>
      </c>
      <c r="Z204" s="7" t="str">
        <f aca="false">IF(COUNT(U204:X204)=4,(U204-V204)/2,"")</f>
        <v/>
      </c>
      <c r="AA204" s="7" t="str">
        <f aca="false">IF(COUNT(U204:X204)=4,MAX(1,MIN(10,ROUNDUP(5-Z204,0))),"")</f>
        <v/>
      </c>
      <c r="AB204" s="7" t="str">
        <f aca="false">IF(COUNT(U204:X204)=4,MAX(1,MIN(10,ROUNDUP(Y204+5,0))),"")</f>
        <v/>
      </c>
      <c r="AC204" s="6"/>
      <c r="AD204" s="6"/>
    </row>
    <row r="205" customFormat="false" ht="15" hidden="false" customHeight="true" outlineLevel="0" collapsed="false">
      <c r="A205" s="5" t="n">
        <v>204</v>
      </c>
      <c r="B205" s="5" t="s">
        <v>555</v>
      </c>
      <c r="C205" s="5" t="s">
        <v>145</v>
      </c>
      <c r="D205" s="5" t="s">
        <v>51</v>
      </c>
      <c r="E205" s="5" t="n">
        <v>495</v>
      </c>
      <c r="F205" s="5" t="s">
        <v>556</v>
      </c>
      <c r="G205" s="5" t="n">
        <v>4</v>
      </c>
      <c r="H205" s="5" t="s">
        <v>53</v>
      </c>
      <c r="I205" s="5" t="s">
        <v>54</v>
      </c>
      <c r="J205" s="5" t="s">
        <v>55</v>
      </c>
      <c r="K205" s="5" t="s">
        <v>55</v>
      </c>
      <c r="L205" s="5" t="n">
        <v>5</v>
      </c>
      <c r="M205" s="5" t="n">
        <v>2</v>
      </c>
      <c r="N205" s="5" t="n">
        <v>5</v>
      </c>
      <c r="O205" s="5" t="n">
        <v>8</v>
      </c>
      <c r="P205" s="5" t="n">
        <v>-1.5</v>
      </c>
      <c r="Q205" s="5" t="n">
        <v>1.5</v>
      </c>
      <c r="R205" s="5" t="n">
        <v>4</v>
      </c>
      <c r="S205" s="5" t="n">
        <v>4</v>
      </c>
      <c r="T205" s="5" t="s">
        <v>557</v>
      </c>
      <c r="U205" s="6"/>
      <c r="V205" s="6"/>
      <c r="W205" s="6"/>
      <c r="X205" s="6"/>
      <c r="Y205" s="7" t="str">
        <f aca="false">IF(COUNT(U205:X205)=4,(W205-X205)/2,"")</f>
        <v/>
      </c>
      <c r="Z205" s="7" t="str">
        <f aca="false">IF(COUNT(U205:X205)=4,(U205-V205)/2,"")</f>
        <v/>
      </c>
      <c r="AA205" s="7" t="str">
        <f aca="false">IF(COUNT(U205:X205)=4,MAX(1,MIN(10,ROUNDUP(5-Z205,0))),"")</f>
        <v/>
      </c>
      <c r="AB205" s="7" t="str">
        <f aca="false">IF(COUNT(U205:X205)=4,MAX(1,MIN(10,ROUNDUP(Y205+5,0))),"")</f>
        <v/>
      </c>
      <c r="AC205" s="6"/>
      <c r="AD205" s="6"/>
    </row>
    <row r="206" customFormat="false" ht="15" hidden="false" customHeight="true" outlineLevel="0" collapsed="false">
      <c r="A206" s="5" t="n">
        <v>205</v>
      </c>
      <c r="B206" s="5" t="s">
        <v>558</v>
      </c>
      <c r="C206" s="5" t="s">
        <v>58</v>
      </c>
      <c r="D206" s="5" t="s">
        <v>59</v>
      </c>
      <c r="E206" s="5" t="n">
        <v>495</v>
      </c>
      <c r="F206" s="5" t="s">
        <v>558</v>
      </c>
      <c r="G206" s="5" t="n">
        <v>1</v>
      </c>
      <c r="H206" s="5" t="s">
        <v>47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 t="s">
        <v>559</v>
      </c>
      <c r="U206" s="6"/>
      <c r="V206" s="6"/>
      <c r="W206" s="6"/>
      <c r="X206" s="6"/>
      <c r="Y206" s="7" t="str">
        <f aca="false">IF(COUNT(U206:X206)=4,(W206-X206)/2,"")</f>
        <v/>
      </c>
      <c r="Z206" s="7" t="str">
        <f aca="false">IF(COUNT(U206:X206)=4,(U206-V206)/2,"")</f>
        <v/>
      </c>
      <c r="AA206" s="7" t="str">
        <f aca="false">IF(COUNT(U206:X206)=4,MAX(1,MIN(10,ROUNDUP(5-Z206,0))),"")</f>
        <v/>
      </c>
      <c r="AB206" s="7" t="str">
        <f aca="false">IF(COUNT(U206:X206)=4,MAX(1,MIN(10,ROUNDUP(Y206+5,0))),"")</f>
        <v/>
      </c>
      <c r="AC206" s="6"/>
      <c r="AD206" s="6"/>
    </row>
    <row r="207" customFormat="false" ht="15" hidden="false" customHeight="true" outlineLevel="0" collapsed="false">
      <c r="A207" s="5" t="n">
        <v>206</v>
      </c>
      <c r="B207" s="5" t="s">
        <v>560</v>
      </c>
      <c r="C207" s="5" t="s">
        <v>145</v>
      </c>
      <c r="D207" s="5" t="s">
        <v>51</v>
      </c>
      <c r="E207" s="5" t="n">
        <v>492</v>
      </c>
      <c r="F207" s="5" t="s">
        <v>561</v>
      </c>
      <c r="G207" s="5" t="n">
        <v>4</v>
      </c>
      <c r="H207" s="5" t="s">
        <v>53</v>
      </c>
      <c r="I207" s="5" t="s">
        <v>54</v>
      </c>
      <c r="J207" s="5" t="s">
        <v>55</v>
      </c>
      <c r="K207" s="5" t="s">
        <v>55</v>
      </c>
      <c r="L207" s="5" t="n">
        <v>4</v>
      </c>
      <c r="M207" s="5" t="n">
        <v>3</v>
      </c>
      <c r="N207" s="5" t="n">
        <v>3</v>
      </c>
      <c r="O207" s="5" t="n">
        <v>6</v>
      </c>
      <c r="P207" s="5" t="n">
        <v>-1.5</v>
      </c>
      <c r="Q207" s="5" t="n">
        <v>0.5</v>
      </c>
      <c r="R207" s="5" t="n">
        <v>5</v>
      </c>
      <c r="S207" s="5" t="n">
        <v>4</v>
      </c>
      <c r="T207" s="5" t="s">
        <v>562</v>
      </c>
      <c r="U207" s="6"/>
      <c r="V207" s="6"/>
      <c r="W207" s="6"/>
      <c r="X207" s="6"/>
      <c r="Y207" s="7" t="str">
        <f aca="false">IF(COUNT(U207:X207)=4,(W207-X207)/2,"")</f>
        <v/>
      </c>
      <c r="Z207" s="7" t="str">
        <f aca="false">IF(COUNT(U207:X207)=4,(U207-V207)/2,"")</f>
        <v/>
      </c>
      <c r="AA207" s="7" t="str">
        <f aca="false">IF(COUNT(U207:X207)=4,MAX(1,MIN(10,ROUNDUP(5-Z207,0))),"")</f>
        <v/>
      </c>
      <c r="AB207" s="7" t="str">
        <f aca="false">IF(COUNT(U207:X207)=4,MAX(1,MIN(10,ROUNDUP(Y207+5,0))),"")</f>
        <v/>
      </c>
      <c r="AC207" s="6"/>
      <c r="AD207" s="6"/>
    </row>
    <row r="208" customFormat="false" ht="15" hidden="false" customHeight="true" outlineLevel="0" collapsed="false">
      <c r="A208" s="5" t="n">
        <v>207</v>
      </c>
      <c r="B208" s="5" t="s">
        <v>563</v>
      </c>
      <c r="C208" s="5" t="s">
        <v>145</v>
      </c>
      <c r="D208" s="5" t="s">
        <v>51</v>
      </c>
      <c r="E208" s="5" t="n">
        <v>492</v>
      </c>
      <c r="F208" s="5" t="s">
        <v>564</v>
      </c>
      <c r="G208" s="5" t="n">
        <v>4</v>
      </c>
      <c r="H208" s="5" t="s">
        <v>53</v>
      </c>
      <c r="I208" s="5" t="s">
        <v>54</v>
      </c>
      <c r="J208" s="5" t="s">
        <v>55</v>
      </c>
      <c r="K208" s="5" t="s">
        <v>55</v>
      </c>
      <c r="L208" s="5" t="n">
        <v>5</v>
      </c>
      <c r="M208" s="5" t="n">
        <v>2</v>
      </c>
      <c r="N208" s="5" t="n">
        <v>8</v>
      </c>
      <c r="O208" s="5" t="n">
        <v>2</v>
      </c>
      <c r="P208" s="5" t="n">
        <v>3</v>
      </c>
      <c r="Q208" s="5" t="n">
        <v>1.5</v>
      </c>
      <c r="R208" s="5" t="n">
        <v>4</v>
      </c>
      <c r="S208" s="5" t="n">
        <v>8</v>
      </c>
      <c r="T208" s="5" t="s">
        <v>565</v>
      </c>
      <c r="U208" s="6"/>
      <c r="V208" s="6"/>
      <c r="W208" s="6"/>
      <c r="X208" s="6"/>
      <c r="Y208" s="7" t="str">
        <f aca="false">IF(COUNT(U208:X208)=4,(W208-X208)/2,"")</f>
        <v/>
      </c>
      <c r="Z208" s="7" t="str">
        <f aca="false">IF(COUNT(U208:X208)=4,(U208-V208)/2,"")</f>
        <v/>
      </c>
      <c r="AA208" s="7" t="str">
        <f aca="false">IF(COUNT(U208:X208)=4,MAX(1,MIN(10,ROUNDUP(5-Z208,0))),"")</f>
        <v/>
      </c>
      <c r="AB208" s="7" t="str">
        <f aca="false">IF(COUNT(U208:X208)=4,MAX(1,MIN(10,ROUNDUP(Y208+5,0))),"")</f>
        <v/>
      </c>
      <c r="AC208" s="6"/>
      <c r="AD208" s="6"/>
    </row>
    <row r="209" customFormat="false" ht="15" hidden="false" customHeight="true" outlineLevel="0" collapsed="false">
      <c r="A209" s="5" t="n">
        <v>208</v>
      </c>
      <c r="B209" s="5" t="s">
        <v>566</v>
      </c>
      <c r="C209" s="5" t="s">
        <v>171</v>
      </c>
      <c r="D209" s="5" t="s">
        <v>172</v>
      </c>
      <c r="E209" s="5" t="n">
        <v>492</v>
      </c>
      <c r="F209" s="5" t="s">
        <v>567</v>
      </c>
      <c r="G209" s="5" t="n">
        <v>4</v>
      </c>
      <c r="H209" s="5" t="s">
        <v>53</v>
      </c>
      <c r="I209" s="5" t="s">
        <v>54</v>
      </c>
      <c r="J209" s="5" t="s">
        <v>181</v>
      </c>
      <c r="K209" s="5" t="s">
        <v>235</v>
      </c>
      <c r="L209" s="5" t="n">
        <v>4</v>
      </c>
      <c r="M209" s="5" t="n">
        <v>4</v>
      </c>
      <c r="N209" s="5" t="n">
        <v>7</v>
      </c>
      <c r="O209" s="5" t="n">
        <v>4</v>
      </c>
      <c r="P209" s="5" t="n">
        <v>1.5</v>
      </c>
      <c r="Q209" s="5" t="n">
        <v>0</v>
      </c>
      <c r="R209" s="5" t="n">
        <v>5</v>
      </c>
      <c r="S209" s="5" t="n">
        <v>7</v>
      </c>
      <c r="T209" s="5" t="s">
        <v>568</v>
      </c>
      <c r="U209" s="6"/>
      <c r="V209" s="6"/>
      <c r="W209" s="6"/>
      <c r="X209" s="6"/>
      <c r="Y209" s="7" t="str">
        <f aca="false">IF(COUNT(U209:X209)=4,(W209-X209)/2,"")</f>
        <v/>
      </c>
      <c r="Z209" s="7" t="str">
        <f aca="false">IF(COUNT(U209:X209)=4,(U209-V209)/2,"")</f>
        <v/>
      </c>
      <c r="AA209" s="7" t="str">
        <f aca="false">IF(COUNT(U209:X209)=4,MAX(1,MIN(10,ROUNDUP(5-Z209,0))),"")</f>
        <v/>
      </c>
      <c r="AB209" s="7" t="str">
        <f aca="false">IF(COUNT(U209:X209)=4,MAX(1,MIN(10,ROUNDUP(Y209+5,0))),"")</f>
        <v/>
      </c>
      <c r="AC209" s="6"/>
      <c r="AD209" s="6"/>
    </row>
    <row r="210" customFormat="false" ht="15" hidden="false" customHeight="true" outlineLevel="0" collapsed="false">
      <c r="A210" s="5" t="n">
        <v>209</v>
      </c>
      <c r="B210" s="5" t="s">
        <v>569</v>
      </c>
      <c r="C210" s="5" t="s">
        <v>45</v>
      </c>
      <c r="D210" s="5" t="s">
        <v>46</v>
      </c>
      <c r="E210" s="5" t="n">
        <v>491</v>
      </c>
      <c r="F210" s="5" t="s">
        <v>569</v>
      </c>
      <c r="G210" s="5" t="n">
        <v>1</v>
      </c>
      <c r="H210" s="5" t="s">
        <v>47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 t="s">
        <v>328</v>
      </c>
      <c r="U210" s="6"/>
      <c r="V210" s="6"/>
      <c r="W210" s="6"/>
      <c r="X210" s="6"/>
      <c r="Y210" s="7" t="str">
        <f aca="false">IF(COUNT(U210:X210)=4,(W210-X210)/2,"")</f>
        <v/>
      </c>
      <c r="Z210" s="7" t="str">
        <f aca="false">IF(COUNT(U210:X210)=4,(U210-V210)/2,"")</f>
        <v/>
      </c>
      <c r="AA210" s="7" t="str">
        <f aca="false">IF(COUNT(U210:X210)=4,MAX(1,MIN(10,ROUNDUP(5-Z210,0))),"")</f>
        <v/>
      </c>
      <c r="AB210" s="7" t="str">
        <f aca="false">IF(COUNT(U210:X210)=4,MAX(1,MIN(10,ROUNDUP(Y210+5,0))),"")</f>
        <v/>
      </c>
      <c r="AC210" s="6"/>
      <c r="AD210" s="6"/>
    </row>
    <row r="211" customFormat="false" ht="15" hidden="false" customHeight="true" outlineLevel="0" collapsed="false">
      <c r="A211" s="5" t="n">
        <v>210</v>
      </c>
      <c r="B211" s="5" t="s">
        <v>570</v>
      </c>
      <c r="C211" s="5" t="s">
        <v>145</v>
      </c>
      <c r="D211" s="5" t="s">
        <v>51</v>
      </c>
      <c r="E211" s="5" t="n">
        <v>487</v>
      </c>
      <c r="F211" s="5" t="s">
        <v>571</v>
      </c>
      <c r="G211" s="5" t="n">
        <v>4</v>
      </c>
      <c r="H211" s="5" t="s">
        <v>53</v>
      </c>
      <c r="I211" s="5" t="s">
        <v>54</v>
      </c>
      <c r="J211" s="5" t="s">
        <v>55</v>
      </c>
      <c r="K211" s="5" t="s">
        <v>55</v>
      </c>
      <c r="L211" s="5" t="n">
        <v>5</v>
      </c>
      <c r="M211" s="5" t="n">
        <v>2</v>
      </c>
      <c r="N211" s="5" t="n">
        <v>8</v>
      </c>
      <c r="O211" s="5" t="n">
        <v>2</v>
      </c>
      <c r="P211" s="5" t="n">
        <v>3</v>
      </c>
      <c r="Q211" s="5" t="n">
        <v>1.5</v>
      </c>
      <c r="R211" s="5" t="n">
        <v>4</v>
      </c>
      <c r="S211" s="5" t="n">
        <v>8</v>
      </c>
      <c r="T211" s="5" t="s">
        <v>280</v>
      </c>
      <c r="U211" s="6"/>
      <c r="V211" s="6"/>
      <c r="W211" s="6"/>
      <c r="X211" s="6"/>
      <c r="Y211" s="7" t="str">
        <f aca="false">IF(COUNT(U211:X211)=4,(W211-X211)/2,"")</f>
        <v/>
      </c>
      <c r="Z211" s="7" t="str">
        <f aca="false">IF(COUNT(U211:X211)=4,(U211-V211)/2,"")</f>
        <v/>
      </c>
      <c r="AA211" s="7" t="str">
        <f aca="false">IF(COUNT(U211:X211)=4,MAX(1,MIN(10,ROUNDUP(5-Z211,0))),"")</f>
        <v/>
      </c>
      <c r="AB211" s="7" t="str">
        <f aca="false">IF(COUNT(U211:X211)=4,MAX(1,MIN(10,ROUNDUP(Y211+5,0))),"")</f>
        <v/>
      </c>
      <c r="AC211" s="6"/>
      <c r="AD211" s="6"/>
    </row>
    <row r="212" customFormat="false" ht="15" hidden="false" customHeight="true" outlineLevel="0" collapsed="false">
      <c r="A212" s="5" t="n">
        <v>211</v>
      </c>
      <c r="B212" s="5" t="s">
        <v>572</v>
      </c>
      <c r="C212" s="5" t="s">
        <v>145</v>
      </c>
      <c r="D212" s="5" t="s">
        <v>51</v>
      </c>
      <c r="E212" s="5" t="n">
        <v>487</v>
      </c>
      <c r="F212" s="5" t="s">
        <v>573</v>
      </c>
      <c r="G212" s="5" t="n">
        <v>4</v>
      </c>
      <c r="H212" s="5" t="s">
        <v>53</v>
      </c>
      <c r="I212" s="5" t="s">
        <v>54</v>
      </c>
      <c r="J212" s="5" t="s">
        <v>181</v>
      </c>
      <c r="K212" s="5" t="s">
        <v>574</v>
      </c>
      <c r="L212" s="5" t="n">
        <v>3</v>
      </c>
      <c r="M212" s="5" t="n">
        <v>5</v>
      </c>
      <c r="N212" s="5" t="n">
        <v>4</v>
      </c>
      <c r="O212" s="5" t="n">
        <v>7</v>
      </c>
      <c r="P212" s="5" t="n">
        <v>-1.5</v>
      </c>
      <c r="Q212" s="5" t="n">
        <v>-1</v>
      </c>
      <c r="R212" s="5" t="n">
        <v>6</v>
      </c>
      <c r="S212" s="5" t="n">
        <v>4</v>
      </c>
      <c r="T212" s="5" t="s">
        <v>575</v>
      </c>
      <c r="U212" s="6"/>
      <c r="V212" s="6"/>
      <c r="W212" s="6"/>
      <c r="X212" s="6"/>
      <c r="Y212" s="7" t="str">
        <f aca="false">IF(COUNT(U212:X212)=4,(W212-X212)/2,"")</f>
        <v/>
      </c>
      <c r="Z212" s="7" t="str">
        <f aca="false">IF(COUNT(U212:X212)=4,(U212-V212)/2,"")</f>
        <v/>
      </c>
      <c r="AA212" s="7" t="str">
        <f aca="false">IF(COUNT(U212:X212)=4,MAX(1,MIN(10,ROUNDUP(5-Z212,0))),"")</f>
        <v/>
      </c>
      <c r="AB212" s="7" t="str">
        <f aca="false">IF(COUNT(U212:X212)=4,MAX(1,MIN(10,ROUNDUP(Y212+5,0))),"")</f>
        <v/>
      </c>
      <c r="AC212" s="6"/>
      <c r="AD212" s="6"/>
    </row>
    <row r="213" customFormat="false" ht="15" hidden="false" customHeight="true" outlineLevel="0" collapsed="false">
      <c r="A213" s="5" t="n">
        <v>212</v>
      </c>
      <c r="B213" s="5" t="s">
        <v>576</v>
      </c>
      <c r="C213" s="5" t="s">
        <v>145</v>
      </c>
      <c r="D213" s="5" t="s">
        <v>51</v>
      </c>
      <c r="E213" s="5" t="n">
        <v>485</v>
      </c>
      <c r="F213" s="5" t="s">
        <v>577</v>
      </c>
      <c r="G213" s="5" t="n">
        <v>4</v>
      </c>
      <c r="H213" s="5" t="s">
        <v>53</v>
      </c>
      <c r="I213" s="5" t="s">
        <v>54</v>
      </c>
      <c r="J213" s="5" t="s">
        <v>55</v>
      </c>
      <c r="K213" s="5" t="s">
        <v>55</v>
      </c>
      <c r="L213" s="5" t="n">
        <v>4</v>
      </c>
      <c r="M213" s="5" t="n">
        <v>3</v>
      </c>
      <c r="N213" s="5" t="n">
        <v>4</v>
      </c>
      <c r="O213" s="5" t="n">
        <v>6</v>
      </c>
      <c r="P213" s="5" t="n">
        <v>-1</v>
      </c>
      <c r="Q213" s="5" t="n">
        <v>0.5</v>
      </c>
      <c r="R213" s="5" t="n">
        <v>5</v>
      </c>
      <c r="S213" s="5" t="n">
        <v>4</v>
      </c>
      <c r="T213" s="5" t="s">
        <v>578</v>
      </c>
      <c r="U213" s="6"/>
      <c r="V213" s="6"/>
      <c r="W213" s="6"/>
      <c r="X213" s="6"/>
      <c r="Y213" s="7" t="str">
        <f aca="false">IF(COUNT(U213:X213)=4,(W213-X213)/2,"")</f>
        <v/>
      </c>
      <c r="Z213" s="7" t="str">
        <f aca="false">IF(COUNT(U213:X213)=4,(U213-V213)/2,"")</f>
        <v/>
      </c>
      <c r="AA213" s="7" t="str">
        <f aca="false">IF(COUNT(U213:X213)=4,MAX(1,MIN(10,ROUNDUP(5-Z213,0))),"")</f>
        <v/>
      </c>
      <c r="AB213" s="7" t="str">
        <f aca="false">IF(COUNT(U213:X213)=4,MAX(1,MIN(10,ROUNDUP(Y213+5,0))),"")</f>
        <v/>
      </c>
      <c r="AC213" s="6"/>
      <c r="AD213" s="6"/>
    </row>
    <row r="214" customFormat="false" ht="15" hidden="false" customHeight="true" outlineLevel="0" collapsed="false">
      <c r="A214" s="5" t="n">
        <v>213</v>
      </c>
      <c r="B214" s="5" t="s">
        <v>579</v>
      </c>
      <c r="C214" s="5" t="s">
        <v>145</v>
      </c>
      <c r="D214" s="5" t="s">
        <v>51</v>
      </c>
      <c r="E214" s="5" t="n">
        <v>485</v>
      </c>
      <c r="F214" s="5" t="s">
        <v>580</v>
      </c>
      <c r="G214" s="5" t="n">
        <v>4</v>
      </c>
      <c r="H214" s="5" t="s">
        <v>53</v>
      </c>
      <c r="I214" s="5" t="s">
        <v>54</v>
      </c>
      <c r="J214" s="5" t="s">
        <v>55</v>
      </c>
      <c r="K214" s="5" t="s">
        <v>55</v>
      </c>
      <c r="L214" s="5" t="n">
        <v>6</v>
      </c>
      <c r="M214" s="5" t="n">
        <v>2</v>
      </c>
      <c r="N214" s="5" t="n">
        <v>5</v>
      </c>
      <c r="O214" s="5" t="n">
        <v>8</v>
      </c>
      <c r="P214" s="5" t="n">
        <v>-1.5</v>
      </c>
      <c r="Q214" s="5" t="n">
        <v>2</v>
      </c>
      <c r="R214" s="5" t="n">
        <v>3</v>
      </c>
      <c r="S214" s="5" t="n">
        <v>4</v>
      </c>
      <c r="T214" s="5" t="s">
        <v>446</v>
      </c>
      <c r="U214" s="6"/>
      <c r="V214" s="6"/>
      <c r="W214" s="6"/>
      <c r="X214" s="6"/>
      <c r="Y214" s="7" t="str">
        <f aca="false">IF(COUNT(U214:X214)=4,(W214-X214)/2,"")</f>
        <v/>
      </c>
      <c r="Z214" s="7" t="str">
        <f aca="false">IF(COUNT(U214:X214)=4,(U214-V214)/2,"")</f>
        <v/>
      </c>
      <c r="AA214" s="7" t="str">
        <f aca="false">IF(COUNT(U214:X214)=4,MAX(1,MIN(10,ROUNDUP(5-Z214,0))),"")</f>
        <v/>
      </c>
      <c r="AB214" s="7" t="str">
        <f aca="false">IF(COUNT(U214:X214)=4,MAX(1,MIN(10,ROUNDUP(Y214+5,0))),"")</f>
        <v/>
      </c>
      <c r="AC214" s="6"/>
      <c r="AD214" s="6"/>
    </row>
    <row r="215" customFormat="false" ht="15" hidden="false" customHeight="true" outlineLevel="0" collapsed="false">
      <c r="A215" s="5" t="n">
        <v>214</v>
      </c>
      <c r="B215" s="5" t="s">
        <v>581</v>
      </c>
      <c r="C215" s="5" t="s">
        <v>171</v>
      </c>
      <c r="D215" s="5" t="s">
        <v>172</v>
      </c>
      <c r="E215" s="5" t="n">
        <v>483</v>
      </c>
      <c r="F215" s="5" t="s">
        <v>582</v>
      </c>
      <c r="G215" s="5" t="n">
        <v>4</v>
      </c>
      <c r="H215" s="5" t="s">
        <v>53</v>
      </c>
      <c r="I215" s="5" t="s">
        <v>54</v>
      </c>
      <c r="J215" s="5" t="s">
        <v>181</v>
      </c>
      <c r="K215" s="5" t="s">
        <v>223</v>
      </c>
      <c r="L215" s="5" t="n">
        <v>3</v>
      </c>
      <c r="M215" s="5" t="n">
        <v>4</v>
      </c>
      <c r="N215" s="5" t="n">
        <v>6</v>
      </c>
      <c r="O215" s="5" t="n">
        <v>4</v>
      </c>
      <c r="P215" s="5" t="n">
        <v>1</v>
      </c>
      <c r="Q215" s="5" t="n">
        <v>-0.5</v>
      </c>
      <c r="R215" s="5" t="n">
        <v>6</v>
      </c>
      <c r="S215" s="5" t="n">
        <v>6</v>
      </c>
      <c r="T215" s="5" t="s">
        <v>334</v>
      </c>
      <c r="U215" s="6"/>
      <c r="V215" s="6"/>
      <c r="W215" s="6"/>
      <c r="X215" s="6"/>
      <c r="Y215" s="7" t="str">
        <f aca="false">IF(COUNT(U215:X215)=4,(W215-X215)/2,"")</f>
        <v/>
      </c>
      <c r="Z215" s="7" t="str">
        <f aca="false">IF(COUNT(U215:X215)=4,(U215-V215)/2,"")</f>
        <v/>
      </c>
      <c r="AA215" s="7" t="str">
        <f aca="false">IF(COUNT(U215:X215)=4,MAX(1,MIN(10,ROUNDUP(5-Z215,0))),"")</f>
        <v/>
      </c>
      <c r="AB215" s="7" t="str">
        <f aca="false">IF(COUNT(U215:X215)=4,MAX(1,MIN(10,ROUNDUP(Y215+5,0))),"")</f>
        <v/>
      </c>
      <c r="AC215" s="6"/>
      <c r="AD215" s="6"/>
    </row>
    <row r="216" customFormat="false" ht="15" hidden="false" customHeight="true" outlineLevel="0" collapsed="false">
      <c r="A216" s="5" t="n">
        <v>215</v>
      </c>
      <c r="B216" s="5" t="s">
        <v>583</v>
      </c>
      <c r="C216" s="5" t="s">
        <v>171</v>
      </c>
      <c r="D216" s="5" t="s">
        <v>172</v>
      </c>
      <c r="E216" s="5" t="n">
        <v>479</v>
      </c>
      <c r="F216" s="5" t="s">
        <v>584</v>
      </c>
      <c r="G216" s="5" t="n">
        <v>4</v>
      </c>
      <c r="H216" s="5" t="s">
        <v>53</v>
      </c>
      <c r="I216" s="5" t="s">
        <v>54</v>
      </c>
      <c r="J216" s="5" t="s">
        <v>181</v>
      </c>
      <c r="K216" s="5" t="s">
        <v>309</v>
      </c>
      <c r="L216" s="5" t="n">
        <v>2</v>
      </c>
      <c r="M216" s="5" t="n">
        <v>5</v>
      </c>
      <c r="N216" s="5" t="n">
        <v>5</v>
      </c>
      <c r="O216" s="5" t="n">
        <v>4</v>
      </c>
      <c r="P216" s="5" t="n">
        <v>0.5</v>
      </c>
      <c r="Q216" s="5" t="n">
        <v>-1.5</v>
      </c>
      <c r="R216" s="5" t="n">
        <v>7</v>
      </c>
      <c r="S216" s="5" t="n">
        <v>6</v>
      </c>
      <c r="T216" s="5" t="s">
        <v>585</v>
      </c>
      <c r="U216" s="6"/>
      <c r="V216" s="6"/>
      <c r="W216" s="6"/>
      <c r="X216" s="6"/>
      <c r="Y216" s="7" t="str">
        <f aca="false">IF(COUNT(U216:X216)=4,(W216-X216)/2,"")</f>
        <v/>
      </c>
      <c r="Z216" s="7" t="str">
        <f aca="false">IF(COUNT(U216:X216)=4,(U216-V216)/2,"")</f>
        <v/>
      </c>
      <c r="AA216" s="7" t="str">
        <f aca="false">IF(COUNT(U216:X216)=4,MAX(1,MIN(10,ROUNDUP(5-Z216,0))),"")</f>
        <v/>
      </c>
      <c r="AB216" s="7" t="str">
        <f aca="false">IF(COUNT(U216:X216)=4,MAX(1,MIN(10,ROUNDUP(Y216+5,0))),"")</f>
        <v/>
      </c>
      <c r="AC216" s="6"/>
      <c r="AD216" s="6"/>
    </row>
    <row r="217" customFormat="false" ht="15" hidden="false" customHeight="true" outlineLevel="0" collapsed="false">
      <c r="A217" s="5" t="n">
        <v>216</v>
      </c>
      <c r="B217" s="5" t="s">
        <v>586</v>
      </c>
      <c r="C217" s="5" t="s">
        <v>171</v>
      </c>
      <c r="D217" s="5" t="s">
        <v>172</v>
      </c>
      <c r="E217" s="5" t="n">
        <v>477</v>
      </c>
      <c r="F217" s="5" t="s">
        <v>587</v>
      </c>
      <c r="G217" s="5" t="n">
        <v>4</v>
      </c>
      <c r="H217" s="5" t="s">
        <v>53</v>
      </c>
      <c r="I217" s="5" t="s">
        <v>54</v>
      </c>
      <c r="J217" s="5" t="s">
        <v>181</v>
      </c>
      <c r="K217" s="5" t="s">
        <v>413</v>
      </c>
      <c r="L217" s="5" t="n">
        <v>8</v>
      </c>
      <c r="M217" s="5" t="n">
        <v>2</v>
      </c>
      <c r="N217" s="5" t="n">
        <v>3</v>
      </c>
      <c r="O217" s="5" t="n">
        <v>8</v>
      </c>
      <c r="P217" s="5" t="n">
        <v>-2.5</v>
      </c>
      <c r="Q217" s="5" t="n">
        <v>3</v>
      </c>
      <c r="R217" s="5" t="n">
        <v>2</v>
      </c>
      <c r="S217" s="5" t="n">
        <v>3</v>
      </c>
      <c r="T217" s="5" t="s">
        <v>135</v>
      </c>
      <c r="U217" s="6"/>
      <c r="V217" s="6"/>
      <c r="W217" s="6"/>
      <c r="X217" s="6"/>
      <c r="Y217" s="7" t="str">
        <f aca="false">IF(COUNT(U217:X217)=4,(W217-X217)/2,"")</f>
        <v/>
      </c>
      <c r="Z217" s="7" t="str">
        <f aca="false">IF(COUNT(U217:X217)=4,(U217-V217)/2,"")</f>
        <v/>
      </c>
      <c r="AA217" s="7" t="str">
        <f aca="false">IF(COUNT(U217:X217)=4,MAX(1,MIN(10,ROUNDUP(5-Z217,0))),"")</f>
        <v/>
      </c>
      <c r="AB217" s="7" t="str">
        <f aca="false">IF(COUNT(U217:X217)=4,MAX(1,MIN(10,ROUNDUP(Y217+5,0))),"")</f>
        <v/>
      </c>
      <c r="AC217" s="6"/>
      <c r="AD217" s="6"/>
    </row>
    <row r="218" customFormat="false" ht="15" hidden="false" customHeight="true" outlineLevel="0" collapsed="false">
      <c r="A218" s="5" t="n">
        <v>217</v>
      </c>
      <c r="B218" s="5" t="s">
        <v>588</v>
      </c>
      <c r="C218" s="5" t="s">
        <v>171</v>
      </c>
      <c r="D218" s="5" t="s">
        <v>172</v>
      </c>
      <c r="E218" s="5" t="n">
        <v>475</v>
      </c>
      <c r="F218" s="5" t="s">
        <v>589</v>
      </c>
      <c r="G218" s="5" t="n">
        <v>4</v>
      </c>
      <c r="H218" s="5" t="s">
        <v>53</v>
      </c>
      <c r="I218" s="5" t="s">
        <v>54</v>
      </c>
      <c r="J218" s="5" t="s">
        <v>181</v>
      </c>
      <c r="K218" s="5" t="s">
        <v>309</v>
      </c>
      <c r="L218" s="5" t="n">
        <v>2</v>
      </c>
      <c r="M218" s="5" t="n">
        <v>5</v>
      </c>
      <c r="N218" s="5" t="n">
        <v>5</v>
      </c>
      <c r="O218" s="5" t="n">
        <v>4</v>
      </c>
      <c r="P218" s="5" t="n">
        <v>0.5</v>
      </c>
      <c r="Q218" s="5" t="n">
        <v>-1.5</v>
      </c>
      <c r="R218" s="5" t="n">
        <v>7</v>
      </c>
      <c r="S218" s="5" t="n">
        <v>6</v>
      </c>
      <c r="T218" s="5" t="s">
        <v>590</v>
      </c>
      <c r="U218" s="6"/>
      <c r="V218" s="6"/>
      <c r="W218" s="6"/>
      <c r="X218" s="6"/>
      <c r="Y218" s="7" t="str">
        <f aca="false">IF(COUNT(U218:X218)=4,(W218-X218)/2,"")</f>
        <v/>
      </c>
      <c r="Z218" s="7" t="str">
        <f aca="false">IF(COUNT(U218:X218)=4,(U218-V218)/2,"")</f>
        <v/>
      </c>
      <c r="AA218" s="7" t="str">
        <f aca="false">IF(COUNT(U218:X218)=4,MAX(1,MIN(10,ROUNDUP(5-Z218,0))),"")</f>
        <v/>
      </c>
      <c r="AB218" s="7" t="str">
        <f aca="false">IF(COUNT(U218:X218)=4,MAX(1,MIN(10,ROUNDUP(Y218+5,0))),"")</f>
        <v/>
      </c>
      <c r="AC218" s="6"/>
      <c r="AD218" s="6"/>
    </row>
    <row r="219" customFormat="false" ht="15" hidden="false" customHeight="true" outlineLevel="0" collapsed="false">
      <c r="A219" s="5" t="n">
        <v>218</v>
      </c>
      <c r="B219" s="5" t="s">
        <v>591</v>
      </c>
      <c r="C219" s="5" t="s">
        <v>171</v>
      </c>
      <c r="D219" s="5" t="s">
        <v>172</v>
      </c>
      <c r="E219" s="5" t="n">
        <v>473</v>
      </c>
      <c r="F219" s="5" t="s">
        <v>592</v>
      </c>
      <c r="G219" s="5" t="n">
        <v>4</v>
      </c>
      <c r="H219" s="5" t="s">
        <v>53</v>
      </c>
      <c r="I219" s="5" t="s">
        <v>54</v>
      </c>
      <c r="J219" s="5" t="s">
        <v>181</v>
      </c>
      <c r="K219" s="5" t="s">
        <v>593</v>
      </c>
      <c r="L219" s="5" t="n">
        <v>2</v>
      </c>
      <c r="M219" s="5" t="n">
        <v>6</v>
      </c>
      <c r="N219" s="5" t="n">
        <v>7</v>
      </c>
      <c r="O219" s="5" t="n">
        <v>3</v>
      </c>
      <c r="P219" s="5" t="n">
        <v>2</v>
      </c>
      <c r="Q219" s="5" t="n">
        <v>-2</v>
      </c>
      <c r="R219" s="5" t="n">
        <v>7</v>
      </c>
      <c r="S219" s="5" t="n">
        <v>7</v>
      </c>
      <c r="T219" s="5" t="s">
        <v>594</v>
      </c>
      <c r="U219" s="6"/>
      <c r="V219" s="6"/>
      <c r="W219" s="6"/>
      <c r="X219" s="6"/>
      <c r="Y219" s="7" t="str">
        <f aca="false">IF(COUNT(U219:X219)=4,(W219-X219)/2,"")</f>
        <v/>
      </c>
      <c r="Z219" s="7" t="str">
        <f aca="false">IF(COUNT(U219:X219)=4,(U219-V219)/2,"")</f>
        <v/>
      </c>
      <c r="AA219" s="7" t="str">
        <f aca="false">IF(COUNT(U219:X219)=4,MAX(1,MIN(10,ROUNDUP(5-Z219,0))),"")</f>
        <v/>
      </c>
      <c r="AB219" s="7" t="str">
        <f aca="false">IF(COUNT(U219:X219)=4,MAX(1,MIN(10,ROUNDUP(Y219+5,0))),"")</f>
        <v/>
      </c>
      <c r="AC219" s="6"/>
      <c r="AD219" s="6"/>
    </row>
    <row r="220" customFormat="false" ht="15" hidden="false" customHeight="true" outlineLevel="0" collapsed="false">
      <c r="A220" s="5" t="n">
        <v>219</v>
      </c>
      <c r="B220" s="5" t="s">
        <v>595</v>
      </c>
      <c r="C220" s="5" t="s">
        <v>171</v>
      </c>
      <c r="D220" s="5" t="s">
        <v>172</v>
      </c>
      <c r="E220" s="5" t="n">
        <v>470</v>
      </c>
      <c r="F220" s="5" t="s">
        <v>596</v>
      </c>
      <c r="G220" s="5" t="n">
        <v>4</v>
      </c>
      <c r="H220" s="5" t="s">
        <v>53</v>
      </c>
      <c r="I220" s="5" t="s">
        <v>54</v>
      </c>
      <c r="J220" s="5" t="s">
        <v>181</v>
      </c>
      <c r="K220" s="5" t="s">
        <v>443</v>
      </c>
      <c r="L220" s="5" t="n">
        <v>5</v>
      </c>
      <c r="M220" s="5" t="n">
        <v>3</v>
      </c>
      <c r="N220" s="5" t="n">
        <v>6</v>
      </c>
      <c r="O220" s="5" t="n">
        <v>7</v>
      </c>
      <c r="P220" s="5" t="n">
        <v>-0.5</v>
      </c>
      <c r="Q220" s="5" t="n">
        <v>1</v>
      </c>
      <c r="R220" s="5" t="n">
        <v>4</v>
      </c>
      <c r="S220" s="5" t="n">
        <v>5</v>
      </c>
      <c r="T220" s="5" t="s">
        <v>522</v>
      </c>
      <c r="U220" s="6"/>
      <c r="V220" s="6"/>
      <c r="W220" s="6"/>
      <c r="X220" s="6"/>
      <c r="Y220" s="7" t="str">
        <f aca="false">IF(COUNT(U220:X220)=4,(W220-X220)/2,"")</f>
        <v/>
      </c>
      <c r="Z220" s="7" t="str">
        <f aca="false">IF(COUNT(U220:X220)=4,(U220-V220)/2,"")</f>
        <v/>
      </c>
      <c r="AA220" s="7" t="str">
        <f aca="false">IF(COUNT(U220:X220)=4,MAX(1,MIN(10,ROUNDUP(5-Z220,0))),"")</f>
        <v/>
      </c>
      <c r="AB220" s="7" t="str">
        <f aca="false">IF(COUNT(U220:X220)=4,MAX(1,MIN(10,ROUNDUP(Y220+5,0))),"")</f>
        <v/>
      </c>
      <c r="AC220" s="6"/>
      <c r="AD220" s="6"/>
    </row>
    <row r="221" customFormat="false" ht="15" hidden="false" customHeight="true" outlineLevel="0" collapsed="false">
      <c r="A221" s="5" t="n">
        <v>220</v>
      </c>
      <c r="B221" s="5" t="s">
        <v>597</v>
      </c>
      <c r="C221" s="5" t="s">
        <v>171</v>
      </c>
      <c r="D221" s="5" t="s">
        <v>172</v>
      </c>
      <c r="E221" s="5" t="n">
        <v>468</v>
      </c>
      <c r="F221" s="5" t="s">
        <v>598</v>
      </c>
      <c r="G221" s="5" t="n">
        <v>4</v>
      </c>
      <c r="H221" s="5" t="s">
        <v>53</v>
      </c>
      <c r="I221" s="5" t="s">
        <v>54</v>
      </c>
      <c r="J221" s="5" t="s">
        <v>181</v>
      </c>
      <c r="K221" s="5" t="s">
        <v>235</v>
      </c>
      <c r="L221" s="5" t="n">
        <v>4</v>
      </c>
      <c r="M221" s="5" t="n">
        <v>4</v>
      </c>
      <c r="N221" s="5" t="n">
        <v>7</v>
      </c>
      <c r="O221" s="5" t="n">
        <v>4</v>
      </c>
      <c r="P221" s="5" t="n">
        <v>1.5</v>
      </c>
      <c r="Q221" s="5" t="n">
        <v>0</v>
      </c>
      <c r="R221" s="5" t="n">
        <v>5</v>
      </c>
      <c r="S221" s="5" t="n">
        <v>7</v>
      </c>
      <c r="T221" s="5" t="s">
        <v>100</v>
      </c>
      <c r="U221" s="6"/>
      <c r="V221" s="6"/>
      <c r="W221" s="6"/>
      <c r="X221" s="6"/>
      <c r="Y221" s="7" t="str">
        <f aca="false">IF(COUNT(U221:X221)=4,(W221-X221)/2,"")</f>
        <v/>
      </c>
      <c r="Z221" s="7" t="str">
        <f aca="false">IF(COUNT(U221:X221)=4,(U221-V221)/2,"")</f>
        <v/>
      </c>
      <c r="AA221" s="7" t="str">
        <f aca="false">IF(COUNT(U221:X221)=4,MAX(1,MIN(10,ROUNDUP(5-Z221,0))),"")</f>
        <v/>
      </c>
      <c r="AB221" s="7" t="str">
        <f aca="false">IF(COUNT(U221:X221)=4,MAX(1,MIN(10,ROUNDUP(Y221+5,0))),"")</f>
        <v/>
      </c>
      <c r="AC221" s="6"/>
      <c r="AD221" s="6"/>
    </row>
    <row r="222" customFormat="false" ht="15" hidden="false" customHeight="true" outlineLevel="0" collapsed="false">
      <c r="A222" s="5" t="n">
        <v>221</v>
      </c>
      <c r="B222" s="5" t="s">
        <v>599</v>
      </c>
      <c r="C222" s="5" t="s">
        <v>171</v>
      </c>
      <c r="D222" s="5" t="s">
        <v>172</v>
      </c>
      <c r="E222" s="5" t="n">
        <v>462</v>
      </c>
      <c r="F222" s="5" t="s">
        <v>600</v>
      </c>
      <c r="G222" s="5" t="n">
        <v>4</v>
      </c>
      <c r="H222" s="5" t="s">
        <v>53</v>
      </c>
      <c r="I222" s="5" t="s">
        <v>81</v>
      </c>
      <c r="J222" s="5" t="s">
        <v>174</v>
      </c>
      <c r="K222" s="5" t="s">
        <v>175</v>
      </c>
      <c r="L222" s="5" t="n">
        <v>9</v>
      </c>
      <c r="M222" s="5" t="n">
        <v>1</v>
      </c>
      <c r="N222" s="5" t="n">
        <v>1</v>
      </c>
      <c r="O222" s="5" t="n">
        <v>10</v>
      </c>
      <c r="P222" s="5" t="n">
        <v>-4.5</v>
      </c>
      <c r="Q222" s="5" t="n">
        <v>4</v>
      </c>
      <c r="R222" s="5" t="n">
        <v>1</v>
      </c>
      <c r="S222" s="5" t="n">
        <v>1</v>
      </c>
      <c r="T222" s="5" t="s">
        <v>601</v>
      </c>
      <c r="U222" s="6"/>
      <c r="V222" s="6"/>
      <c r="W222" s="6"/>
      <c r="X222" s="6"/>
      <c r="Y222" s="7" t="str">
        <f aca="false">IF(COUNT(U222:X222)=4,(W222-X222)/2,"")</f>
        <v/>
      </c>
      <c r="Z222" s="7" t="str">
        <f aca="false">IF(COUNT(U222:X222)=4,(U222-V222)/2,"")</f>
        <v/>
      </c>
      <c r="AA222" s="7" t="str">
        <f aca="false">IF(COUNT(U222:X222)=4,MAX(1,MIN(10,ROUNDUP(5-Z222,0))),"")</f>
        <v/>
      </c>
      <c r="AB222" s="7" t="str">
        <f aca="false">IF(COUNT(U222:X222)=4,MAX(1,MIN(10,ROUNDUP(Y222+5,0))),"")</f>
        <v/>
      </c>
      <c r="AC222" s="6"/>
      <c r="AD222" s="6"/>
    </row>
    <row r="223" customFormat="false" ht="15" hidden="false" customHeight="true" outlineLevel="0" collapsed="false">
      <c r="A223" s="5" t="n">
        <v>222</v>
      </c>
      <c r="B223" s="5" t="s">
        <v>602</v>
      </c>
      <c r="C223" s="5" t="s">
        <v>58</v>
      </c>
      <c r="D223" s="5" t="s">
        <v>59</v>
      </c>
      <c r="E223" s="5" t="n">
        <v>461</v>
      </c>
      <c r="F223" s="5" t="s">
        <v>602</v>
      </c>
      <c r="G223" s="5" t="n">
        <v>3</v>
      </c>
      <c r="H223" s="5" t="s">
        <v>53</v>
      </c>
      <c r="I223" s="5" t="s">
        <v>64</v>
      </c>
      <c r="J223" s="5"/>
      <c r="K223" s="5"/>
      <c r="L223" s="5" t="n">
        <v>1</v>
      </c>
      <c r="M223" s="5" t="n">
        <v>6</v>
      </c>
      <c r="N223" s="5" t="n">
        <v>2</v>
      </c>
      <c r="O223" s="5" t="n">
        <v>7</v>
      </c>
      <c r="P223" s="5" t="n">
        <v>-2.5</v>
      </c>
      <c r="Q223" s="5" t="n">
        <v>-2.5</v>
      </c>
      <c r="R223" s="5" t="n">
        <v>8</v>
      </c>
      <c r="S223" s="5" t="n">
        <v>3</v>
      </c>
      <c r="T223" s="5" t="s">
        <v>603</v>
      </c>
      <c r="U223" s="6"/>
      <c r="V223" s="6"/>
      <c r="W223" s="6"/>
      <c r="X223" s="6"/>
      <c r="Y223" s="7" t="str">
        <f aca="false">IF(COUNT(U223:X223)=4,(W223-X223)/2,"")</f>
        <v/>
      </c>
      <c r="Z223" s="7" t="str">
        <f aca="false">IF(COUNT(U223:X223)=4,(U223-V223)/2,"")</f>
        <v/>
      </c>
      <c r="AA223" s="7" t="str">
        <f aca="false">IF(COUNT(U223:X223)=4,MAX(1,MIN(10,ROUNDUP(5-Z223,0))),"")</f>
        <v/>
      </c>
      <c r="AB223" s="7" t="str">
        <f aca="false">IF(COUNT(U223:X223)=4,MAX(1,MIN(10,ROUNDUP(Y223+5,0))),"")</f>
        <v/>
      </c>
      <c r="AC223" s="6"/>
      <c r="AD223" s="6"/>
    </row>
    <row r="224" customFormat="false" ht="15" hidden="false" customHeight="true" outlineLevel="0" collapsed="false">
      <c r="A224" s="5" t="n">
        <v>223</v>
      </c>
      <c r="B224" s="5" t="s">
        <v>604</v>
      </c>
      <c r="C224" s="5" t="s">
        <v>108</v>
      </c>
      <c r="D224" s="5" t="s">
        <v>109</v>
      </c>
      <c r="E224" s="5" t="n">
        <v>458</v>
      </c>
      <c r="F224" s="5" t="s">
        <v>604</v>
      </c>
      <c r="G224" s="5" t="n">
        <v>4</v>
      </c>
      <c r="H224" s="5" t="s">
        <v>53</v>
      </c>
      <c r="I224" s="5" t="s">
        <v>54</v>
      </c>
      <c r="J224" s="5" t="s">
        <v>117</v>
      </c>
      <c r="K224" s="5" t="s">
        <v>117</v>
      </c>
      <c r="L224" s="5" t="n">
        <v>3</v>
      </c>
      <c r="M224" s="5" t="n">
        <v>2</v>
      </c>
      <c r="N224" s="5" t="n">
        <v>2</v>
      </c>
      <c r="O224" s="5" t="n">
        <v>7</v>
      </c>
      <c r="P224" s="5" t="n">
        <v>-2.5</v>
      </c>
      <c r="Q224" s="5" t="n">
        <v>0.5</v>
      </c>
      <c r="R224" s="5" t="n">
        <v>5</v>
      </c>
      <c r="S224" s="5" t="n">
        <v>3</v>
      </c>
      <c r="T224" s="5" t="s">
        <v>605</v>
      </c>
      <c r="U224" s="6"/>
      <c r="V224" s="6"/>
      <c r="W224" s="6"/>
      <c r="X224" s="6"/>
      <c r="Y224" s="7" t="str">
        <f aca="false">IF(COUNT(U224:X224)=4,(W224-X224)/2,"")</f>
        <v/>
      </c>
      <c r="Z224" s="7" t="str">
        <f aca="false">IF(COUNT(U224:X224)=4,(U224-V224)/2,"")</f>
        <v/>
      </c>
      <c r="AA224" s="7" t="str">
        <f aca="false">IF(COUNT(U224:X224)=4,MAX(1,MIN(10,ROUNDUP(5-Z224,0))),"")</f>
        <v/>
      </c>
      <c r="AB224" s="7" t="str">
        <f aca="false">IF(COUNT(U224:X224)=4,MAX(1,MIN(10,ROUNDUP(Y224+5,0))),"")</f>
        <v/>
      </c>
      <c r="AC224" s="6"/>
      <c r="AD224" s="6"/>
    </row>
    <row r="225" customFormat="false" ht="15" hidden="false" customHeight="true" outlineLevel="0" collapsed="false">
      <c r="A225" s="5" t="n">
        <v>224</v>
      </c>
      <c r="B225" s="5" t="s">
        <v>606</v>
      </c>
      <c r="C225" s="5" t="s">
        <v>108</v>
      </c>
      <c r="D225" s="5" t="s">
        <v>109</v>
      </c>
      <c r="E225" s="5" t="n">
        <v>456</v>
      </c>
      <c r="F225" s="5" t="s">
        <v>606</v>
      </c>
      <c r="G225" s="5" t="n">
        <v>2</v>
      </c>
      <c r="H225" s="5" t="s">
        <v>47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 t="s">
        <v>607</v>
      </c>
      <c r="U225" s="6"/>
      <c r="V225" s="6"/>
      <c r="W225" s="6"/>
      <c r="X225" s="6"/>
      <c r="Y225" s="7" t="str">
        <f aca="false">IF(COUNT(U225:X225)=4,(W225-X225)/2,"")</f>
        <v/>
      </c>
      <c r="Z225" s="7" t="str">
        <f aca="false">IF(COUNT(U225:X225)=4,(U225-V225)/2,"")</f>
        <v/>
      </c>
      <c r="AA225" s="7" t="str">
        <f aca="false">IF(COUNT(U225:X225)=4,MAX(1,MIN(10,ROUNDUP(5-Z225,0))),"")</f>
        <v/>
      </c>
      <c r="AB225" s="7" t="str">
        <f aca="false">IF(COUNT(U225:X225)=4,MAX(1,MIN(10,ROUNDUP(Y225+5,0))),"")</f>
        <v/>
      </c>
      <c r="AC225" s="6"/>
      <c r="AD225" s="6"/>
    </row>
    <row r="226" customFormat="false" ht="15" hidden="false" customHeight="true" outlineLevel="0" collapsed="false">
      <c r="A226" s="5" t="n">
        <v>225</v>
      </c>
      <c r="B226" s="5" t="s">
        <v>608</v>
      </c>
      <c r="C226" s="5" t="s">
        <v>171</v>
      </c>
      <c r="D226" s="5" t="s">
        <v>172</v>
      </c>
      <c r="E226" s="5" t="n">
        <v>456</v>
      </c>
      <c r="F226" s="5" t="s">
        <v>609</v>
      </c>
      <c r="G226" s="5" t="n">
        <v>4</v>
      </c>
      <c r="H226" s="5" t="s">
        <v>53</v>
      </c>
      <c r="I226" s="5" t="s">
        <v>54</v>
      </c>
      <c r="J226" s="5" t="s">
        <v>181</v>
      </c>
      <c r="K226" s="5" t="s">
        <v>235</v>
      </c>
      <c r="L226" s="5" t="n">
        <v>4</v>
      </c>
      <c r="M226" s="5" t="n">
        <v>4</v>
      </c>
      <c r="N226" s="5" t="n">
        <v>7</v>
      </c>
      <c r="O226" s="5" t="n">
        <v>4</v>
      </c>
      <c r="P226" s="5" t="n">
        <v>1.5</v>
      </c>
      <c r="Q226" s="5" t="n">
        <v>0</v>
      </c>
      <c r="R226" s="5" t="n">
        <v>5</v>
      </c>
      <c r="S226" s="5" t="n">
        <v>7</v>
      </c>
      <c r="T226" s="5" t="s">
        <v>610</v>
      </c>
      <c r="U226" s="6"/>
      <c r="V226" s="6"/>
      <c r="W226" s="6"/>
      <c r="X226" s="6"/>
      <c r="Y226" s="7" t="str">
        <f aca="false">IF(COUNT(U226:X226)=4,(W226-X226)/2,"")</f>
        <v/>
      </c>
      <c r="Z226" s="7" t="str">
        <f aca="false">IF(COUNT(U226:X226)=4,(U226-V226)/2,"")</f>
        <v/>
      </c>
      <c r="AA226" s="7" t="str">
        <f aca="false">IF(COUNT(U226:X226)=4,MAX(1,MIN(10,ROUNDUP(5-Z226,0))),"")</f>
        <v/>
      </c>
      <c r="AB226" s="7" t="str">
        <f aca="false">IF(COUNT(U226:X226)=4,MAX(1,MIN(10,ROUNDUP(Y226+5,0))),"")</f>
        <v/>
      </c>
      <c r="AC226" s="6"/>
      <c r="AD226" s="6"/>
    </row>
    <row r="227" customFormat="false" ht="15" hidden="false" customHeight="true" outlineLevel="0" collapsed="false">
      <c r="A227" s="5" t="n">
        <v>226</v>
      </c>
      <c r="B227" s="5" t="s">
        <v>611</v>
      </c>
      <c r="C227" s="5" t="s">
        <v>145</v>
      </c>
      <c r="D227" s="5" t="s">
        <v>51</v>
      </c>
      <c r="E227" s="5" t="n">
        <v>454</v>
      </c>
      <c r="F227" s="5" t="s">
        <v>612</v>
      </c>
      <c r="G227" s="5" t="n">
        <v>4</v>
      </c>
      <c r="H227" s="5" t="s">
        <v>53</v>
      </c>
      <c r="I227" s="5" t="s">
        <v>54</v>
      </c>
      <c r="J227" s="5" t="s">
        <v>55</v>
      </c>
      <c r="K227" s="5" t="s">
        <v>55</v>
      </c>
      <c r="L227" s="5" t="n">
        <v>4</v>
      </c>
      <c r="M227" s="5" t="n">
        <v>4</v>
      </c>
      <c r="N227" s="5" t="n">
        <v>7</v>
      </c>
      <c r="O227" s="5" t="n">
        <v>3</v>
      </c>
      <c r="P227" s="5" t="n">
        <v>2</v>
      </c>
      <c r="Q227" s="5" t="n">
        <v>0</v>
      </c>
      <c r="R227" s="5" t="n">
        <v>5</v>
      </c>
      <c r="S227" s="5" t="n">
        <v>7</v>
      </c>
      <c r="T227" s="5" t="s">
        <v>195</v>
      </c>
      <c r="U227" s="6"/>
      <c r="V227" s="6"/>
      <c r="W227" s="6"/>
      <c r="X227" s="6"/>
      <c r="Y227" s="7" t="str">
        <f aca="false">IF(COUNT(U227:X227)=4,(W227-X227)/2,"")</f>
        <v/>
      </c>
      <c r="Z227" s="7" t="str">
        <f aca="false">IF(COUNT(U227:X227)=4,(U227-V227)/2,"")</f>
        <v/>
      </c>
      <c r="AA227" s="7" t="str">
        <f aca="false">IF(COUNT(U227:X227)=4,MAX(1,MIN(10,ROUNDUP(5-Z227,0))),"")</f>
        <v/>
      </c>
      <c r="AB227" s="7" t="str">
        <f aca="false">IF(COUNT(U227:X227)=4,MAX(1,MIN(10,ROUNDUP(Y227+5,0))),"")</f>
        <v/>
      </c>
      <c r="AC227" s="6"/>
      <c r="AD227" s="6"/>
    </row>
    <row r="228" customFormat="false" ht="15" hidden="false" customHeight="true" outlineLevel="0" collapsed="false">
      <c r="A228" s="5" t="n">
        <v>227</v>
      </c>
      <c r="B228" s="5" t="s">
        <v>613</v>
      </c>
      <c r="C228" s="5" t="s">
        <v>145</v>
      </c>
      <c r="D228" s="5" t="s">
        <v>51</v>
      </c>
      <c r="E228" s="5" t="n">
        <v>452</v>
      </c>
      <c r="F228" s="5" t="s">
        <v>614</v>
      </c>
      <c r="G228" s="5" t="n">
        <v>4</v>
      </c>
      <c r="H228" s="5" t="s">
        <v>53</v>
      </c>
      <c r="I228" s="5" t="s">
        <v>54</v>
      </c>
      <c r="J228" s="5" t="s">
        <v>55</v>
      </c>
      <c r="K228" s="5" t="s">
        <v>55</v>
      </c>
      <c r="L228" s="5" t="n">
        <v>5</v>
      </c>
      <c r="M228" s="5" t="n">
        <v>2</v>
      </c>
      <c r="N228" s="5" t="n">
        <v>5</v>
      </c>
      <c r="O228" s="5" t="n">
        <v>8</v>
      </c>
      <c r="P228" s="5" t="n">
        <v>-1.5</v>
      </c>
      <c r="Q228" s="5" t="n">
        <v>1.5</v>
      </c>
      <c r="R228" s="5" t="n">
        <v>4</v>
      </c>
      <c r="S228" s="5" t="n">
        <v>4</v>
      </c>
      <c r="T228" s="5" t="s">
        <v>106</v>
      </c>
      <c r="U228" s="6"/>
      <c r="V228" s="6"/>
      <c r="W228" s="6"/>
      <c r="X228" s="6"/>
      <c r="Y228" s="7" t="str">
        <f aca="false">IF(COUNT(U228:X228)=4,(W228-X228)/2,"")</f>
        <v/>
      </c>
      <c r="Z228" s="7" t="str">
        <f aca="false">IF(COUNT(U228:X228)=4,(U228-V228)/2,"")</f>
        <v/>
      </c>
      <c r="AA228" s="7" t="str">
        <f aca="false">IF(COUNT(U228:X228)=4,MAX(1,MIN(10,ROUNDUP(5-Z228,0))),"")</f>
        <v/>
      </c>
      <c r="AB228" s="7" t="str">
        <f aca="false">IF(COUNT(U228:X228)=4,MAX(1,MIN(10,ROUNDUP(Y228+5,0))),"")</f>
        <v/>
      </c>
      <c r="AC228" s="6"/>
      <c r="AD228" s="6"/>
    </row>
    <row r="229" customFormat="false" ht="15" hidden="false" customHeight="true" outlineLevel="0" collapsed="false">
      <c r="A229" s="5" t="n">
        <v>228</v>
      </c>
      <c r="B229" s="5" t="s">
        <v>615</v>
      </c>
      <c r="C229" s="5" t="s">
        <v>171</v>
      </c>
      <c r="D229" s="5" t="s">
        <v>172</v>
      </c>
      <c r="E229" s="5" t="n">
        <v>452</v>
      </c>
      <c r="F229" s="5" t="s">
        <v>616</v>
      </c>
      <c r="G229" s="5" t="n">
        <v>4</v>
      </c>
      <c r="H229" s="5" t="s">
        <v>53</v>
      </c>
      <c r="I229" s="5" t="s">
        <v>54</v>
      </c>
      <c r="J229" s="5" t="s">
        <v>181</v>
      </c>
      <c r="K229" s="5" t="s">
        <v>223</v>
      </c>
      <c r="L229" s="5" t="n">
        <v>3</v>
      </c>
      <c r="M229" s="5" t="n">
        <v>4</v>
      </c>
      <c r="N229" s="5" t="n">
        <v>8</v>
      </c>
      <c r="O229" s="5" t="n">
        <v>3</v>
      </c>
      <c r="P229" s="5" t="n">
        <v>2.5</v>
      </c>
      <c r="Q229" s="5" t="n">
        <v>-0.5</v>
      </c>
      <c r="R229" s="5" t="n">
        <v>6</v>
      </c>
      <c r="S229" s="5" t="n">
        <v>8</v>
      </c>
      <c r="T229" s="5" t="s">
        <v>617</v>
      </c>
      <c r="U229" s="6"/>
      <c r="V229" s="6"/>
      <c r="W229" s="6"/>
      <c r="X229" s="6"/>
      <c r="Y229" s="7" t="str">
        <f aca="false">IF(COUNT(U229:X229)=4,(W229-X229)/2,"")</f>
        <v/>
      </c>
      <c r="Z229" s="7" t="str">
        <f aca="false">IF(COUNT(U229:X229)=4,(U229-V229)/2,"")</f>
        <v/>
      </c>
      <c r="AA229" s="7" t="str">
        <f aca="false">IF(COUNT(U229:X229)=4,MAX(1,MIN(10,ROUNDUP(5-Z229,0))),"")</f>
        <v/>
      </c>
      <c r="AB229" s="7" t="str">
        <f aca="false">IF(COUNT(U229:X229)=4,MAX(1,MIN(10,ROUNDUP(Y229+5,0))),"")</f>
        <v/>
      </c>
      <c r="AC229" s="6"/>
      <c r="AD229" s="6"/>
    </row>
    <row r="230" customFormat="false" ht="15" hidden="false" customHeight="true" outlineLevel="0" collapsed="false">
      <c r="A230" s="5" t="n">
        <v>229</v>
      </c>
      <c r="B230" s="5" t="s">
        <v>618</v>
      </c>
      <c r="C230" s="5" t="s">
        <v>171</v>
      </c>
      <c r="D230" s="5" t="s">
        <v>172</v>
      </c>
      <c r="E230" s="5" t="n">
        <v>450</v>
      </c>
      <c r="F230" s="5" t="s">
        <v>618</v>
      </c>
      <c r="G230" s="5" t="n">
        <v>2</v>
      </c>
      <c r="H230" s="5" t="s">
        <v>47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 t="s">
        <v>619</v>
      </c>
      <c r="U230" s="6"/>
      <c r="V230" s="6"/>
      <c r="W230" s="6"/>
      <c r="X230" s="6"/>
      <c r="Y230" s="7" t="str">
        <f aca="false">IF(COUNT(U230:X230)=4,(W230-X230)/2,"")</f>
        <v/>
      </c>
      <c r="Z230" s="7" t="str">
        <f aca="false">IF(COUNT(U230:X230)=4,(U230-V230)/2,"")</f>
        <v/>
      </c>
      <c r="AA230" s="7" t="str">
        <f aca="false">IF(COUNT(U230:X230)=4,MAX(1,MIN(10,ROUNDUP(5-Z230,0))),"")</f>
        <v/>
      </c>
      <c r="AB230" s="7" t="str">
        <f aca="false">IF(COUNT(U230:X230)=4,MAX(1,MIN(10,ROUNDUP(Y230+5,0))),"")</f>
        <v/>
      </c>
      <c r="AC230" s="6"/>
      <c r="AD230" s="6"/>
    </row>
    <row r="231" customFormat="false" ht="15" hidden="false" customHeight="true" outlineLevel="0" collapsed="false">
      <c r="A231" s="5" t="n">
        <v>230</v>
      </c>
      <c r="B231" s="5" t="s">
        <v>620</v>
      </c>
      <c r="C231" s="5" t="s">
        <v>145</v>
      </c>
      <c r="D231" s="5" t="s">
        <v>51</v>
      </c>
      <c r="E231" s="5" t="n">
        <v>446</v>
      </c>
      <c r="F231" s="5" t="s">
        <v>621</v>
      </c>
      <c r="G231" s="5" t="n">
        <v>4</v>
      </c>
      <c r="H231" s="5" t="s">
        <v>53</v>
      </c>
      <c r="I231" s="5" t="s">
        <v>54</v>
      </c>
      <c r="J231" s="5" t="s">
        <v>55</v>
      </c>
      <c r="K231" s="5" t="s">
        <v>55</v>
      </c>
      <c r="L231" s="5" t="n">
        <v>4</v>
      </c>
      <c r="M231" s="5" t="n">
        <v>3</v>
      </c>
      <c r="N231" s="5" t="n">
        <v>6</v>
      </c>
      <c r="O231" s="5" t="n">
        <v>4</v>
      </c>
      <c r="P231" s="5" t="n">
        <v>1</v>
      </c>
      <c r="Q231" s="5" t="n">
        <v>0.5</v>
      </c>
      <c r="R231" s="5" t="n">
        <v>5</v>
      </c>
      <c r="S231" s="5" t="n">
        <v>6</v>
      </c>
      <c r="T231" s="5" t="s">
        <v>178</v>
      </c>
      <c r="U231" s="6"/>
      <c r="V231" s="6"/>
      <c r="W231" s="6"/>
      <c r="X231" s="6"/>
      <c r="Y231" s="7" t="str">
        <f aca="false">IF(COUNT(U231:X231)=4,(W231-X231)/2,"")</f>
        <v/>
      </c>
      <c r="Z231" s="7" t="str">
        <f aca="false">IF(COUNT(U231:X231)=4,(U231-V231)/2,"")</f>
        <v/>
      </c>
      <c r="AA231" s="7" t="str">
        <f aca="false">IF(COUNT(U231:X231)=4,MAX(1,MIN(10,ROUNDUP(5-Z231,0))),"")</f>
        <v/>
      </c>
      <c r="AB231" s="7" t="str">
        <f aca="false">IF(COUNT(U231:X231)=4,MAX(1,MIN(10,ROUNDUP(Y231+5,0))),"")</f>
        <v/>
      </c>
      <c r="AC231" s="6"/>
      <c r="AD231" s="6"/>
    </row>
    <row r="232" customFormat="false" ht="15" hidden="false" customHeight="true" outlineLevel="0" collapsed="false">
      <c r="A232" s="5" t="n">
        <v>231</v>
      </c>
      <c r="B232" s="5" t="s">
        <v>622</v>
      </c>
      <c r="C232" s="5" t="s">
        <v>171</v>
      </c>
      <c r="D232" s="5" t="s">
        <v>172</v>
      </c>
      <c r="E232" s="5" t="n">
        <v>445</v>
      </c>
      <c r="F232" s="5" t="s">
        <v>623</v>
      </c>
      <c r="G232" s="5" t="n">
        <v>4</v>
      </c>
      <c r="H232" s="5" t="s">
        <v>53</v>
      </c>
      <c r="I232" s="5" t="s">
        <v>54</v>
      </c>
      <c r="J232" s="5" t="s">
        <v>181</v>
      </c>
      <c r="K232" s="5" t="s">
        <v>223</v>
      </c>
      <c r="L232" s="5" t="n">
        <v>3</v>
      </c>
      <c r="M232" s="5" t="n">
        <v>4</v>
      </c>
      <c r="N232" s="5" t="n">
        <v>8</v>
      </c>
      <c r="O232" s="5" t="n">
        <v>3</v>
      </c>
      <c r="P232" s="5" t="n">
        <v>2.5</v>
      </c>
      <c r="Q232" s="5" t="n">
        <v>-0.5</v>
      </c>
      <c r="R232" s="5" t="n">
        <v>6</v>
      </c>
      <c r="S232" s="5" t="n">
        <v>8</v>
      </c>
      <c r="T232" s="5" t="s">
        <v>624</v>
      </c>
      <c r="U232" s="6"/>
      <c r="V232" s="6"/>
      <c r="W232" s="6"/>
      <c r="X232" s="6"/>
      <c r="Y232" s="7" t="str">
        <f aca="false">IF(COUNT(U232:X232)=4,(W232-X232)/2,"")</f>
        <v/>
      </c>
      <c r="Z232" s="7" t="str">
        <f aca="false">IF(COUNT(U232:X232)=4,(U232-V232)/2,"")</f>
        <v/>
      </c>
      <c r="AA232" s="7" t="str">
        <f aca="false">IF(COUNT(U232:X232)=4,MAX(1,MIN(10,ROUNDUP(5-Z232,0))),"")</f>
        <v/>
      </c>
      <c r="AB232" s="7" t="str">
        <f aca="false">IF(COUNT(U232:X232)=4,MAX(1,MIN(10,ROUNDUP(Y232+5,0))),"")</f>
        <v/>
      </c>
      <c r="AC232" s="6"/>
      <c r="AD232" s="6"/>
    </row>
    <row r="233" customFormat="false" ht="15" hidden="false" customHeight="true" outlineLevel="0" collapsed="false">
      <c r="A233" s="5" t="n">
        <v>232</v>
      </c>
      <c r="B233" s="5" t="s">
        <v>625</v>
      </c>
      <c r="C233" s="5" t="s">
        <v>171</v>
      </c>
      <c r="D233" s="5" t="s">
        <v>172</v>
      </c>
      <c r="E233" s="5" t="n">
        <v>445</v>
      </c>
      <c r="F233" s="5" t="s">
        <v>626</v>
      </c>
      <c r="G233" s="5" t="n">
        <v>4</v>
      </c>
      <c r="H233" s="5" t="s">
        <v>53</v>
      </c>
      <c r="I233" s="5" t="s">
        <v>54</v>
      </c>
      <c r="J233" s="5" t="s">
        <v>181</v>
      </c>
      <c r="K233" s="5" t="s">
        <v>443</v>
      </c>
      <c r="L233" s="5" t="n">
        <v>5</v>
      </c>
      <c r="M233" s="5" t="n">
        <v>3</v>
      </c>
      <c r="N233" s="5" t="n">
        <v>4</v>
      </c>
      <c r="O233" s="5" t="n">
        <v>8</v>
      </c>
      <c r="P233" s="5" t="n">
        <v>-2</v>
      </c>
      <c r="Q233" s="5" t="n">
        <v>1</v>
      </c>
      <c r="R233" s="5" t="n">
        <v>4</v>
      </c>
      <c r="S233" s="5" t="n">
        <v>3</v>
      </c>
      <c r="T233" s="5" t="s">
        <v>236</v>
      </c>
      <c r="U233" s="6"/>
      <c r="V233" s="6"/>
      <c r="W233" s="6"/>
      <c r="X233" s="6"/>
      <c r="Y233" s="7" t="str">
        <f aca="false">IF(COUNT(U233:X233)=4,(W233-X233)/2,"")</f>
        <v/>
      </c>
      <c r="Z233" s="7" t="str">
        <f aca="false">IF(COUNT(U233:X233)=4,(U233-V233)/2,"")</f>
        <v/>
      </c>
      <c r="AA233" s="7" t="str">
        <f aca="false">IF(COUNT(U233:X233)=4,MAX(1,MIN(10,ROUNDUP(5-Z233,0))),"")</f>
        <v/>
      </c>
      <c r="AB233" s="7" t="str">
        <f aca="false">IF(COUNT(U233:X233)=4,MAX(1,MIN(10,ROUNDUP(Y233+5,0))),"")</f>
        <v/>
      </c>
      <c r="AC233" s="6"/>
      <c r="AD233" s="6"/>
    </row>
    <row r="234" customFormat="false" ht="15" hidden="false" customHeight="true" outlineLevel="0" collapsed="false">
      <c r="A234" s="5" t="n">
        <v>233</v>
      </c>
      <c r="B234" s="5" t="s">
        <v>627</v>
      </c>
      <c r="C234" s="5" t="s">
        <v>171</v>
      </c>
      <c r="D234" s="5" t="s">
        <v>172</v>
      </c>
      <c r="E234" s="5" t="n">
        <v>444</v>
      </c>
      <c r="F234" s="5" t="s">
        <v>628</v>
      </c>
      <c r="G234" s="5" t="n">
        <v>4</v>
      </c>
      <c r="H234" s="5" t="s">
        <v>53</v>
      </c>
      <c r="I234" s="5" t="s">
        <v>54</v>
      </c>
      <c r="J234" s="5" t="s">
        <v>181</v>
      </c>
      <c r="K234" s="5" t="s">
        <v>309</v>
      </c>
      <c r="L234" s="5" t="n">
        <v>2</v>
      </c>
      <c r="M234" s="5" t="n">
        <v>5</v>
      </c>
      <c r="N234" s="5" t="n">
        <v>5</v>
      </c>
      <c r="O234" s="5" t="n">
        <v>4</v>
      </c>
      <c r="P234" s="5" t="n">
        <v>0.5</v>
      </c>
      <c r="Q234" s="5" t="n">
        <v>-1.5</v>
      </c>
      <c r="R234" s="5" t="n">
        <v>7</v>
      </c>
      <c r="S234" s="5" t="n">
        <v>6</v>
      </c>
      <c r="T234" s="5" t="s">
        <v>243</v>
      </c>
      <c r="U234" s="6"/>
      <c r="V234" s="6"/>
      <c r="W234" s="6"/>
      <c r="X234" s="6"/>
      <c r="Y234" s="7" t="str">
        <f aca="false">IF(COUNT(U234:X234)=4,(W234-X234)/2,"")</f>
        <v/>
      </c>
      <c r="Z234" s="7" t="str">
        <f aca="false">IF(COUNT(U234:X234)=4,(U234-V234)/2,"")</f>
        <v/>
      </c>
      <c r="AA234" s="7" t="str">
        <f aca="false">IF(COUNT(U234:X234)=4,MAX(1,MIN(10,ROUNDUP(5-Z234,0))),"")</f>
        <v/>
      </c>
      <c r="AB234" s="7" t="str">
        <f aca="false">IF(COUNT(U234:X234)=4,MAX(1,MIN(10,ROUNDUP(Y234+5,0))),"")</f>
        <v/>
      </c>
      <c r="AC234" s="6"/>
      <c r="AD234" s="6"/>
    </row>
    <row r="235" customFormat="false" ht="15" hidden="false" customHeight="true" outlineLevel="0" collapsed="false">
      <c r="A235" s="5" t="n">
        <v>234</v>
      </c>
      <c r="B235" s="5" t="s">
        <v>629</v>
      </c>
      <c r="C235" s="5" t="s">
        <v>171</v>
      </c>
      <c r="D235" s="5" t="s">
        <v>172</v>
      </c>
      <c r="E235" s="5" t="n">
        <v>442</v>
      </c>
      <c r="F235" s="5" t="s">
        <v>630</v>
      </c>
      <c r="G235" s="5" t="n">
        <v>4</v>
      </c>
      <c r="H235" s="5" t="s">
        <v>53</v>
      </c>
      <c r="I235" s="5" t="s">
        <v>54</v>
      </c>
      <c r="J235" s="5" t="s">
        <v>181</v>
      </c>
      <c r="K235" s="5" t="s">
        <v>223</v>
      </c>
      <c r="L235" s="5" t="n">
        <v>5</v>
      </c>
      <c r="M235" s="5" t="n">
        <v>4</v>
      </c>
      <c r="N235" s="5" t="n">
        <v>8</v>
      </c>
      <c r="O235" s="5" t="n">
        <v>4</v>
      </c>
      <c r="P235" s="5" t="n">
        <v>2</v>
      </c>
      <c r="Q235" s="5" t="n">
        <v>0.5</v>
      </c>
      <c r="R235" s="5" t="n">
        <v>5</v>
      </c>
      <c r="S235" s="5" t="n">
        <v>7</v>
      </c>
      <c r="T235" s="5" t="s">
        <v>631</v>
      </c>
      <c r="U235" s="6"/>
      <c r="V235" s="6"/>
      <c r="W235" s="6"/>
      <c r="X235" s="6"/>
      <c r="Y235" s="7" t="str">
        <f aca="false">IF(COUNT(U235:X235)=4,(W235-X235)/2,"")</f>
        <v/>
      </c>
      <c r="Z235" s="7" t="str">
        <f aca="false">IF(COUNT(U235:X235)=4,(U235-V235)/2,"")</f>
        <v/>
      </c>
      <c r="AA235" s="7" t="str">
        <f aca="false">IF(COUNT(U235:X235)=4,MAX(1,MIN(10,ROUNDUP(5-Z235,0))),"")</f>
        <v/>
      </c>
      <c r="AB235" s="7" t="str">
        <f aca="false">IF(COUNT(U235:X235)=4,MAX(1,MIN(10,ROUNDUP(Y235+5,0))),"")</f>
        <v/>
      </c>
      <c r="AC235" s="6"/>
      <c r="AD235" s="6"/>
    </row>
    <row r="236" customFormat="false" ht="15" hidden="false" customHeight="true" outlineLevel="0" collapsed="false">
      <c r="A236" s="5" t="n">
        <v>235</v>
      </c>
      <c r="B236" s="5" t="s">
        <v>632</v>
      </c>
      <c r="C236" s="5" t="s">
        <v>203</v>
      </c>
      <c r="D236" s="5" t="s">
        <v>204</v>
      </c>
      <c r="E236" s="5" t="n">
        <v>441</v>
      </c>
      <c r="F236" s="5" t="s">
        <v>633</v>
      </c>
      <c r="G236" s="5" t="n">
        <v>4</v>
      </c>
      <c r="H236" s="5" t="s">
        <v>53</v>
      </c>
      <c r="I236" s="5" t="s">
        <v>54</v>
      </c>
      <c r="J236" s="5" t="s">
        <v>117</v>
      </c>
      <c r="K236" s="5" t="s">
        <v>117</v>
      </c>
      <c r="L236" s="5" t="n">
        <v>4</v>
      </c>
      <c r="M236" s="5" t="n">
        <v>2</v>
      </c>
      <c r="N236" s="5" t="n">
        <v>2</v>
      </c>
      <c r="O236" s="5" t="n">
        <v>7</v>
      </c>
      <c r="P236" s="5" t="n">
        <v>-2.5</v>
      </c>
      <c r="Q236" s="5" t="n">
        <v>1</v>
      </c>
      <c r="R236" s="5" t="n">
        <v>4</v>
      </c>
      <c r="S236" s="5" t="n">
        <v>3</v>
      </c>
      <c r="T236" s="5" t="s">
        <v>634</v>
      </c>
      <c r="U236" s="6"/>
      <c r="V236" s="6"/>
      <c r="W236" s="6"/>
      <c r="X236" s="6"/>
      <c r="Y236" s="7" t="str">
        <f aca="false">IF(COUNT(U236:X236)=4,(W236-X236)/2,"")</f>
        <v/>
      </c>
      <c r="Z236" s="7" t="str">
        <f aca="false">IF(COUNT(U236:X236)=4,(U236-V236)/2,"")</f>
        <v/>
      </c>
      <c r="AA236" s="7" t="str">
        <f aca="false">IF(COUNT(U236:X236)=4,MAX(1,MIN(10,ROUNDUP(5-Z236,0))),"")</f>
        <v/>
      </c>
      <c r="AB236" s="7" t="str">
        <f aca="false">IF(COUNT(U236:X236)=4,MAX(1,MIN(10,ROUNDUP(Y236+5,0))),"")</f>
        <v/>
      </c>
      <c r="AC236" s="6"/>
      <c r="AD236" s="6"/>
    </row>
    <row r="237" customFormat="false" ht="15" hidden="false" customHeight="true" outlineLevel="0" collapsed="false">
      <c r="A237" s="5" t="n">
        <v>236</v>
      </c>
      <c r="B237" s="5" t="s">
        <v>635</v>
      </c>
      <c r="C237" s="5" t="s">
        <v>58</v>
      </c>
      <c r="D237" s="5" t="s">
        <v>59</v>
      </c>
      <c r="E237" s="5" t="n">
        <v>440</v>
      </c>
      <c r="F237" s="5" t="s">
        <v>635</v>
      </c>
      <c r="G237" s="5" t="n">
        <v>3</v>
      </c>
      <c r="H237" s="5" t="s">
        <v>53</v>
      </c>
      <c r="I237" s="5" t="s">
        <v>64</v>
      </c>
      <c r="J237" s="5"/>
      <c r="K237" s="5"/>
      <c r="L237" s="5" t="n">
        <v>4</v>
      </c>
      <c r="M237" s="5" t="n">
        <v>4</v>
      </c>
      <c r="N237" s="5" t="n">
        <v>2</v>
      </c>
      <c r="O237" s="5" t="n">
        <v>8</v>
      </c>
      <c r="P237" s="5" t="n">
        <v>-3</v>
      </c>
      <c r="Q237" s="5" t="n">
        <v>0</v>
      </c>
      <c r="R237" s="5" t="n">
        <v>5</v>
      </c>
      <c r="S237" s="5" t="n">
        <v>2</v>
      </c>
      <c r="T237" s="5" t="s">
        <v>636</v>
      </c>
      <c r="U237" s="6"/>
      <c r="V237" s="6"/>
      <c r="W237" s="6"/>
      <c r="X237" s="6"/>
      <c r="Y237" s="7" t="str">
        <f aca="false">IF(COUNT(U237:X237)=4,(W237-X237)/2,"")</f>
        <v/>
      </c>
      <c r="Z237" s="7" t="str">
        <f aca="false">IF(COUNT(U237:X237)=4,(U237-V237)/2,"")</f>
        <v/>
      </c>
      <c r="AA237" s="7" t="str">
        <f aca="false">IF(COUNT(U237:X237)=4,MAX(1,MIN(10,ROUNDUP(5-Z237,0))),"")</f>
        <v/>
      </c>
      <c r="AB237" s="7" t="str">
        <f aca="false">IF(COUNT(U237:X237)=4,MAX(1,MIN(10,ROUNDUP(Y237+5,0))),"")</f>
        <v/>
      </c>
      <c r="AC237" s="6"/>
      <c r="AD237" s="6"/>
    </row>
    <row r="238" customFormat="false" ht="15" hidden="false" customHeight="true" outlineLevel="0" collapsed="false">
      <c r="A238" s="5" t="n">
        <v>237</v>
      </c>
      <c r="B238" s="5" t="s">
        <v>637</v>
      </c>
      <c r="C238" s="5" t="s">
        <v>145</v>
      </c>
      <c r="D238" s="5" t="s">
        <v>51</v>
      </c>
      <c r="E238" s="5" t="n">
        <v>439</v>
      </c>
      <c r="F238" s="5" t="s">
        <v>638</v>
      </c>
      <c r="G238" s="5" t="n">
        <v>4</v>
      </c>
      <c r="H238" s="5" t="s">
        <v>53</v>
      </c>
      <c r="I238" s="5" t="s">
        <v>54</v>
      </c>
      <c r="J238" s="5" t="s">
        <v>117</v>
      </c>
      <c r="K238" s="5" t="s">
        <v>117</v>
      </c>
      <c r="L238" s="5" t="n">
        <v>4</v>
      </c>
      <c r="M238" s="5" t="n">
        <v>2</v>
      </c>
      <c r="N238" s="5" t="n">
        <v>7</v>
      </c>
      <c r="O238" s="5" t="n">
        <v>3</v>
      </c>
      <c r="P238" s="5" t="n">
        <v>2</v>
      </c>
      <c r="Q238" s="5" t="n">
        <v>1</v>
      </c>
      <c r="R238" s="5" t="n">
        <v>4</v>
      </c>
      <c r="S238" s="5" t="n">
        <v>7</v>
      </c>
      <c r="T238" s="5" t="s">
        <v>639</v>
      </c>
      <c r="U238" s="6"/>
      <c r="V238" s="6"/>
      <c r="W238" s="6"/>
      <c r="X238" s="6"/>
      <c r="Y238" s="7" t="str">
        <f aca="false">IF(COUNT(U238:X238)=4,(W238-X238)/2,"")</f>
        <v/>
      </c>
      <c r="Z238" s="7" t="str">
        <f aca="false">IF(COUNT(U238:X238)=4,(U238-V238)/2,"")</f>
        <v/>
      </c>
      <c r="AA238" s="7" t="str">
        <f aca="false">IF(COUNT(U238:X238)=4,MAX(1,MIN(10,ROUNDUP(5-Z238,0))),"")</f>
        <v/>
      </c>
      <c r="AB238" s="7" t="str">
        <f aca="false">IF(COUNT(U238:X238)=4,MAX(1,MIN(10,ROUNDUP(Y238+5,0))),"")</f>
        <v/>
      </c>
      <c r="AC238" s="6"/>
      <c r="AD238" s="6"/>
    </row>
    <row r="239" customFormat="false" ht="15" hidden="false" customHeight="true" outlineLevel="0" collapsed="false">
      <c r="A239" s="5" t="n">
        <v>238</v>
      </c>
      <c r="B239" s="5" t="s">
        <v>640</v>
      </c>
      <c r="C239" s="5" t="s">
        <v>203</v>
      </c>
      <c r="D239" s="5" t="s">
        <v>204</v>
      </c>
      <c r="E239" s="5" t="n">
        <v>438</v>
      </c>
      <c r="F239" s="5" t="s">
        <v>640</v>
      </c>
      <c r="G239" s="5" t="n">
        <v>4</v>
      </c>
      <c r="H239" s="5" t="s">
        <v>53</v>
      </c>
      <c r="I239" s="5" t="s">
        <v>54</v>
      </c>
      <c r="J239" s="5" t="s">
        <v>117</v>
      </c>
      <c r="K239" s="5" t="s">
        <v>117</v>
      </c>
      <c r="L239" s="5" t="n">
        <v>3</v>
      </c>
      <c r="M239" s="5" t="n">
        <v>1</v>
      </c>
      <c r="N239" s="5" t="n">
        <v>1</v>
      </c>
      <c r="O239" s="5" t="n">
        <v>9</v>
      </c>
      <c r="P239" s="5" t="n">
        <v>-4</v>
      </c>
      <c r="Q239" s="5" t="n">
        <v>1</v>
      </c>
      <c r="R239" s="5" t="n">
        <v>4</v>
      </c>
      <c r="S239" s="5" t="n">
        <v>1</v>
      </c>
      <c r="T239" s="5" t="s">
        <v>384</v>
      </c>
      <c r="U239" s="6"/>
      <c r="V239" s="6"/>
      <c r="W239" s="6"/>
      <c r="X239" s="6"/>
      <c r="Y239" s="7" t="str">
        <f aca="false">IF(COUNT(U239:X239)=4,(W239-X239)/2,"")</f>
        <v/>
      </c>
      <c r="Z239" s="7" t="str">
        <f aca="false">IF(COUNT(U239:X239)=4,(U239-V239)/2,"")</f>
        <v/>
      </c>
      <c r="AA239" s="7" t="str">
        <f aca="false">IF(COUNT(U239:X239)=4,MAX(1,MIN(10,ROUNDUP(5-Z239,0))),"")</f>
        <v/>
      </c>
      <c r="AB239" s="7" t="str">
        <f aca="false">IF(COUNT(U239:X239)=4,MAX(1,MIN(10,ROUNDUP(Y239+5,0))),"")</f>
        <v/>
      </c>
      <c r="AC239" s="6"/>
      <c r="AD239" s="6"/>
    </row>
    <row r="240" customFormat="false" ht="15" hidden="false" customHeight="true" outlineLevel="0" collapsed="false">
      <c r="A240" s="5" t="n">
        <v>239</v>
      </c>
      <c r="B240" s="5" t="s">
        <v>641</v>
      </c>
      <c r="C240" s="5" t="s">
        <v>108</v>
      </c>
      <c r="D240" s="5" t="s">
        <v>109</v>
      </c>
      <c r="E240" s="5" t="n">
        <v>432</v>
      </c>
      <c r="F240" s="5" t="s">
        <v>641</v>
      </c>
      <c r="G240" s="5" t="n">
        <v>2</v>
      </c>
      <c r="H240" s="5" t="s">
        <v>47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 t="s">
        <v>280</v>
      </c>
      <c r="U240" s="6"/>
      <c r="V240" s="6"/>
      <c r="W240" s="6"/>
      <c r="X240" s="6"/>
      <c r="Y240" s="7" t="str">
        <f aca="false">IF(COUNT(U240:X240)=4,(W240-X240)/2,"")</f>
        <v/>
      </c>
      <c r="Z240" s="7" t="str">
        <f aca="false">IF(COUNT(U240:X240)=4,(U240-V240)/2,"")</f>
        <v/>
      </c>
      <c r="AA240" s="7" t="str">
        <f aca="false">IF(COUNT(U240:X240)=4,MAX(1,MIN(10,ROUNDUP(5-Z240,0))),"")</f>
        <v/>
      </c>
      <c r="AB240" s="7" t="str">
        <f aca="false">IF(COUNT(U240:X240)=4,MAX(1,MIN(10,ROUNDUP(Y240+5,0))),"")</f>
        <v/>
      </c>
      <c r="AC240" s="6"/>
      <c r="AD240" s="6"/>
    </row>
    <row r="241" customFormat="false" ht="15" hidden="false" customHeight="true" outlineLevel="0" collapsed="false">
      <c r="A241" s="5" t="n">
        <v>240</v>
      </c>
      <c r="B241" s="5" t="s">
        <v>642</v>
      </c>
      <c r="C241" s="5" t="s">
        <v>108</v>
      </c>
      <c r="D241" s="5" t="s">
        <v>109</v>
      </c>
      <c r="E241" s="5" t="n">
        <v>430</v>
      </c>
      <c r="F241" s="5" t="s">
        <v>642</v>
      </c>
      <c r="G241" s="5" t="n">
        <v>2</v>
      </c>
      <c r="H241" s="5" t="s">
        <v>47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 t="s">
        <v>643</v>
      </c>
      <c r="U241" s="6"/>
      <c r="V241" s="6"/>
      <c r="W241" s="6"/>
      <c r="X241" s="6"/>
      <c r="Y241" s="7" t="str">
        <f aca="false">IF(COUNT(U241:X241)=4,(W241-X241)/2,"")</f>
        <v/>
      </c>
      <c r="Z241" s="7" t="str">
        <f aca="false">IF(COUNT(U241:X241)=4,(U241-V241)/2,"")</f>
        <v/>
      </c>
      <c r="AA241" s="7" t="str">
        <f aca="false">IF(COUNT(U241:X241)=4,MAX(1,MIN(10,ROUNDUP(5-Z241,0))),"")</f>
        <v/>
      </c>
      <c r="AB241" s="7" t="str">
        <f aca="false">IF(COUNT(U241:X241)=4,MAX(1,MIN(10,ROUNDUP(Y241+5,0))),"")</f>
        <v/>
      </c>
      <c r="AC241" s="6"/>
      <c r="AD241" s="6"/>
    </row>
    <row r="242" customFormat="false" ht="15" hidden="false" customHeight="true" outlineLevel="0" collapsed="false">
      <c r="A242" s="5" t="n">
        <v>241</v>
      </c>
      <c r="B242" s="5" t="s">
        <v>644</v>
      </c>
      <c r="C242" s="5" t="s">
        <v>145</v>
      </c>
      <c r="D242" s="5" t="s">
        <v>51</v>
      </c>
      <c r="E242" s="5" t="n">
        <v>428</v>
      </c>
      <c r="F242" s="5" t="s">
        <v>645</v>
      </c>
      <c r="G242" s="5" t="n">
        <v>4</v>
      </c>
      <c r="H242" s="5" t="s">
        <v>53</v>
      </c>
      <c r="I242" s="5" t="s">
        <v>54</v>
      </c>
      <c r="J242" s="5" t="s">
        <v>55</v>
      </c>
      <c r="K242" s="5" t="s">
        <v>55</v>
      </c>
      <c r="L242" s="5" t="n">
        <v>4</v>
      </c>
      <c r="M242" s="5" t="n">
        <v>2</v>
      </c>
      <c r="N242" s="5" t="n">
        <v>10</v>
      </c>
      <c r="O242" s="5" t="n">
        <v>1</v>
      </c>
      <c r="P242" s="5" t="n">
        <v>4.5</v>
      </c>
      <c r="Q242" s="5" t="n">
        <v>1</v>
      </c>
      <c r="R242" s="5" t="n">
        <v>4</v>
      </c>
      <c r="S242" s="5" t="n">
        <v>10</v>
      </c>
      <c r="T242" s="5" t="s">
        <v>646</v>
      </c>
      <c r="U242" s="6"/>
      <c r="V242" s="6"/>
      <c r="W242" s="6"/>
      <c r="X242" s="6"/>
      <c r="Y242" s="7" t="str">
        <f aca="false">IF(COUNT(U242:X242)=4,(W242-X242)/2,"")</f>
        <v/>
      </c>
      <c r="Z242" s="7" t="str">
        <f aca="false">IF(COUNT(U242:X242)=4,(U242-V242)/2,"")</f>
        <v/>
      </c>
      <c r="AA242" s="7" t="str">
        <f aca="false">IF(COUNT(U242:X242)=4,MAX(1,MIN(10,ROUNDUP(5-Z242,0))),"")</f>
        <v/>
      </c>
      <c r="AB242" s="7" t="str">
        <f aca="false">IF(COUNT(U242:X242)=4,MAX(1,MIN(10,ROUNDUP(Y242+5,0))),"")</f>
        <v/>
      </c>
      <c r="AC242" s="6"/>
      <c r="AD242" s="6"/>
    </row>
    <row r="243" customFormat="false" ht="15" hidden="false" customHeight="true" outlineLevel="0" collapsed="false">
      <c r="A243" s="5" t="n">
        <v>242</v>
      </c>
      <c r="B243" s="5" t="s">
        <v>647</v>
      </c>
      <c r="C243" s="5" t="s">
        <v>145</v>
      </c>
      <c r="D243" s="5" t="s">
        <v>51</v>
      </c>
      <c r="E243" s="5" t="n">
        <v>419</v>
      </c>
      <c r="F243" s="5" t="s">
        <v>648</v>
      </c>
      <c r="G243" s="5" t="n">
        <v>4</v>
      </c>
      <c r="H243" s="5" t="s">
        <v>53</v>
      </c>
      <c r="I243" s="5" t="s">
        <v>54</v>
      </c>
      <c r="J243" s="5" t="s">
        <v>55</v>
      </c>
      <c r="K243" s="5" t="s">
        <v>55</v>
      </c>
      <c r="L243" s="5" t="n">
        <v>5</v>
      </c>
      <c r="M243" s="5" t="n">
        <v>2</v>
      </c>
      <c r="N243" s="5" t="n">
        <v>5</v>
      </c>
      <c r="O243" s="5" t="n">
        <v>8</v>
      </c>
      <c r="P243" s="5" t="n">
        <v>-1.5</v>
      </c>
      <c r="Q243" s="5" t="n">
        <v>1.5</v>
      </c>
      <c r="R243" s="5" t="n">
        <v>4</v>
      </c>
      <c r="S243" s="5" t="n">
        <v>4</v>
      </c>
      <c r="T243" s="5" t="s">
        <v>649</v>
      </c>
      <c r="U243" s="6"/>
      <c r="V243" s="6"/>
      <c r="W243" s="6"/>
      <c r="X243" s="6"/>
      <c r="Y243" s="7" t="str">
        <f aca="false">IF(COUNT(U243:X243)=4,(W243-X243)/2,"")</f>
        <v/>
      </c>
      <c r="Z243" s="7" t="str">
        <f aca="false">IF(COUNT(U243:X243)=4,(U243-V243)/2,"")</f>
        <v/>
      </c>
      <c r="AA243" s="7" t="str">
        <f aca="false">IF(COUNT(U243:X243)=4,MAX(1,MIN(10,ROUNDUP(5-Z243,0))),"")</f>
        <v/>
      </c>
      <c r="AB243" s="7" t="str">
        <f aca="false">IF(COUNT(U243:X243)=4,MAX(1,MIN(10,ROUNDUP(Y243+5,0))),"")</f>
        <v/>
      </c>
      <c r="AC243" s="6"/>
      <c r="AD243" s="6"/>
    </row>
    <row r="244" customFormat="false" ht="15" hidden="false" customHeight="true" outlineLevel="0" collapsed="false">
      <c r="A244" s="5" t="n">
        <v>243</v>
      </c>
      <c r="B244" s="5" t="s">
        <v>650</v>
      </c>
      <c r="C244" s="5" t="s">
        <v>171</v>
      </c>
      <c r="D244" s="5" t="s">
        <v>172</v>
      </c>
      <c r="E244" s="5" t="n">
        <v>419</v>
      </c>
      <c r="F244" s="5" t="s">
        <v>651</v>
      </c>
      <c r="G244" s="5" t="n">
        <v>4</v>
      </c>
      <c r="H244" s="5" t="s">
        <v>53</v>
      </c>
      <c r="I244" s="5" t="s">
        <v>81</v>
      </c>
      <c r="J244" s="5" t="s">
        <v>174</v>
      </c>
      <c r="K244" s="5" t="s">
        <v>175</v>
      </c>
      <c r="L244" s="5" t="n">
        <v>7</v>
      </c>
      <c r="M244" s="5" t="n">
        <v>1</v>
      </c>
      <c r="N244" s="5" t="n">
        <v>3</v>
      </c>
      <c r="O244" s="5" t="n">
        <v>8</v>
      </c>
      <c r="P244" s="5" t="n">
        <v>-2.5</v>
      </c>
      <c r="Q244" s="5" t="n">
        <v>3</v>
      </c>
      <c r="R244" s="5" t="n">
        <v>2</v>
      </c>
      <c r="S244" s="5" t="n">
        <v>3</v>
      </c>
      <c r="T244" s="5" t="s">
        <v>652</v>
      </c>
      <c r="U244" s="6"/>
      <c r="V244" s="6"/>
      <c r="W244" s="6"/>
      <c r="X244" s="6"/>
      <c r="Y244" s="7" t="str">
        <f aca="false">IF(COUNT(U244:X244)=4,(W244-X244)/2,"")</f>
        <v/>
      </c>
      <c r="Z244" s="7" t="str">
        <f aca="false">IF(COUNT(U244:X244)=4,(U244-V244)/2,"")</f>
        <v/>
      </c>
      <c r="AA244" s="7" t="str">
        <f aca="false">IF(COUNT(U244:X244)=4,MAX(1,MIN(10,ROUNDUP(5-Z244,0))),"")</f>
        <v/>
      </c>
      <c r="AB244" s="7" t="str">
        <f aca="false">IF(COUNT(U244:X244)=4,MAX(1,MIN(10,ROUNDUP(Y244+5,0))),"")</f>
        <v/>
      </c>
      <c r="AC244" s="6"/>
      <c r="AD244" s="6"/>
    </row>
    <row r="245" customFormat="false" ht="15" hidden="false" customHeight="true" outlineLevel="0" collapsed="false">
      <c r="A245" s="5" t="n">
        <v>244</v>
      </c>
      <c r="B245" s="5" t="s">
        <v>653</v>
      </c>
      <c r="C245" s="5" t="s">
        <v>108</v>
      </c>
      <c r="D245" s="5" t="s">
        <v>109</v>
      </c>
      <c r="E245" s="5" t="n">
        <v>419</v>
      </c>
      <c r="F245" s="5" t="s">
        <v>653</v>
      </c>
      <c r="G245" s="5" t="n">
        <v>4</v>
      </c>
      <c r="H245" s="5" t="s">
        <v>53</v>
      </c>
      <c r="I245" s="5" t="s">
        <v>64</v>
      </c>
      <c r="J245" s="5"/>
      <c r="K245" s="5"/>
      <c r="L245" s="5" t="n">
        <v>1</v>
      </c>
      <c r="M245" s="5" t="n">
        <v>8</v>
      </c>
      <c r="N245" s="5" t="n">
        <v>3</v>
      </c>
      <c r="O245" s="5" t="n">
        <v>6</v>
      </c>
      <c r="P245" s="5" t="n">
        <v>-1.5</v>
      </c>
      <c r="Q245" s="5" t="n">
        <v>-3.5</v>
      </c>
      <c r="R245" s="5" t="n">
        <v>9</v>
      </c>
      <c r="S245" s="5" t="n">
        <v>4</v>
      </c>
      <c r="T245" s="5" t="s">
        <v>654</v>
      </c>
      <c r="U245" s="6"/>
      <c r="V245" s="6"/>
      <c r="W245" s="6"/>
      <c r="X245" s="6"/>
      <c r="Y245" s="7" t="str">
        <f aca="false">IF(COUNT(U245:X245)=4,(W245-X245)/2,"")</f>
        <v/>
      </c>
      <c r="Z245" s="7" t="str">
        <f aca="false">IF(COUNT(U245:X245)=4,(U245-V245)/2,"")</f>
        <v/>
      </c>
      <c r="AA245" s="7" t="str">
        <f aca="false">IF(COUNT(U245:X245)=4,MAX(1,MIN(10,ROUNDUP(5-Z245,0))),"")</f>
        <v/>
      </c>
      <c r="AB245" s="7" t="str">
        <f aca="false">IF(COUNT(U245:X245)=4,MAX(1,MIN(10,ROUNDUP(Y245+5,0))),"")</f>
        <v/>
      </c>
      <c r="AC245" s="6"/>
      <c r="AD245" s="6"/>
    </row>
    <row r="246" customFormat="false" ht="15" hidden="false" customHeight="true" outlineLevel="0" collapsed="false">
      <c r="A246" s="5" t="n">
        <v>245</v>
      </c>
      <c r="B246" s="5" t="s">
        <v>655</v>
      </c>
      <c r="C246" s="5" t="s">
        <v>203</v>
      </c>
      <c r="D246" s="5" t="s">
        <v>204</v>
      </c>
      <c r="E246" s="5" t="n">
        <v>418</v>
      </c>
      <c r="F246" s="5" t="s">
        <v>656</v>
      </c>
      <c r="G246" s="5" t="n">
        <v>4</v>
      </c>
      <c r="H246" s="5" t="s">
        <v>53</v>
      </c>
      <c r="I246" s="5" t="s">
        <v>54</v>
      </c>
      <c r="J246" s="5" t="s">
        <v>117</v>
      </c>
      <c r="K246" s="5" t="s">
        <v>117</v>
      </c>
      <c r="L246" s="5" t="n">
        <v>4</v>
      </c>
      <c r="M246" s="5" t="n">
        <v>2</v>
      </c>
      <c r="N246" s="5" t="n">
        <v>8</v>
      </c>
      <c r="O246" s="5" t="n">
        <v>2</v>
      </c>
      <c r="P246" s="5" t="n">
        <v>3</v>
      </c>
      <c r="Q246" s="5" t="n">
        <v>1</v>
      </c>
      <c r="R246" s="5" t="n">
        <v>4</v>
      </c>
      <c r="S246" s="5" t="n">
        <v>8</v>
      </c>
      <c r="T246" s="5" t="s">
        <v>657</v>
      </c>
      <c r="U246" s="6"/>
      <c r="V246" s="6"/>
      <c r="W246" s="6"/>
      <c r="X246" s="6"/>
      <c r="Y246" s="7" t="str">
        <f aca="false">IF(COUNT(U246:X246)=4,(W246-X246)/2,"")</f>
        <v/>
      </c>
      <c r="Z246" s="7" t="str">
        <f aca="false">IF(COUNT(U246:X246)=4,(U246-V246)/2,"")</f>
        <v/>
      </c>
      <c r="AA246" s="7" t="str">
        <f aca="false">IF(COUNT(U246:X246)=4,MAX(1,MIN(10,ROUNDUP(5-Z246,0))),"")</f>
        <v/>
      </c>
      <c r="AB246" s="7" t="str">
        <f aca="false">IF(COUNT(U246:X246)=4,MAX(1,MIN(10,ROUNDUP(Y246+5,0))),"")</f>
        <v/>
      </c>
      <c r="AC246" s="6"/>
      <c r="AD246" s="6"/>
    </row>
    <row r="247" customFormat="false" ht="15" hidden="false" customHeight="true" outlineLevel="0" collapsed="false">
      <c r="A247" s="5" t="n">
        <v>246</v>
      </c>
      <c r="B247" s="5" t="s">
        <v>658</v>
      </c>
      <c r="C247" s="5" t="s">
        <v>145</v>
      </c>
      <c r="D247" s="5" t="s">
        <v>51</v>
      </c>
      <c r="E247" s="5" t="n">
        <v>417</v>
      </c>
      <c r="F247" s="5" t="s">
        <v>659</v>
      </c>
      <c r="G247" s="5" t="n">
        <v>4</v>
      </c>
      <c r="H247" s="5" t="s">
        <v>53</v>
      </c>
      <c r="I247" s="5" t="s">
        <v>54</v>
      </c>
      <c r="J247" s="5" t="s">
        <v>55</v>
      </c>
      <c r="K247" s="5" t="s">
        <v>55</v>
      </c>
      <c r="L247" s="5" t="n">
        <v>5</v>
      </c>
      <c r="M247" s="5" t="n">
        <v>2</v>
      </c>
      <c r="N247" s="5" t="n">
        <v>4</v>
      </c>
      <c r="O247" s="5" t="n">
        <v>8</v>
      </c>
      <c r="P247" s="5" t="n">
        <v>-2</v>
      </c>
      <c r="Q247" s="5" t="n">
        <v>1.5</v>
      </c>
      <c r="R247" s="5" t="n">
        <v>4</v>
      </c>
      <c r="S247" s="5" t="n">
        <v>3</v>
      </c>
      <c r="T247" s="5" t="s">
        <v>90</v>
      </c>
      <c r="U247" s="6"/>
      <c r="V247" s="6"/>
      <c r="W247" s="6"/>
      <c r="X247" s="6"/>
      <c r="Y247" s="7" t="str">
        <f aca="false">IF(COUNT(U247:X247)=4,(W247-X247)/2,"")</f>
        <v/>
      </c>
      <c r="Z247" s="7" t="str">
        <f aca="false">IF(COUNT(U247:X247)=4,(U247-V247)/2,"")</f>
        <v/>
      </c>
      <c r="AA247" s="7" t="str">
        <f aca="false">IF(COUNT(U247:X247)=4,MAX(1,MIN(10,ROUNDUP(5-Z247,0))),"")</f>
        <v/>
      </c>
      <c r="AB247" s="7" t="str">
        <f aca="false">IF(COUNT(U247:X247)=4,MAX(1,MIN(10,ROUNDUP(Y247+5,0))),"")</f>
        <v/>
      </c>
      <c r="AC247" s="6"/>
      <c r="AD247" s="6"/>
    </row>
    <row r="248" customFormat="false" ht="15" hidden="false" customHeight="true" outlineLevel="0" collapsed="false">
      <c r="A248" s="5" t="n">
        <v>247</v>
      </c>
      <c r="B248" s="5" t="s">
        <v>660</v>
      </c>
      <c r="C248" s="5" t="s">
        <v>171</v>
      </c>
      <c r="D248" s="5" t="s">
        <v>172</v>
      </c>
      <c r="E248" s="5" t="n">
        <v>417</v>
      </c>
      <c r="F248" s="5" t="s">
        <v>661</v>
      </c>
      <c r="G248" s="5" t="n">
        <v>4</v>
      </c>
      <c r="H248" s="5" t="s">
        <v>53</v>
      </c>
      <c r="I248" s="5" t="s">
        <v>54</v>
      </c>
      <c r="J248" s="5" t="s">
        <v>181</v>
      </c>
      <c r="K248" s="5" t="s">
        <v>279</v>
      </c>
      <c r="L248" s="5" t="n">
        <v>4</v>
      </c>
      <c r="M248" s="5" t="n">
        <v>4</v>
      </c>
      <c r="N248" s="5" t="n">
        <v>5</v>
      </c>
      <c r="O248" s="5" t="n">
        <v>7</v>
      </c>
      <c r="P248" s="5" t="n">
        <v>-1</v>
      </c>
      <c r="Q248" s="5" t="n">
        <v>0</v>
      </c>
      <c r="R248" s="5" t="n">
        <v>5</v>
      </c>
      <c r="S248" s="5" t="n">
        <v>4</v>
      </c>
      <c r="T248" s="5" t="s">
        <v>662</v>
      </c>
      <c r="U248" s="6"/>
      <c r="V248" s="6"/>
      <c r="W248" s="6"/>
      <c r="X248" s="6"/>
      <c r="Y248" s="7" t="str">
        <f aca="false">IF(COUNT(U248:X248)=4,(W248-X248)/2,"")</f>
        <v/>
      </c>
      <c r="Z248" s="7" t="str">
        <f aca="false">IF(COUNT(U248:X248)=4,(U248-V248)/2,"")</f>
        <v/>
      </c>
      <c r="AA248" s="7" t="str">
        <f aca="false">IF(COUNT(U248:X248)=4,MAX(1,MIN(10,ROUNDUP(5-Z248,0))),"")</f>
        <v/>
      </c>
      <c r="AB248" s="7" t="str">
        <f aca="false">IF(COUNT(U248:X248)=4,MAX(1,MIN(10,ROUNDUP(Y248+5,0))),"")</f>
        <v/>
      </c>
      <c r="AC248" s="6"/>
      <c r="AD248" s="6"/>
    </row>
    <row r="249" customFormat="false" ht="15" hidden="false" customHeight="true" outlineLevel="0" collapsed="false">
      <c r="A249" s="5" t="n">
        <v>248</v>
      </c>
      <c r="B249" s="5" t="s">
        <v>663</v>
      </c>
      <c r="C249" s="5" t="s">
        <v>171</v>
      </c>
      <c r="D249" s="5" t="s">
        <v>172</v>
      </c>
      <c r="E249" s="5" t="n">
        <v>416</v>
      </c>
      <c r="F249" s="5" t="s">
        <v>664</v>
      </c>
      <c r="G249" s="5" t="n">
        <v>4</v>
      </c>
      <c r="H249" s="5" t="s">
        <v>53</v>
      </c>
      <c r="I249" s="5" t="s">
        <v>54</v>
      </c>
      <c r="J249" s="5" t="s">
        <v>181</v>
      </c>
      <c r="K249" s="5" t="s">
        <v>179</v>
      </c>
      <c r="L249" s="5" t="n">
        <v>2</v>
      </c>
      <c r="M249" s="5" t="n">
        <v>6</v>
      </c>
      <c r="N249" s="5" t="n">
        <v>2</v>
      </c>
      <c r="O249" s="5" t="n">
        <v>6</v>
      </c>
      <c r="P249" s="5" t="n">
        <v>-2</v>
      </c>
      <c r="Q249" s="5" t="n">
        <v>-2</v>
      </c>
      <c r="R249" s="5" t="n">
        <v>7</v>
      </c>
      <c r="S249" s="5" t="n">
        <v>3</v>
      </c>
      <c r="T249" s="5" t="s">
        <v>313</v>
      </c>
      <c r="U249" s="6"/>
      <c r="V249" s="6"/>
      <c r="W249" s="6"/>
      <c r="X249" s="6"/>
      <c r="Y249" s="7" t="str">
        <f aca="false">IF(COUNT(U249:X249)=4,(W249-X249)/2,"")</f>
        <v/>
      </c>
      <c r="Z249" s="7" t="str">
        <f aca="false">IF(COUNT(U249:X249)=4,(U249-V249)/2,"")</f>
        <v/>
      </c>
      <c r="AA249" s="7" t="str">
        <f aca="false">IF(COUNT(U249:X249)=4,MAX(1,MIN(10,ROUNDUP(5-Z249,0))),"")</f>
        <v/>
      </c>
      <c r="AB249" s="7" t="str">
        <f aca="false">IF(COUNT(U249:X249)=4,MAX(1,MIN(10,ROUNDUP(Y249+5,0))),"")</f>
        <v/>
      </c>
      <c r="AC249" s="6"/>
      <c r="AD249" s="6"/>
    </row>
    <row r="250" customFormat="false" ht="15" hidden="false" customHeight="true" outlineLevel="0" collapsed="false">
      <c r="A250" s="5" t="n">
        <v>249</v>
      </c>
      <c r="B250" s="5" t="s">
        <v>665</v>
      </c>
      <c r="C250" s="5" t="s">
        <v>171</v>
      </c>
      <c r="D250" s="5" t="s">
        <v>172</v>
      </c>
      <c r="E250" s="5" t="n">
        <v>412</v>
      </c>
      <c r="F250" s="5" t="s">
        <v>666</v>
      </c>
      <c r="G250" s="5" t="n">
        <v>4</v>
      </c>
      <c r="H250" s="5" t="s">
        <v>53</v>
      </c>
      <c r="I250" s="5" t="s">
        <v>54</v>
      </c>
      <c r="J250" s="5" t="s">
        <v>181</v>
      </c>
      <c r="K250" s="5" t="s">
        <v>309</v>
      </c>
      <c r="L250" s="5" t="n">
        <v>2</v>
      </c>
      <c r="M250" s="5" t="n">
        <v>5</v>
      </c>
      <c r="N250" s="5" t="n">
        <v>5</v>
      </c>
      <c r="O250" s="5" t="n">
        <v>4</v>
      </c>
      <c r="P250" s="5" t="n">
        <v>0.5</v>
      </c>
      <c r="Q250" s="5" t="n">
        <v>-1.5</v>
      </c>
      <c r="R250" s="5" t="n">
        <v>7</v>
      </c>
      <c r="S250" s="5" t="n">
        <v>6</v>
      </c>
      <c r="T250" s="5" t="s">
        <v>667</v>
      </c>
      <c r="U250" s="6"/>
      <c r="V250" s="6"/>
      <c r="W250" s="6"/>
      <c r="X250" s="6"/>
      <c r="Y250" s="7" t="str">
        <f aca="false">IF(COUNT(U250:X250)=4,(W250-X250)/2,"")</f>
        <v/>
      </c>
      <c r="Z250" s="7" t="str">
        <f aca="false">IF(COUNT(U250:X250)=4,(U250-V250)/2,"")</f>
        <v/>
      </c>
      <c r="AA250" s="7" t="str">
        <f aca="false">IF(COUNT(U250:X250)=4,MAX(1,MIN(10,ROUNDUP(5-Z250,0))),"")</f>
        <v/>
      </c>
      <c r="AB250" s="7" t="str">
        <f aca="false">IF(COUNT(U250:X250)=4,MAX(1,MIN(10,ROUNDUP(Y250+5,0))),"")</f>
        <v/>
      </c>
      <c r="AC250" s="6"/>
      <c r="AD250" s="6"/>
    </row>
    <row r="251" customFormat="false" ht="15" hidden="false" customHeight="true" outlineLevel="0" collapsed="false">
      <c r="A251" s="5" t="n">
        <v>250</v>
      </c>
      <c r="B251" s="5" t="s">
        <v>668</v>
      </c>
      <c r="C251" s="5" t="s">
        <v>171</v>
      </c>
      <c r="D251" s="5" t="s">
        <v>172</v>
      </c>
      <c r="E251" s="5" t="n">
        <v>412</v>
      </c>
      <c r="F251" s="5" t="s">
        <v>669</v>
      </c>
      <c r="G251" s="5" t="n">
        <v>4</v>
      </c>
      <c r="H251" s="5" t="s">
        <v>53</v>
      </c>
      <c r="I251" s="5" t="s">
        <v>54</v>
      </c>
      <c r="J251" s="5" t="s">
        <v>181</v>
      </c>
      <c r="K251" s="5" t="s">
        <v>574</v>
      </c>
      <c r="L251" s="5" t="n">
        <v>5</v>
      </c>
      <c r="M251" s="5" t="n">
        <v>7</v>
      </c>
      <c r="N251" s="5" t="n">
        <v>4</v>
      </c>
      <c r="O251" s="5" t="n">
        <v>7</v>
      </c>
      <c r="P251" s="5" t="n">
        <v>-1.5</v>
      </c>
      <c r="Q251" s="5" t="n">
        <v>-1</v>
      </c>
      <c r="R251" s="5" t="n">
        <v>6</v>
      </c>
      <c r="S251" s="5" t="n">
        <v>4</v>
      </c>
      <c r="T251" s="5" t="s">
        <v>670</v>
      </c>
      <c r="U251" s="6"/>
      <c r="V251" s="6"/>
      <c r="W251" s="6"/>
      <c r="X251" s="6"/>
      <c r="Y251" s="7" t="str">
        <f aca="false">IF(COUNT(U251:X251)=4,(W251-X251)/2,"")</f>
        <v/>
      </c>
      <c r="Z251" s="7" t="str">
        <f aca="false">IF(COUNT(U251:X251)=4,(U251-V251)/2,"")</f>
        <v/>
      </c>
      <c r="AA251" s="7" t="str">
        <f aca="false">IF(COUNT(U251:X251)=4,MAX(1,MIN(10,ROUNDUP(5-Z251,0))),"")</f>
        <v/>
      </c>
      <c r="AB251" s="7" t="str">
        <f aca="false">IF(COUNT(U251:X251)=4,MAX(1,MIN(10,ROUNDUP(Y251+5,0))),"")</f>
        <v/>
      </c>
      <c r="AC251" s="6"/>
      <c r="AD251" s="6"/>
    </row>
    <row r="252" customFormat="false" ht="15" hidden="false" customHeight="true" outlineLevel="0" collapsed="false">
      <c r="A252" s="5" t="n">
        <v>251</v>
      </c>
      <c r="B252" s="5" t="s">
        <v>671</v>
      </c>
      <c r="C252" s="5" t="s">
        <v>171</v>
      </c>
      <c r="D252" s="5" t="s">
        <v>172</v>
      </c>
      <c r="E252" s="5" t="n">
        <v>410</v>
      </c>
      <c r="F252" s="5" t="s">
        <v>672</v>
      </c>
      <c r="G252" s="5" t="n">
        <v>4</v>
      </c>
      <c r="H252" s="5" t="s">
        <v>53</v>
      </c>
      <c r="I252" s="5" t="s">
        <v>54</v>
      </c>
      <c r="J252" s="5" t="s">
        <v>181</v>
      </c>
      <c r="K252" s="5" t="s">
        <v>673</v>
      </c>
      <c r="L252" s="5" t="n">
        <v>4</v>
      </c>
      <c r="M252" s="5" t="n">
        <v>4</v>
      </c>
      <c r="N252" s="5" t="n">
        <v>5</v>
      </c>
      <c r="O252" s="5" t="n">
        <v>6</v>
      </c>
      <c r="P252" s="5" t="n">
        <v>-0.5</v>
      </c>
      <c r="Q252" s="5" t="n">
        <v>0</v>
      </c>
      <c r="R252" s="5" t="n">
        <v>5</v>
      </c>
      <c r="S252" s="5" t="n">
        <v>5</v>
      </c>
      <c r="T252" s="5" t="s">
        <v>674</v>
      </c>
      <c r="U252" s="6"/>
      <c r="V252" s="6"/>
      <c r="W252" s="6"/>
      <c r="X252" s="6"/>
      <c r="Y252" s="7" t="str">
        <f aca="false">IF(COUNT(U252:X252)=4,(W252-X252)/2,"")</f>
        <v/>
      </c>
      <c r="Z252" s="7" t="str">
        <f aca="false">IF(COUNT(U252:X252)=4,(U252-V252)/2,"")</f>
        <v/>
      </c>
      <c r="AA252" s="7" t="str">
        <f aca="false">IF(COUNT(U252:X252)=4,MAX(1,MIN(10,ROUNDUP(5-Z252,0))),"")</f>
        <v/>
      </c>
      <c r="AB252" s="7" t="str">
        <f aca="false">IF(COUNT(U252:X252)=4,MAX(1,MIN(10,ROUNDUP(Y252+5,0))),"")</f>
        <v/>
      </c>
      <c r="AC252" s="6"/>
      <c r="AD252" s="6"/>
    </row>
    <row r="253" customFormat="false" ht="15" hidden="false" customHeight="true" outlineLevel="0" collapsed="false">
      <c r="A253" s="5" t="n">
        <v>252</v>
      </c>
      <c r="B253" s="5" t="s">
        <v>675</v>
      </c>
      <c r="C253" s="5" t="s">
        <v>108</v>
      </c>
      <c r="D253" s="5" t="s">
        <v>109</v>
      </c>
      <c r="E253" s="5" t="n">
        <v>404</v>
      </c>
      <c r="F253" s="5" t="s">
        <v>675</v>
      </c>
      <c r="G253" s="5" t="n">
        <v>4</v>
      </c>
      <c r="H253" s="5" t="s">
        <v>53</v>
      </c>
      <c r="I253" s="5" t="s">
        <v>64</v>
      </c>
      <c r="J253" s="5"/>
      <c r="K253" s="5"/>
      <c r="L253" s="5" t="n">
        <v>4</v>
      </c>
      <c r="M253" s="5" t="n">
        <v>3</v>
      </c>
      <c r="N253" s="5" t="n">
        <v>3</v>
      </c>
      <c r="O253" s="5" t="n">
        <v>7</v>
      </c>
      <c r="P253" s="5" t="n">
        <v>-2</v>
      </c>
      <c r="Q253" s="5" t="n">
        <v>0.5</v>
      </c>
      <c r="R253" s="5" t="n">
        <v>5</v>
      </c>
      <c r="S253" s="5" t="n">
        <v>3</v>
      </c>
      <c r="T253" s="5" t="s">
        <v>676</v>
      </c>
      <c r="U253" s="6"/>
      <c r="V253" s="6"/>
      <c r="W253" s="6"/>
      <c r="X253" s="6"/>
      <c r="Y253" s="7" t="str">
        <f aca="false">IF(COUNT(U253:X253)=4,(W253-X253)/2,"")</f>
        <v/>
      </c>
      <c r="Z253" s="7" t="str">
        <f aca="false">IF(COUNT(U253:X253)=4,(U253-V253)/2,"")</f>
        <v/>
      </c>
      <c r="AA253" s="7" t="str">
        <f aca="false">IF(COUNT(U253:X253)=4,MAX(1,MIN(10,ROUNDUP(5-Z253,0))),"")</f>
        <v/>
      </c>
      <c r="AB253" s="7" t="str">
        <f aca="false">IF(COUNT(U253:X253)=4,MAX(1,MIN(10,ROUNDUP(Y253+5,0))),"")</f>
        <v/>
      </c>
      <c r="AC253" s="6"/>
      <c r="AD253" s="6"/>
    </row>
    <row r="254" customFormat="false" ht="15" hidden="false" customHeight="true" outlineLevel="0" collapsed="false">
      <c r="A254" s="5" t="n">
        <v>253</v>
      </c>
      <c r="B254" s="5" t="s">
        <v>677</v>
      </c>
      <c r="C254" s="5" t="s">
        <v>203</v>
      </c>
      <c r="D254" s="5" t="s">
        <v>204</v>
      </c>
      <c r="E254" s="5" t="n">
        <v>400</v>
      </c>
      <c r="F254" s="5" t="s">
        <v>678</v>
      </c>
      <c r="G254" s="5" t="n">
        <v>4</v>
      </c>
      <c r="H254" s="5" t="s">
        <v>53</v>
      </c>
      <c r="I254" s="5" t="s">
        <v>54</v>
      </c>
      <c r="J254" s="5" t="s">
        <v>117</v>
      </c>
      <c r="K254" s="5" t="s">
        <v>117</v>
      </c>
      <c r="L254" s="5" t="n">
        <v>3</v>
      </c>
      <c r="M254" s="5" t="n">
        <v>1</v>
      </c>
      <c r="N254" s="5" t="n">
        <v>8</v>
      </c>
      <c r="O254" s="5" t="n">
        <v>2</v>
      </c>
      <c r="P254" s="5" t="n">
        <v>3</v>
      </c>
      <c r="Q254" s="5" t="n">
        <v>1</v>
      </c>
      <c r="R254" s="5" t="n">
        <v>4</v>
      </c>
      <c r="S254" s="5" t="n">
        <v>8</v>
      </c>
      <c r="T254" s="5" t="s">
        <v>402</v>
      </c>
      <c r="U254" s="6"/>
      <c r="V254" s="6"/>
      <c r="W254" s="6"/>
      <c r="X254" s="6"/>
      <c r="Y254" s="7" t="str">
        <f aca="false">IF(COUNT(U254:X254)=4,(W254-X254)/2,"")</f>
        <v/>
      </c>
      <c r="Z254" s="7" t="str">
        <f aca="false">IF(COUNT(U254:X254)=4,(U254-V254)/2,"")</f>
        <v/>
      </c>
      <c r="AA254" s="7" t="str">
        <f aca="false">IF(COUNT(U254:X254)=4,MAX(1,MIN(10,ROUNDUP(5-Z254,0))),"")</f>
        <v/>
      </c>
      <c r="AB254" s="7" t="str">
        <f aca="false">IF(COUNT(U254:X254)=4,MAX(1,MIN(10,ROUNDUP(Y254+5,0))),"")</f>
        <v/>
      </c>
      <c r="AC254" s="6"/>
      <c r="AD254" s="6"/>
    </row>
    <row r="255" customFormat="false" ht="15" hidden="false" customHeight="true" outlineLevel="0" collapsed="false">
      <c r="A255" s="5" t="n">
        <v>254</v>
      </c>
      <c r="B255" s="5" t="s">
        <v>679</v>
      </c>
      <c r="C255" s="5" t="s">
        <v>171</v>
      </c>
      <c r="D255" s="5" t="s">
        <v>172</v>
      </c>
      <c r="E255" s="5" t="n">
        <v>400</v>
      </c>
      <c r="F255" s="5" t="s">
        <v>680</v>
      </c>
      <c r="G255" s="5" t="n">
        <v>4</v>
      </c>
      <c r="H255" s="5" t="s">
        <v>53</v>
      </c>
      <c r="I255" s="5" t="s">
        <v>54</v>
      </c>
      <c r="J255" s="5" t="s">
        <v>181</v>
      </c>
      <c r="K255" s="5" t="s">
        <v>413</v>
      </c>
      <c r="L255" s="5" t="n">
        <v>6</v>
      </c>
      <c r="M255" s="5" t="n">
        <v>3</v>
      </c>
      <c r="N255" s="5" t="n">
        <v>3</v>
      </c>
      <c r="O255" s="5" t="n">
        <v>8</v>
      </c>
      <c r="P255" s="5" t="n">
        <v>-2.5</v>
      </c>
      <c r="Q255" s="5" t="n">
        <v>1.5</v>
      </c>
      <c r="R255" s="5" t="n">
        <v>4</v>
      </c>
      <c r="S255" s="5" t="n">
        <v>3</v>
      </c>
      <c r="T255" s="5" t="s">
        <v>681</v>
      </c>
      <c r="U255" s="6"/>
      <c r="V255" s="6"/>
      <c r="W255" s="6"/>
      <c r="X255" s="6"/>
      <c r="Y255" s="7" t="str">
        <f aca="false">IF(COUNT(U255:X255)=4,(W255-X255)/2,"")</f>
        <v/>
      </c>
      <c r="Z255" s="7" t="str">
        <f aca="false">IF(COUNT(U255:X255)=4,(U255-V255)/2,"")</f>
        <v/>
      </c>
      <c r="AA255" s="7" t="str">
        <f aca="false">IF(COUNT(U255:X255)=4,MAX(1,MIN(10,ROUNDUP(5-Z255,0))),"")</f>
        <v/>
      </c>
      <c r="AB255" s="7" t="str">
        <f aca="false">IF(COUNT(U255:X255)=4,MAX(1,MIN(10,ROUNDUP(Y255+5,0))),"")</f>
        <v/>
      </c>
      <c r="AC255" s="6"/>
      <c r="AD255" s="6"/>
    </row>
    <row r="256" customFormat="false" ht="15" hidden="false" customHeight="true" outlineLevel="0" collapsed="false">
      <c r="A256" s="5" t="n">
        <v>255</v>
      </c>
      <c r="B256" s="5" t="s">
        <v>682</v>
      </c>
      <c r="C256" s="5" t="s">
        <v>171</v>
      </c>
      <c r="D256" s="5" t="s">
        <v>172</v>
      </c>
      <c r="E256" s="5" t="n">
        <v>399</v>
      </c>
      <c r="F256" s="5" t="s">
        <v>683</v>
      </c>
      <c r="G256" s="5" t="n">
        <v>4</v>
      </c>
      <c r="H256" s="5" t="s">
        <v>53</v>
      </c>
      <c r="I256" s="5" t="s">
        <v>81</v>
      </c>
      <c r="J256" s="5" t="s">
        <v>174</v>
      </c>
      <c r="K256" s="5" t="s">
        <v>309</v>
      </c>
      <c r="L256" s="5" t="n">
        <v>6</v>
      </c>
      <c r="M256" s="5" t="n">
        <v>2</v>
      </c>
      <c r="N256" s="5" t="n">
        <v>3</v>
      </c>
      <c r="O256" s="5" t="n">
        <v>8</v>
      </c>
      <c r="P256" s="5" t="n">
        <v>-2.5</v>
      </c>
      <c r="Q256" s="5" t="n">
        <v>2</v>
      </c>
      <c r="R256" s="5" t="n">
        <v>3</v>
      </c>
      <c r="S256" s="5" t="n">
        <v>3</v>
      </c>
      <c r="T256" s="5" t="s">
        <v>639</v>
      </c>
      <c r="U256" s="6"/>
      <c r="V256" s="6"/>
      <c r="W256" s="6"/>
      <c r="X256" s="6"/>
      <c r="Y256" s="7" t="str">
        <f aca="false">IF(COUNT(U256:X256)=4,(W256-X256)/2,"")</f>
        <v/>
      </c>
      <c r="Z256" s="7" t="str">
        <f aca="false">IF(COUNT(U256:X256)=4,(U256-V256)/2,"")</f>
        <v/>
      </c>
      <c r="AA256" s="7" t="str">
        <f aca="false">IF(COUNT(U256:X256)=4,MAX(1,MIN(10,ROUNDUP(5-Z256,0))),"")</f>
        <v/>
      </c>
      <c r="AB256" s="7" t="str">
        <f aca="false">IF(COUNT(U256:X256)=4,MAX(1,MIN(10,ROUNDUP(Y256+5,0))),"")</f>
        <v/>
      </c>
      <c r="AC256" s="6"/>
      <c r="AD256" s="6"/>
    </row>
    <row r="257" customFormat="false" ht="15" hidden="false" customHeight="true" outlineLevel="0" collapsed="false">
      <c r="A257" s="5" t="n">
        <v>256</v>
      </c>
      <c r="B257" s="5" t="s">
        <v>235</v>
      </c>
      <c r="C257" s="5" t="s">
        <v>171</v>
      </c>
      <c r="D257" s="5" t="s">
        <v>172</v>
      </c>
      <c r="E257" s="5" t="n">
        <v>396</v>
      </c>
      <c r="F257" s="5" t="s">
        <v>684</v>
      </c>
      <c r="G257" s="5" t="n">
        <v>4</v>
      </c>
      <c r="H257" s="5" t="s">
        <v>53</v>
      </c>
      <c r="I257" s="5" t="s">
        <v>54</v>
      </c>
      <c r="J257" s="5" t="s">
        <v>181</v>
      </c>
      <c r="K257" s="5" t="s">
        <v>443</v>
      </c>
      <c r="L257" s="5" t="n">
        <v>5</v>
      </c>
      <c r="M257" s="5" t="n">
        <v>3</v>
      </c>
      <c r="N257" s="5" t="n">
        <v>4</v>
      </c>
      <c r="O257" s="5" t="n">
        <v>8</v>
      </c>
      <c r="P257" s="5" t="n">
        <v>-2</v>
      </c>
      <c r="Q257" s="5" t="n">
        <v>1</v>
      </c>
      <c r="R257" s="5" t="n">
        <v>4</v>
      </c>
      <c r="S257" s="5" t="n">
        <v>3</v>
      </c>
      <c r="T257" s="5" t="s">
        <v>685</v>
      </c>
      <c r="U257" s="6"/>
      <c r="V257" s="6"/>
      <c r="W257" s="6"/>
      <c r="X257" s="6"/>
      <c r="Y257" s="7" t="str">
        <f aca="false">IF(COUNT(U257:X257)=4,(W257-X257)/2,"")</f>
        <v/>
      </c>
      <c r="Z257" s="7" t="str">
        <f aca="false">IF(COUNT(U257:X257)=4,(U257-V257)/2,"")</f>
        <v/>
      </c>
      <c r="AA257" s="7" t="str">
        <f aca="false">IF(COUNT(U257:X257)=4,MAX(1,MIN(10,ROUNDUP(5-Z257,0))),"")</f>
        <v/>
      </c>
      <c r="AB257" s="7" t="str">
        <f aca="false">IF(COUNT(U257:X257)=4,MAX(1,MIN(10,ROUNDUP(Y257+5,0))),"")</f>
        <v/>
      </c>
      <c r="AC257" s="6"/>
      <c r="AD257" s="6"/>
    </row>
    <row r="258" customFormat="false" ht="15" hidden="false" customHeight="true" outlineLevel="0" collapsed="false">
      <c r="A258" s="5" t="n">
        <v>257</v>
      </c>
      <c r="B258" s="5" t="s">
        <v>686</v>
      </c>
      <c r="C258" s="5" t="s">
        <v>171</v>
      </c>
      <c r="D258" s="5" t="s">
        <v>172</v>
      </c>
      <c r="E258" s="5" t="n">
        <v>396</v>
      </c>
      <c r="F258" s="5" t="s">
        <v>687</v>
      </c>
      <c r="G258" s="5" t="n">
        <v>4</v>
      </c>
      <c r="H258" s="5" t="s">
        <v>53</v>
      </c>
      <c r="I258" s="5" t="s">
        <v>81</v>
      </c>
      <c r="J258" s="5" t="s">
        <v>174</v>
      </c>
      <c r="K258" s="5" t="s">
        <v>175</v>
      </c>
      <c r="L258" s="5" t="n">
        <v>7</v>
      </c>
      <c r="M258" s="5" t="n">
        <v>1</v>
      </c>
      <c r="N258" s="5" t="n">
        <v>6</v>
      </c>
      <c r="O258" s="5" t="n">
        <v>5</v>
      </c>
      <c r="P258" s="5" t="n">
        <v>0.5</v>
      </c>
      <c r="Q258" s="5" t="n">
        <v>3</v>
      </c>
      <c r="R258" s="5" t="n">
        <v>2</v>
      </c>
      <c r="S258" s="5" t="n">
        <v>6</v>
      </c>
      <c r="T258" s="5" t="s">
        <v>688</v>
      </c>
      <c r="U258" s="6"/>
      <c r="V258" s="6"/>
      <c r="W258" s="6"/>
      <c r="X258" s="6"/>
      <c r="Y258" s="7" t="str">
        <f aca="false">IF(COUNT(U258:X258)=4,(W258-X258)/2,"")</f>
        <v/>
      </c>
      <c r="Z258" s="7" t="str">
        <f aca="false">IF(COUNT(U258:X258)=4,(U258-V258)/2,"")</f>
        <v/>
      </c>
      <c r="AA258" s="7" t="str">
        <f aca="false">IF(COUNT(U258:X258)=4,MAX(1,MIN(10,ROUNDUP(5-Z258,0))),"")</f>
        <v/>
      </c>
      <c r="AB258" s="7" t="str">
        <f aca="false">IF(COUNT(U258:X258)=4,MAX(1,MIN(10,ROUNDUP(Y258+5,0))),"")</f>
        <v/>
      </c>
      <c r="AC258" s="6"/>
      <c r="AD258" s="6"/>
    </row>
    <row r="259" customFormat="false" ht="15" hidden="false" customHeight="true" outlineLevel="0" collapsed="false">
      <c r="A259" s="5" t="n">
        <v>258</v>
      </c>
      <c r="B259" s="5" t="s">
        <v>689</v>
      </c>
      <c r="C259" s="5" t="s">
        <v>203</v>
      </c>
      <c r="D259" s="5" t="s">
        <v>204</v>
      </c>
      <c r="E259" s="5" t="n">
        <v>394</v>
      </c>
      <c r="F259" s="5" t="s">
        <v>689</v>
      </c>
      <c r="G259" s="5" t="n">
        <v>4</v>
      </c>
      <c r="H259" s="5" t="s">
        <v>53</v>
      </c>
      <c r="I259" s="5" t="s">
        <v>54</v>
      </c>
      <c r="J259" s="5" t="s">
        <v>117</v>
      </c>
      <c r="K259" s="5" t="s">
        <v>117</v>
      </c>
      <c r="L259" s="5" t="n">
        <v>3</v>
      </c>
      <c r="M259" s="5" t="n">
        <v>2</v>
      </c>
      <c r="N259" s="5" t="n">
        <v>2</v>
      </c>
      <c r="O259" s="5" t="n">
        <v>7</v>
      </c>
      <c r="P259" s="5" t="n">
        <v>-2.5</v>
      </c>
      <c r="Q259" s="5" t="n">
        <v>0.5</v>
      </c>
      <c r="R259" s="5" t="n">
        <v>5</v>
      </c>
      <c r="S259" s="5" t="n">
        <v>3</v>
      </c>
      <c r="T259" s="5" t="s">
        <v>690</v>
      </c>
      <c r="U259" s="6"/>
      <c r="V259" s="6"/>
      <c r="W259" s="6"/>
      <c r="X259" s="6"/>
      <c r="Y259" s="7" t="str">
        <f aca="false">IF(COUNT(U259:X259)=4,(W259-X259)/2,"")</f>
        <v/>
      </c>
      <c r="Z259" s="7" t="str">
        <f aca="false">IF(COUNT(U259:X259)=4,(U259-V259)/2,"")</f>
        <v/>
      </c>
      <c r="AA259" s="7" t="str">
        <f aca="false">IF(COUNT(U259:X259)=4,MAX(1,MIN(10,ROUNDUP(5-Z259,0))),"")</f>
        <v/>
      </c>
      <c r="AB259" s="7" t="str">
        <f aca="false">IF(COUNT(U259:X259)=4,MAX(1,MIN(10,ROUNDUP(Y259+5,0))),"")</f>
        <v/>
      </c>
      <c r="AC259" s="6"/>
      <c r="AD259" s="6"/>
    </row>
    <row r="260" customFormat="false" ht="15" hidden="false" customHeight="true" outlineLevel="0" collapsed="false">
      <c r="A260" s="5" t="n">
        <v>259</v>
      </c>
      <c r="B260" s="5" t="s">
        <v>691</v>
      </c>
      <c r="C260" s="5" t="s">
        <v>171</v>
      </c>
      <c r="D260" s="5" t="s">
        <v>172</v>
      </c>
      <c r="E260" s="5" t="n">
        <v>389</v>
      </c>
      <c r="F260" s="5" t="s">
        <v>692</v>
      </c>
      <c r="G260" s="5" t="n">
        <v>4</v>
      </c>
      <c r="H260" s="5" t="s">
        <v>53</v>
      </c>
      <c r="I260" s="5" t="s">
        <v>54</v>
      </c>
      <c r="J260" s="5" t="s">
        <v>181</v>
      </c>
      <c r="K260" s="5" t="s">
        <v>443</v>
      </c>
      <c r="L260" s="5" t="n">
        <v>5</v>
      </c>
      <c r="M260" s="5" t="n">
        <v>3</v>
      </c>
      <c r="N260" s="5" t="n">
        <v>4</v>
      </c>
      <c r="O260" s="5" t="n">
        <v>8</v>
      </c>
      <c r="P260" s="5" t="n">
        <v>-2</v>
      </c>
      <c r="Q260" s="5" t="n">
        <v>1</v>
      </c>
      <c r="R260" s="5" t="n">
        <v>4</v>
      </c>
      <c r="S260" s="5" t="n">
        <v>3</v>
      </c>
      <c r="T260" s="5" t="s">
        <v>206</v>
      </c>
      <c r="U260" s="6"/>
      <c r="V260" s="6"/>
      <c r="W260" s="6"/>
      <c r="X260" s="6"/>
      <c r="Y260" s="7" t="str">
        <f aca="false">IF(COUNT(U260:X260)=4,(W260-X260)/2,"")</f>
        <v/>
      </c>
      <c r="Z260" s="7" t="str">
        <f aca="false">IF(COUNT(U260:X260)=4,(U260-V260)/2,"")</f>
        <v/>
      </c>
      <c r="AA260" s="7" t="str">
        <f aca="false">IF(COUNT(U260:X260)=4,MAX(1,MIN(10,ROUNDUP(5-Z260,0))),"")</f>
        <v/>
      </c>
      <c r="AB260" s="7" t="str">
        <f aca="false">IF(COUNT(U260:X260)=4,MAX(1,MIN(10,ROUNDUP(Y260+5,0))),"")</f>
        <v/>
      </c>
      <c r="AC260" s="6"/>
      <c r="AD260" s="6"/>
    </row>
    <row r="261" customFormat="false" ht="15" hidden="false" customHeight="true" outlineLevel="0" collapsed="false">
      <c r="A261" s="5" t="n">
        <v>260</v>
      </c>
      <c r="B261" s="5" t="s">
        <v>693</v>
      </c>
      <c r="C261" s="5" t="s">
        <v>171</v>
      </c>
      <c r="D261" s="5" t="s">
        <v>172</v>
      </c>
      <c r="E261" s="5" t="n">
        <v>388</v>
      </c>
      <c r="F261" s="5" t="s">
        <v>694</v>
      </c>
      <c r="G261" s="5" t="n">
        <v>4</v>
      </c>
      <c r="H261" s="5" t="s">
        <v>53</v>
      </c>
      <c r="I261" s="5" t="s">
        <v>54</v>
      </c>
      <c r="J261" s="5" t="s">
        <v>181</v>
      </c>
      <c r="K261" s="5" t="s">
        <v>413</v>
      </c>
      <c r="L261" s="5" t="n">
        <v>5</v>
      </c>
      <c r="M261" s="5" t="n">
        <v>3</v>
      </c>
      <c r="N261" s="5" t="n">
        <v>3</v>
      </c>
      <c r="O261" s="5" t="n">
        <v>8</v>
      </c>
      <c r="P261" s="5" t="n">
        <v>-2.5</v>
      </c>
      <c r="Q261" s="5" t="n">
        <v>1</v>
      </c>
      <c r="R261" s="5" t="n">
        <v>4</v>
      </c>
      <c r="S261" s="5" t="n">
        <v>3</v>
      </c>
      <c r="T261" s="5" t="s">
        <v>695</v>
      </c>
      <c r="U261" s="6"/>
      <c r="V261" s="6"/>
      <c r="W261" s="6"/>
      <c r="X261" s="6"/>
      <c r="Y261" s="7" t="str">
        <f aca="false">IF(COUNT(U261:X261)=4,(W261-X261)/2,"")</f>
        <v/>
      </c>
      <c r="Z261" s="7" t="str">
        <f aca="false">IF(COUNT(U261:X261)=4,(U261-V261)/2,"")</f>
        <v/>
      </c>
      <c r="AA261" s="7" t="str">
        <f aca="false">IF(COUNT(U261:X261)=4,MAX(1,MIN(10,ROUNDUP(5-Z261,0))),"")</f>
        <v/>
      </c>
      <c r="AB261" s="7" t="str">
        <f aca="false">IF(COUNT(U261:X261)=4,MAX(1,MIN(10,ROUNDUP(Y261+5,0))),"")</f>
        <v/>
      </c>
      <c r="AC261" s="6"/>
      <c r="AD261" s="6"/>
    </row>
    <row r="262" customFormat="false" ht="15" hidden="false" customHeight="true" outlineLevel="0" collapsed="false">
      <c r="A262" s="5" t="n">
        <v>261</v>
      </c>
      <c r="B262" s="5" t="s">
        <v>696</v>
      </c>
      <c r="C262" s="5" t="s">
        <v>171</v>
      </c>
      <c r="D262" s="5" t="s">
        <v>172</v>
      </c>
      <c r="E262" s="5" t="n">
        <v>387</v>
      </c>
      <c r="F262" s="5" t="s">
        <v>697</v>
      </c>
      <c r="G262" s="5" t="n">
        <v>4</v>
      </c>
      <c r="H262" s="5" t="s">
        <v>53</v>
      </c>
      <c r="I262" s="5" t="s">
        <v>54</v>
      </c>
      <c r="J262" s="5" t="s">
        <v>181</v>
      </c>
      <c r="K262" s="5" t="s">
        <v>309</v>
      </c>
      <c r="L262" s="5" t="n">
        <v>2</v>
      </c>
      <c r="M262" s="5" t="n">
        <v>5</v>
      </c>
      <c r="N262" s="5" t="n">
        <v>5</v>
      </c>
      <c r="O262" s="5" t="n">
        <v>4</v>
      </c>
      <c r="P262" s="5" t="n">
        <v>0.5</v>
      </c>
      <c r="Q262" s="5" t="n">
        <v>-1.5</v>
      </c>
      <c r="R262" s="5" t="n">
        <v>7</v>
      </c>
      <c r="S262" s="5" t="n">
        <v>6</v>
      </c>
      <c r="T262" s="5" t="s">
        <v>100</v>
      </c>
      <c r="U262" s="6"/>
      <c r="V262" s="6"/>
      <c r="W262" s="6"/>
      <c r="X262" s="6"/>
      <c r="Y262" s="7" t="str">
        <f aca="false">IF(COUNT(U262:X262)=4,(W262-X262)/2,"")</f>
        <v/>
      </c>
      <c r="Z262" s="7" t="str">
        <f aca="false">IF(COUNT(U262:X262)=4,(U262-V262)/2,"")</f>
        <v/>
      </c>
      <c r="AA262" s="7" t="str">
        <f aca="false">IF(COUNT(U262:X262)=4,MAX(1,MIN(10,ROUNDUP(5-Z262,0))),"")</f>
        <v/>
      </c>
      <c r="AB262" s="7" t="str">
        <f aca="false">IF(COUNT(U262:X262)=4,MAX(1,MIN(10,ROUNDUP(Y262+5,0))),"")</f>
        <v/>
      </c>
      <c r="AC262" s="6"/>
      <c r="AD262" s="6"/>
    </row>
    <row r="263" customFormat="false" ht="15" hidden="false" customHeight="true" outlineLevel="0" collapsed="false">
      <c r="A263" s="5" t="n">
        <v>262</v>
      </c>
      <c r="B263" s="5" t="s">
        <v>698</v>
      </c>
      <c r="C263" s="5" t="s">
        <v>171</v>
      </c>
      <c r="D263" s="5" t="s">
        <v>172</v>
      </c>
      <c r="E263" s="5" t="n">
        <v>386</v>
      </c>
      <c r="F263" s="5" t="s">
        <v>699</v>
      </c>
      <c r="G263" s="5" t="n">
        <v>4</v>
      </c>
      <c r="H263" s="5" t="s">
        <v>53</v>
      </c>
      <c r="I263" s="5" t="s">
        <v>54</v>
      </c>
      <c r="J263" s="5" t="s">
        <v>181</v>
      </c>
      <c r="K263" s="5" t="s">
        <v>333</v>
      </c>
      <c r="L263" s="5" t="n">
        <v>2</v>
      </c>
      <c r="M263" s="5" t="n">
        <v>4</v>
      </c>
      <c r="N263" s="5" t="n">
        <v>9</v>
      </c>
      <c r="O263" s="5" t="n">
        <v>2</v>
      </c>
      <c r="P263" s="5" t="n">
        <v>3.5</v>
      </c>
      <c r="Q263" s="5" t="n">
        <v>-1</v>
      </c>
      <c r="R263" s="5" t="n">
        <v>6</v>
      </c>
      <c r="S263" s="5" t="n">
        <v>9</v>
      </c>
      <c r="T263" s="5" t="s">
        <v>700</v>
      </c>
      <c r="U263" s="6"/>
      <c r="V263" s="6"/>
      <c r="W263" s="6"/>
      <c r="X263" s="6"/>
      <c r="Y263" s="7" t="str">
        <f aca="false">IF(COUNT(U263:X263)=4,(W263-X263)/2,"")</f>
        <v/>
      </c>
      <c r="Z263" s="7" t="str">
        <f aca="false">IF(COUNT(U263:X263)=4,(U263-V263)/2,"")</f>
        <v/>
      </c>
      <c r="AA263" s="7" t="str">
        <f aca="false">IF(COUNT(U263:X263)=4,MAX(1,MIN(10,ROUNDUP(5-Z263,0))),"")</f>
        <v/>
      </c>
      <c r="AB263" s="7" t="str">
        <f aca="false">IF(COUNT(U263:X263)=4,MAX(1,MIN(10,ROUNDUP(Y263+5,0))),"")</f>
        <v/>
      </c>
      <c r="AC263" s="6"/>
      <c r="AD263" s="6"/>
    </row>
    <row r="264" customFormat="false" ht="15" hidden="false" customHeight="true" outlineLevel="0" collapsed="false">
      <c r="A264" s="5" t="n">
        <v>263</v>
      </c>
      <c r="B264" s="5" t="s">
        <v>701</v>
      </c>
      <c r="C264" s="5" t="s">
        <v>58</v>
      </c>
      <c r="D264" s="5" t="s">
        <v>59</v>
      </c>
      <c r="E264" s="5" t="n">
        <v>386</v>
      </c>
      <c r="F264" s="5" t="s">
        <v>701</v>
      </c>
      <c r="G264" s="5" t="n">
        <v>1</v>
      </c>
      <c r="H264" s="5" t="s">
        <v>47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 t="s">
        <v>702</v>
      </c>
      <c r="U264" s="6"/>
      <c r="V264" s="6"/>
      <c r="W264" s="6"/>
      <c r="X264" s="6"/>
      <c r="Y264" s="7" t="str">
        <f aca="false">IF(COUNT(U264:X264)=4,(W264-X264)/2,"")</f>
        <v/>
      </c>
      <c r="Z264" s="7" t="str">
        <f aca="false">IF(COUNT(U264:X264)=4,(U264-V264)/2,"")</f>
        <v/>
      </c>
      <c r="AA264" s="7" t="str">
        <f aca="false">IF(COUNT(U264:X264)=4,MAX(1,MIN(10,ROUNDUP(5-Z264,0))),"")</f>
        <v/>
      </c>
      <c r="AB264" s="7" t="str">
        <f aca="false">IF(COUNT(U264:X264)=4,MAX(1,MIN(10,ROUNDUP(Y264+5,0))),"")</f>
        <v/>
      </c>
      <c r="AC264" s="6"/>
      <c r="AD264" s="6"/>
    </row>
    <row r="265" customFormat="false" ht="15" hidden="false" customHeight="true" outlineLevel="0" collapsed="false">
      <c r="A265" s="5" t="n">
        <v>264</v>
      </c>
      <c r="B265" s="5" t="s">
        <v>703</v>
      </c>
      <c r="C265" s="5" t="s">
        <v>171</v>
      </c>
      <c r="D265" s="5" t="s">
        <v>172</v>
      </c>
      <c r="E265" s="5" t="n">
        <v>385</v>
      </c>
      <c r="F265" s="5" t="s">
        <v>704</v>
      </c>
      <c r="G265" s="5" t="n">
        <v>4</v>
      </c>
      <c r="H265" s="5" t="s">
        <v>53</v>
      </c>
      <c r="I265" s="5" t="s">
        <v>81</v>
      </c>
      <c r="J265" s="5" t="s">
        <v>174</v>
      </c>
      <c r="K265" s="5" t="s">
        <v>175</v>
      </c>
      <c r="L265" s="5" t="n">
        <v>7</v>
      </c>
      <c r="M265" s="5" t="n">
        <v>1</v>
      </c>
      <c r="N265" s="5" t="n">
        <v>3</v>
      </c>
      <c r="O265" s="5" t="n">
        <v>8</v>
      </c>
      <c r="P265" s="5" t="n">
        <v>-2.5</v>
      </c>
      <c r="Q265" s="5" t="n">
        <v>3</v>
      </c>
      <c r="R265" s="5" t="n">
        <v>2</v>
      </c>
      <c r="S265" s="5" t="n">
        <v>3</v>
      </c>
      <c r="T265" s="5" t="s">
        <v>705</v>
      </c>
      <c r="U265" s="6"/>
      <c r="V265" s="6"/>
      <c r="W265" s="6"/>
      <c r="X265" s="6"/>
      <c r="Y265" s="7" t="str">
        <f aca="false">IF(COUNT(U265:X265)=4,(W265-X265)/2,"")</f>
        <v/>
      </c>
      <c r="Z265" s="7" t="str">
        <f aca="false">IF(COUNT(U265:X265)=4,(U265-V265)/2,"")</f>
        <v/>
      </c>
      <c r="AA265" s="7" t="str">
        <f aca="false">IF(COUNT(U265:X265)=4,MAX(1,MIN(10,ROUNDUP(5-Z265,0))),"")</f>
        <v/>
      </c>
      <c r="AB265" s="7" t="str">
        <f aca="false">IF(COUNT(U265:X265)=4,MAX(1,MIN(10,ROUNDUP(Y265+5,0))),"")</f>
        <v/>
      </c>
      <c r="AC265" s="6"/>
      <c r="AD265" s="6"/>
    </row>
    <row r="266" customFormat="false" ht="15" hidden="false" customHeight="true" outlineLevel="0" collapsed="false">
      <c r="A266" s="5" t="n">
        <v>265</v>
      </c>
      <c r="B266" s="5" t="s">
        <v>706</v>
      </c>
      <c r="C266" s="5" t="s">
        <v>171</v>
      </c>
      <c r="D266" s="5" t="s">
        <v>172</v>
      </c>
      <c r="E266" s="5" t="n">
        <v>384</v>
      </c>
      <c r="F266" s="5" t="s">
        <v>707</v>
      </c>
      <c r="G266" s="5" t="n">
        <v>4</v>
      </c>
      <c r="H266" s="5" t="s">
        <v>53</v>
      </c>
      <c r="I266" s="5" t="s">
        <v>54</v>
      </c>
      <c r="J266" s="5" t="s">
        <v>181</v>
      </c>
      <c r="K266" s="5" t="s">
        <v>413</v>
      </c>
      <c r="L266" s="5" t="n">
        <v>5</v>
      </c>
      <c r="M266" s="5" t="n">
        <v>3</v>
      </c>
      <c r="N266" s="5" t="n">
        <v>3</v>
      </c>
      <c r="O266" s="5" t="n">
        <v>8</v>
      </c>
      <c r="P266" s="5" t="n">
        <v>-2.5</v>
      </c>
      <c r="Q266" s="5" t="n">
        <v>1</v>
      </c>
      <c r="R266" s="5" t="n">
        <v>4</v>
      </c>
      <c r="S266" s="5" t="n">
        <v>3</v>
      </c>
      <c r="T266" s="5" t="s">
        <v>708</v>
      </c>
      <c r="U266" s="6"/>
      <c r="V266" s="6"/>
      <c r="W266" s="6"/>
      <c r="X266" s="6"/>
      <c r="Y266" s="7" t="str">
        <f aca="false">IF(COUNT(U266:X266)=4,(W266-X266)/2,"")</f>
        <v/>
      </c>
      <c r="Z266" s="7" t="str">
        <f aca="false">IF(COUNT(U266:X266)=4,(U266-V266)/2,"")</f>
        <v/>
      </c>
      <c r="AA266" s="7" t="str">
        <f aca="false">IF(COUNT(U266:X266)=4,MAX(1,MIN(10,ROUNDUP(5-Z266,0))),"")</f>
        <v/>
      </c>
      <c r="AB266" s="7" t="str">
        <f aca="false">IF(COUNT(U266:X266)=4,MAX(1,MIN(10,ROUNDUP(Y266+5,0))),"")</f>
        <v/>
      </c>
      <c r="AC266" s="6"/>
      <c r="AD266" s="6"/>
    </row>
    <row r="267" customFormat="false" ht="15" hidden="false" customHeight="true" outlineLevel="0" collapsed="false">
      <c r="A267" s="5" t="n">
        <v>266</v>
      </c>
      <c r="B267" s="5" t="s">
        <v>709</v>
      </c>
      <c r="C267" s="5" t="s">
        <v>203</v>
      </c>
      <c r="D267" s="5" t="s">
        <v>204</v>
      </c>
      <c r="E267" s="5" t="n">
        <v>381</v>
      </c>
      <c r="F267" s="5" t="s">
        <v>710</v>
      </c>
      <c r="G267" s="5" t="n">
        <v>4</v>
      </c>
      <c r="H267" s="5" t="s">
        <v>53</v>
      </c>
      <c r="I267" s="5" t="s">
        <v>54</v>
      </c>
      <c r="J267" s="5" t="s">
        <v>117</v>
      </c>
      <c r="K267" s="5" t="s">
        <v>117</v>
      </c>
      <c r="L267" s="5" t="n">
        <v>5</v>
      </c>
      <c r="M267" s="5" t="n">
        <v>2</v>
      </c>
      <c r="N267" s="5" t="n">
        <v>8</v>
      </c>
      <c r="O267" s="5" t="n">
        <v>2</v>
      </c>
      <c r="P267" s="5" t="n">
        <v>3</v>
      </c>
      <c r="Q267" s="5" t="n">
        <v>1.5</v>
      </c>
      <c r="R267" s="5" t="n">
        <v>4</v>
      </c>
      <c r="S267" s="5" t="n">
        <v>8</v>
      </c>
      <c r="T267" s="5" t="s">
        <v>266</v>
      </c>
      <c r="U267" s="6"/>
      <c r="V267" s="6"/>
      <c r="W267" s="6"/>
      <c r="X267" s="6"/>
      <c r="Y267" s="7" t="str">
        <f aca="false">IF(COUNT(U267:X267)=4,(W267-X267)/2,"")</f>
        <v/>
      </c>
      <c r="Z267" s="7" t="str">
        <f aca="false">IF(COUNT(U267:X267)=4,(U267-V267)/2,"")</f>
        <v/>
      </c>
      <c r="AA267" s="7" t="str">
        <f aca="false">IF(COUNT(U267:X267)=4,MAX(1,MIN(10,ROUNDUP(5-Z267,0))),"")</f>
        <v/>
      </c>
      <c r="AB267" s="7" t="str">
        <f aca="false">IF(COUNT(U267:X267)=4,MAX(1,MIN(10,ROUNDUP(Y267+5,0))),"")</f>
        <v/>
      </c>
      <c r="AC267" s="6"/>
      <c r="AD267" s="6"/>
    </row>
    <row r="268" customFormat="false" ht="15" hidden="false" customHeight="true" outlineLevel="0" collapsed="false">
      <c r="A268" s="5" t="n">
        <v>267</v>
      </c>
      <c r="B268" s="5" t="s">
        <v>711</v>
      </c>
      <c r="C268" s="5" t="s">
        <v>203</v>
      </c>
      <c r="D268" s="5" t="s">
        <v>204</v>
      </c>
      <c r="E268" s="5" t="n">
        <v>380</v>
      </c>
      <c r="F268" s="5" t="s">
        <v>711</v>
      </c>
      <c r="G268" s="5" t="n">
        <v>4</v>
      </c>
      <c r="H268" s="5" t="s">
        <v>53</v>
      </c>
      <c r="I268" s="5" t="s">
        <v>54</v>
      </c>
      <c r="J268" s="5" t="s">
        <v>117</v>
      </c>
      <c r="K268" s="5" t="s">
        <v>117</v>
      </c>
      <c r="L268" s="5" t="n">
        <v>3</v>
      </c>
      <c r="M268" s="5" t="n">
        <v>1</v>
      </c>
      <c r="N268" s="5" t="n">
        <v>2</v>
      </c>
      <c r="O268" s="5" t="n">
        <v>8</v>
      </c>
      <c r="P268" s="5" t="n">
        <v>-3</v>
      </c>
      <c r="Q268" s="5" t="n">
        <v>1</v>
      </c>
      <c r="R268" s="5" t="n">
        <v>4</v>
      </c>
      <c r="S268" s="5" t="n">
        <v>2</v>
      </c>
      <c r="T268" s="5" t="s">
        <v>712</v>
      </c>
      <c r="U268" s="6"/>
      <c r="V268" s="6"/>
      <c r="W268" s="6"/>
      <c r="X268" s="6"/>
      <c r="Y268" s="7" t="str">
        <f aca="false">IF(COUNT(U268:X268)=4,(W268-X268)/2,"")</f>
        <v/>
      </c>
      <c r="Z268" s="7" t="str">
        <f aca="false">IF(COUNT(U268:X268)=4,(U268-V268)/2,"")</f>
        <v/>
      </c>
      <c r="AA268" s="7" t="str">
        <f aca="false">IF(COUNT(U268:X268)=4,MAX(1,MIN(10,ROUNDUP(5-Z268,0))),"")</f>
        <v/>
      </c>
      <c r="AB268" s="7" t="str">
        <f aca="false">IF(COUNT(U268:X268)=4,MAX(1,MIN(10,ROUNDUP(Y268+5,0))),"")</f>
        <v/>
      </c>
      <c r="AC268" s="6"/>
      <c r="AD268" s="6"/>
    </row>
    <row r="269" customFormat="false" ht="15" hidden="false" customHeight="true" outlineLevel="0" collapsed="false">
      <c r="A269" s="5" t="n">
        <v>268</v>
      </c>
      <c r="B269" s="5" t="s">
        <v>713</v>
      </c>
      <c r="C269" s="5" t="s">
        <v>203</v>
      </c>
      <c r="D269" s="5" t="s">
        <v>204</v>
      </c>
      <c r="E269" s="5" t="n">
        <v>379</v>
      </c>
      <c r="F269" s="5" t="s">
        <v>714</v>
      </c>
      <c r="G269" s="5" t="n">
        <v>4</v>
      </c>
      <c r="H269" s="5" t="s">
        <v>53</v>
      </c>
      <c r="I269" s="5" t="s">
        <v>54</v>
      </c>
      <c r="J269" s="5" t="s">
        <v>117</v>
      </c>
      <c r="K269" s="5" t="s">
        <v>117</v>
      </c>
      <c r="L269" s="5" t="n">
        <v>3</v>
      </c>
      <c r="M269" s="5" t="n">
        <v>1</v>
      </c>
      <c r="N269" s="5" t="n">
        <v>2</v>
      </c>
      <c r="O269" s="5" t="n">
        <v>8</v>
      </c>
      <c r="P269" s="5" t="n">
        <v>-3</v>
      </c>
      <c r="Q269" s="5" t="n">
        <v>1</v>
      </c>
      <c r="R269" s="5" t="n">
        <v>4</v>
      </c>
      <c r="S269" s="5" t="n">
        <v>2</v>
      </c>
      <c r="T269" s="5" t="s">
        <v>130</v>
      </c>
      <c r="U269" s="6"/>
      <c r="V269" s="6"/>
      <c r="W269" s="6"/>
      <c r="X269" s="6"/>
      <c r="Y269" s="7" t="str">
        <f aca="false">IF(COUNT(U269:X269)=4,(W269-X269)/2,"")</f>
        <v/>
      </c>
      <c r="Z269" s="7" t="str">
        <f aca="false">IF(COUNT(U269:X269)=4,(U269-V269)/2,"")</f>
        <v/>
      </c>
      <c r="AA269" s="7" t="str">
        <f aca="false">IF(COUNT(U269:X269)=4,MAX(1,MIN(10,ROUNDUP(5-Z269,0))),"")</f>
        <v/>
      </c>
      <c r="AB269" s="7" t="str">
        <f aca="false">IF(COUNT(U269:X269)=4,MAX(1,MIN(10,ROUNDUP(Y269+5,0))),"")</f>
        <v/>
      </c>
      <c r="AC269" s="6"/>
      <c r="AD269" s="6"/>
    </row>
    <row r="270" customFormat="false" ht="15" hidden="false" customHeight="true" outlineLevel="0" collapsed="false">
      <c r="A270" s="5" t="n">
        <v>269</v>
      </c>
      <c r="B270" s="5" t="s">
        <v>715</v>
      </c>
      <c r="C270" s="5" t="s">
        <v>171</v>
      </c>
      <c r="D270" s="5" t="s">
        <v>172</v>
      </c>
      <c r="E270" s="5" t="n">
        <v>378</v>
      </c>
      <c r="F270" s="5" t="s">
        <v>716</v>
      </c>
      <c r="G270" s="5" t="n">
        <v>4</v>
      </c>
      <c r="H270" s="5" t="s">
        <v>53</v>
      </c>
      <c r="I270" s="5" t="s">
        <v>54</v>
      </c>
      <c r="J270" s="5" t="s">
        <v>181</v>
      </c>
      <c r="K270" s="5" t="s">
        <v>235</v>
      </c>
      <c r="L270" s="5" t="n">
        <v>4</v>
      </c>
      <c r="M270" s="5" t="n">
        <v>4</v>
      </c>
      <c r="N270" s="5" t="n">
        <v>7</v>
      </c>
      <c r="O270" s="5" t="n">
        <v>4</v>
      </c>
      <c r="P270" s="5" t="n">
        <v>1.5</v>
      </c>
      <c r="Q270" s="5" t="n">
        <v>0</v>
      </c>
      <c r="R270" s="5" t="n">
        <v>5</v>
      </c>
      <c r="S270" s="5" t="n">
        <v>7</v>
      </c>
      <c r="T270" s="5" t="s">
        <v>717</v>
      </c>
      <c r="U270" s="6"/>
      <c r="V270" s="6"/>
      <c r="W270" s="6"/>
      <c r="X270" s="6"/>
      <c r="Y270" s="7" t="str">
        <f aca="false">IF(COUNT(U270:X270)=4,(W270-X270)/2,"")</f>
        <v/>
      </c>
      <c r="Z270" s="7" t="str">
        <f aca="false">IF(COUNT(U270:X270)=4,(U270-V270)/2,"")</f>
        <v/>
      </c>
      <c r="AA270" s="7" t="str">
        <f aca="false">IF(COUNT(U270:X270)=4,MAX(1,MIN(10,ROUNDUP(5-Z270,0))),"")</f>
        <v/>
      </c>
      <c r="AB270" s="7" t="str">
        <f aca="false">IF(COUNT(U270:X270)=4,MAX(1,MIN(10,ROUNDUP(Y270+5,0))),"")</f>
        <v/>
      </c>
      <c r="AC270" s="6"/>
      <c r="AD270" s="6"/>
    </row>
    <row r="271" customFormat="false" ht="15" hidden="false" customHeight="true" outlineLevel="0" collapsed="false">
      <c r="A271" s="5" t="n">
        <v>270</v>
      </c>
      <c r="B271" s="5" t="s">
        <v>718</v>
      </c>
      <c r="C271" s="5" t="s">
        <v>171</v>
      </c>
      <c r="D271" s="5" t="s">
        <v>172</v>
      </c>
      <c r="E271" s="5" t="n">
        <v>377</v>
      </c>
      <c r="F271" s="5" t="s">
        <v>719</v>
      </c>
      <c r="G271" s="5" t="n">
        <v>4</v>
      </c>
      <c r="H271" s="5" t="s">
        <v>53</v>
      </c>
      <c r="I271" s="5" t="s">
        <v>54</v>
      </c>
      <c r="J271" s="5" t="s">
        <v>181</v>
      </c>
      <c r="K271" s="5" t="s">
        <v>309</v>
      </c>
      <c r="L271" s="5" t="n">
        <v>2</v>
      </c>
      <c r="M271" s="5" t="n">
        <v>5</v>
      </c>
      <c r="N271" s="5" t="n">
        <v>5</v>
      </c>
      <c r="O271" s="5" t="n">
        <v>4</v>
      </c>
      <c r="P271" s="5" t="n">
        <v>0.5</v>
      </c>
      <c r="Q271" s="5" t="n">
        <v>-1.5</v>
      </c>
      <c r="R271" s="5" t="n">
        <v>7</v>
      </c>
      <c r="S271" s="5" t="n">
        <v>6</v>
      </c>
      <c r="T271" s="5" t="s">
        <v>547</v>
      </c>
      <c r="U271" s="6"/>
      <c r="V271" s="6"/>
      <c r="W271" s="6"/>
      <c r="X271" s="6"/>
      <c r="Y271" s="7" t="str">
        <f aca="false">IF(COUNT(U271:X271)=4,(W271-X271)/2,"")</f>
        <v/>
      </c>
      <c r="Z271" s="7" t="str">
        <f aca="false">IF(COUNT(U271:X271)=4,(U271-V271)/2,"")</f>
        <v/>
      </c>
      <c r="AA271" s="7" t="str">
        <f aca="false">IF(COUNT(U271:X271)=4,MAX(1,MIN(10,ROUNDUP(5-Z271,0))),"")</f>
        <v/>
      </c>
      <c r="AB271" s="7" t="str">
        <f aca="false">IF(COUNT(U271:X271)=4,MAX(1,MIN(10,ROUNDUP(Y271+5,0))),"")</f>
        <v/>
      </c>
      <c r="AC271" s="6"/>
      <c r="AD271" s="6"/>
    </row>
    <row r="272" customFormat="false" ht="15" hidden="false" customHeight="true" outlineLevel="0" collapsed="false">
      <c r="A272" s="5" t="n">
        <v>271</v>
      </c>
      <c r="B272" s="5" t="s">
        <v>720</v>
      </c>
      <c r="C272" s="5" t="s">
        <v>171</v>
      </c>
      <c r="D272" s="5" t="s">
        <v>172</v>
      </c>
      <c r="E272" s="5" t="n">
        <v>377</v>
      </c>
      <c r="F272" s="5" t="s">
        <v>721</v>
      </c>
      <c r="G272" s="5" t="n">
        <v>4</v>
      </c>
      <c r="H272" s="5" t="s">
        <v>53</v>
      </c>
      <c r="I272" s="5" t="s">
        <v>54</v>
      </c>
      <c r="J272" s="5" t="s">
        <v>181</v>
      </c>
      <c r="K272" s="5" t="s">
        <v>413</v>
      </c>
      <c r="L272" s="5" t="n">
        <v>5</v>
      </c>
      <c r="M272" s="5" t="n">
        <v>3</v>
      </c>
      <c r="N272" s="5" t="n">
        <v>3</v>
      </c>
      <c r="O272" s="5" t="n">
        <v>8</v>
      </c>
      <c r="P272" s="5" t="n">
        <v>-2.5</v>
      </c>
      <c r="Q272" s="5" t="n">
        <v>1</v>
      </c>
      <c r="R272" s="5" t="n">
        <v>4</v>
      </c>
      <c r="S272" s="5" t="n">
        <v>3</v>
      </c>
      <c r="T272" s="5" t="s">
        <v>48</v>
      </c>
      <c r="U272" s="6"/>
      <c r="V272" s="6"/>
      <c r="W272" s="6"/>
      <c r="X272" s="6"/>
      <c r="Y272" s="7" t="str">
        <f aca="false">IF(COUNT(U272:X272)=4,(W272-X272)/2,"")</f>
        <v/>
      </c>
      <c r="Z272" s="7" t="str">
        <f aca="false">IF(COUNT(U272:X272)=4,(U272-V272)/2,"")</f>
        <v/>
      </c>
      <c r="AA272" s="7" t="str">
        <f aca="false">IF(COUNT(U272:X272)=4,MAX(1,MIN(10,ROUNDUP(5-Z272,0))),"")</f>
        <v/>
      </c>
      <c r="AB272" s="7" t="str">
        <f aca="false">IF(COUNT(U272:X272)=4,MAX(1,MIN(10,ROUNDUP(Y272+5,0))),"")</f>
        <v/>
      </c>
      <c r="AC272" s="6"/>
      <c r="AD272" s="6"/>
    </row>
    <row r="273" customFormat="false" ht="15" hidden="false" customHeight="true" outlineLevel="0" collapsed="false">
      <c r="A273" s="5" t="n">
        <v>272</v>
      </c>
      <c r="B273" s="5" t="s">
        <v>722</v>
      </c>
      <c r="C273" s="5" t="s">
        <v>203</v>
      </c>
      <c r="D273" s="5" t="s">
        <v>204</v>
      </c>
      <c r="E273" s="5" t="n">
        <v>377</v>
      </c>
      <c r="F273" s="5" t="s">
        <v>722</v>
      </c>
      <c r="G273" s="5" t="n">
        <v>4</v>
      </c>
      <c r="H273" s="5" t="s">
        <v>53</v>
      </c>
      <c r="I273" s="5" t="s">
        <v>54</v>
      </c>
      <c r="J273" s="5" t="s">
        <v>117</v>
      </c>
      <c r="K273" s="5" t="s">
        <v>117</v>
      </c>
      <c r="L273" s="5" t="n">
        <v>4</v>
      </c>
      <c r="M273" s="5" t="n">
        <v>2</v>
      </c>
      <c r="N273" s="5" t="n">
        <v>2</v>
      </c>
      <c r="O273" s="5" t="n">
        <v>7</v>
      </c>
      <c r="P273" s="5" t="n">
        <v>-2.5</v>
      </c>
      <c r="Q273" s="5" t="n">
        <v>1</v>
      </c>
      <c r="R273" s="5" t="n">
        <v>4</v>
      </c>
      <c r="S273" s="5" t="n">
        <v>3</v>
      </c>
      <c r="T273" s="5" t="s">
        <v>723</v>
      </c>
      <c r="U273" s="6"/>
      <c r="V273" s="6"/>
      <c r="W273" s="6"/>
      <c r="X273" s="6"/>
      <c r="Y273" s="7" t="str">
        <f aca="false">IF(COUNT(U273:X273)=4,(W273-X273)/2,"")</f>
        <v/>
      </c>
      <c r="Z273" s="7" t="str">
        <f aca="false">IF(COUNT(U273:X273)=4,(U273-V273)/2,"")</f>
        <v/>
      </c>
      <c r="AA273" s="7" t="str">
        <f aca="false">IF(COUNT(U273:X273)=4,MAX(1,MIN(10,ROUNDUP(5-Z273,0))),"")</f>
        <v/>
      </c>
      <c r="AB273" s="7" t="str">
        <f aca="false">IF(COUNT(U273:X273)=4,MAX(1,MIN(10,ROUNDUP(Y273+5,0))),"")</f>
        <v/>
      </c>
      <c r="AC273" s="6"/>
      <c r="AD273" s="6"/>
    </row>
    <row r="274" customFormat="false" ht="15" hidden="false" customHeight="true" outlineLevel="0" collapsed="false">
      <c r="A274" s="5" t="n">
        <v>273</v>
      </c>
      <c r="B274" s="5" t="s">
        <v>724</v>
      </c>
      <c r="C274" s="5" t="s">
        <v>203</v>
      </c>
      <c r="D274" s="5" t="s">
        <v>204</v>
      </c>
      <c r="E274" s="5" t="n">
        <v>374</v>
      </c>
      <c r="F274" s="5" t="s">
        <v>724</v>
      </c>
      <c r="G274" s="5" t="n">
        <v>4</v>
      </c>
      <c r="H274" s="5" t="s">
        <v>53</v>
      </c>
      <c r="I274" s="5" t="s">
        <v>54</v>
      </c>
      <c r="J274" s="5" t="s">
        <v>117</v>
      </c>
      <c r="K274" s="5" t="s">
        <v>117</v>
      </c>
      <c r="L274" s="5" t="n">
        <v>5</v>
      </c>
      <c r="M274" s="5" t="n">
        <v>2</v>
      </c>
      <c r="N274" s="5" t="n">
        <v>1</v>
      </c>
      <c r="O274" s="5" t="n">
        <v>8</v>
      </c>
      <c r="P274" s="5" t="n">
        <v>-3.5</v>
      </c>
      <c r="Q274" s="5" t="n">
        <v>1.5</v>
      </c>
      <c r="R274" s="5" t="n">
        <v>4</v>
      </c>
      <c r="S274" s="5" t="n">
        <v>2</v>
      </c>
      <c r="T274" s="5" t="s">
        <v>695</v>
      </c>
      <c r="U274" s="6"/>
      <c r="V274" s="6"/>
      <c r="W274" s="6"/>
      <c r="X274" s="6"/>
      <c r="Y274" s="7" t="str">
        <f aca="false">IF(COUNT(U274:X274)=4,(W274-X274)/2,"")</f>
        <v/>
      </c>
      <c r="Z274" s="7" t="str">
        <f aca="false">IF(COUNT(U274:X274)=4,(U274-V274)/2,"")</f>
        <v/>
      </c>
      <c r="AA274" s="7" t="str">
        <f aca="false">IF(COUNT(U274:X274)=4,MAX(1,MIN(10,ROUNDUP(5-Z274,0))),"")</f>
        <v/>
      </c>
      <c r="AB274" s="7" t="str">
        <f aca="false">IF(COUNT(U274:X274)=4,MAX(1,MIN(10,ROUNDUP(Y274+5,0))),"")</f>
        <v/>
      </c>
      <c r="AC274" s="6"/>
      <c r="AD274" s="6"/>
    </row>
    <row r="275" customFormat="false" ht="15" hidden="false" customHeight="true" outlineLevel="0" collapsed="false">
      <c r="A275" s="5" t="n">
        <v>274</v>
      </c>
      <c r="B275" s="5" t="s">
        <v>725</v>
      </c>
      <c r="C275" s="5" t="s">
        <v>108</v>
      </c>
      <c r="D275" s="5" t="s">
        <v>109</v>
      </c>
      <c r="E275" s="5" t="n">
        <v>373</v>
      </c>
      <c r="F275" s="5" t="s">
        <v>725</v>
      </c>
      <c r="G275" s="5" t="n">
        <v>4</v>
      </c>
      <c r="H275" s="5" t="s">
        <v>53</v>
      </c>
      <c r="I275" s="5" t="s">
        <v>64</v>
      </c>
      <c r="J275" s="5"/>
      <c r="K275" s="5"/>
      <c r="L275" s="5" t="n">
        <v>3</v>
      </c>
      <c r="M275" s="5" t="n">
        <v>6</v>
      </c>
      <c r="N275" s="5" t="n">
        <v>3</v>
      </c>
      <c r="O275" s="5" t="n">
        <v>7</v>
      </c>
      <c r="P275" s="5" t="n">
        <v>-2</v>
      </c>
      <c r="Q275" s="5" t="n">
        <v>-1.5</v>
      </c>
      <c r="R275" s="5" t="n">
        <v>7</v>
      </c>
      <c r="S275" s="5" t="n">
        <v>3</v>
      </c>
      <c r="T275" s="5" t="s">
        <v>726</v>
      </c>
      <c r="U275" s="6"/>
      <c r="V275" s="6"/>
      <c r="W275" s="6"/>
      <c r="X275" s="6"/>
      <c r="Y275" s="7" t="str">
        <f aca="false">IF(COUNT(U275:X275)=4,(W275-X275)/2,"")</f>
        <v/>
      </c>
      <c r="Z275" s="7" t="str">
        <f aca="false">IF(COUNT(U275:X275)=4,(U275-V275)/2,"")</f>
        <v/>
      </c>
      <c r="AA275" s="7" t="str">
        <f aca="false">IF(COUNT(U275:X275)=4,MAX(1,MIN(10,ROUNDUP(5-Z275,0))),"")</f>
        <v/>
      </c>
      <c r="AB275" s="7" t="str">
        <f aca="false">IF(COUNT(U275:X275)=4,MAX(1,MIN(10,ROUNDUP(Y275+5,0))),"")</f>
        <v/>
      </c>
      <c r="AC275" s="6"/>
      <c r="AD275" s="6"/>
    </row>
    <row r="276" customFormat="false" ht="15" hidden="false" customHeight="true" outlineLevel="0" collapsed="false">
      <c r="A276" s="5" t="n">
        <v>275</v>
      </c>
      <c r="B276" s="5" t="s">
        <v>727</v>
      </c>
      <c r="C276" s="5" t="s">
        <v>58</v>
      </c>
      <c r="D276" s="5" t="s">
        <v>59</v>
      </c>
      <c r="E276" s="5" t="n">
        <v>371</v>
      </c>
      <c r="F276" s="5" t="s">
        <v>727</v>
      </c>
      <c r="G276" s="5" t="n">
        <v>1</v>
      </c>
      <c r="H276" s="5" t="s">
        <v>47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 t="s">
        <v>728</v>
      </c>
      <c r="U276" s="6"/>
      <c r="V276" s="6"/>
      <c r="W276" s="6"/>
      <c r="X276" s="6"/>
      <c r="Y276" s="7" t="str">
        <f aca="false">IF(COUNT(U276:X276)=4,(W276-X276)/2,"")</f>
        <v/>
      </c>
      <c r="Z276" s="7" t="str">
        <f aca="false">IF(COUNT(U276:X276)=4,(U276-V276)/2,"")</f>
        <v/>
      </c>
      <c r="AA276" s="7" t="str">
        <f aca="false">IF(COUNT(U276:X276)=4,MAX(1,MIN(10,ROUNDUP(5-Z276,0))),"")</f>
        <v/>
      </c>
      <c r="AB276" s="7" t="str">
        <f aca="false">IF(COUNT(U276:X276)=4,MAX(1,MIN(10,ROUNDUP(Y276+5,0))),"")</f>
        <v/>
      </c>
      <c r="AC276" s="6"/>
      <c r="AD276" s="6"/>
    </row>
    <row r="277" customFormat="false" ht="15" hidden="false" customHeight="true" outlineLevel="0" collapsed="false">
      <c r="A277" s="5" t="n">
        <v>276</v>
      </c>
      <c r="B277" s="5" t="s">
        <v>729</v>
      </c>
      <c r="C277" s="5" t="s">
        <v>58</v>
      </c>
      <c r="D277" s="5" t="s">
        <v>59</v>
      </c>
      <c r="E277" s="5" t="n">
        <v>370</v>
      </c>
      <c r="F277" s="5" t="s">
        <v>729</v>
      </c>
      <c r="G277" s="5" t="n">
        <v>1</v>
      </c>
      <c r="H277" s="5" t="s">
        <v>47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 t="s">
        <v>730</v>
      </c>
      <c r="U277" s="6"/>
      <c r="V277" s="6"/>
      <c r="W277" s="6"/>
      <c r="X277" s="6"/>
      <c r="Y277" s="7" t="str">
        <f aca="false">IF(COUNT(U277:X277)=4,(W277-X277)/2,"")</f>
        <v/>
      </c>
      <c r="Z277" s="7" t="str">
        <f aca="false">IF(COUNT(U277:X277)=4,(U277-V277)/2,"")</f>
        <v/>
      </c>
      <c r="AA277" s="7" t="str">
        <f aca="false">IF(COUNT(U277:X277)=4,MAX(1,MIN(10,ROUNDUP(5-Z277,0))),"")</f>
        <v/>
      </c>
      <c r="AB277" s="7" t="str">
        <f aca="false">IF(COUNT(U277:X277)=4,MAX(1,MIN(10,ROUNDUP(Y277+5,0))),"")</f>
        <v/>
      </c>
      <c r="AC277" s="6"/>
      <c r="AD277" s="6"/>
    </row>
    <row r="278" customFormat="false" ht="15" hidden="false" customHeight="true" outlineLevel="0" collapsed="false">
      <c r="A278" s="5" t="n">
        <v>277</v>
      </c>
      <c r="B278" s="5" t="s">
        <v>731</v>
      </c>
      <c r="C278" s="5" t="s">
        <v>108</v>
      </c>
      <c r="D278" s="5" t="s">
        <v>109</v>
      </c>
      <c r="E278" s="5" t="n">
        <v>370</v>
      </c>
      <c r="F278" s="5" t="s">
        <v>732</v>
      </c>
      <c r="G278" s="5" t="n">
        <v>4</v>
      </c>
      <c r="H278" s="5" t="s">
        <v>53</v>
      </c>
      <c r="I278" s="5" t="s">
        <v>54</v>
      </c>
      <c r="J278" s="5" t="s">
        <v>117</v>
      </c>
      <c r="K278" s="5" t="s">
        <v>117</v>
      </c>
      <c r="L278" s="5" t="n">
        <v>3</v>
      </c>
      <c r="M278" s="5" t="n">
        <v>2</v>
      </c>
      <c r="N278" s="5" t="n">
        <v>2</v>
      </c>
      <c r="O278" s="5" t="n">
        <v>7</v>
      </c>
      <c r="P278" s="5" t="n">
        <v>-2.5</v>
      </c>
      <c r="Q278" s="5" t="n">
        <v>0.5</v>
      </c>
      <c r="R278" s="5" t="n">
        <v>5</v>
      </c>
      <c r="S278" s="5" t="n">
        <v>3</v>
      </c>
      <c r="T278" s="5" t="s">
        <v>733</v>
      </c>
      <c r="U278" s="6"/>
      <c r="V278" s="6"/>
      <c r="W278" s="6"/>
      <c r="X278" s="6"/>
      <c r="Y278" s="7" t="str">
        <f aca="false">IF(COUNT(U278:X278)=4,(W278-X278)/2,"")</f>
        <v/>
      </c>
      <c r="Z278" s="7" t="str">
        <f aca="false">IF(COUNT(U278:X278)=4,(U278-V278)/2,"")</f>
        <v/>
      </c>
      <c r="AA278" s="7" t="str">
        <f aca="false">IF(COUNT(U278:X278)=4,MAX(1,MIN(10,ROUNDUP(5-Z278,0))),"")</f>
        <v/>
      </c>
      <c r="AB278" s="7" t="str">
        <f aca="false">IF(COUNT(U278:X278)=4,MAX(1,MIN(10,ROUNDUP(Y278+5,0))),"")</f>
        <v/>
      </c>
      <c r="AC278" s="6"/>
      <c r="AD278" s="6"/>
    </row>
    <row r="279" customFormat="false" ht="15" hidden="false" customHeight="true" outlineLevel="0" collapsed="false">
      <c r="A279" s="5" t="n">
        <v>278</v>
      </c>
      <c r="B279" s="5" t="s">
        <v>734</v>
      </c>
      <c r="C279" s="5" t="s">
        <v>203</v>
      </c>
      <c r="D279" s="5" t="s">
        <v>204</v>
      </c>
      <c r="E279" s="5" t="n">
        <v>369</v>
      </c>
      <c r="F279" s="5" t="s">
        <v>734</v>
      </c>
      <c r="G279" s="5" t="n">
        <v>4</v>
      </c>
      <c r="H279" s="5" t="s">
        <v>53</v>
      </c>
      <c r="I279" s="5" t="s">
        <v>54</v>
      </c>
      <c r="J279" s="5" t="s">
        <v>117</v>
      </c>
      <c r="K279" s="5" t="s">
        <v>117</v>
      </c>
      <c r="L279" s="5" t="n">
        <v>8</v>
      </c>
      <c r="M279" s="5" t="n">
        <v>1</v>
      </c>
      <c r="N279" s="5" t="n">
        <v>2</v>
      </c>
      <c r="O279" s="5" t="n">
        <v>8</v>
      </c>
      <c r="P279" s="5" t="n">
        <v>-3</v>
      </c>
      <c r="Q279" s="5" t="n">
        <v>3.5</v>
      </c>
      <c r="R279" s="5" t="n">
        <v>2</v>
      </c>
      <c r="S279" s="5" t="n">
        <v>2</v>
      </c>
      <c r="T279" s="5" t="s">
        <v>735</v>
      </c>
      <c r="U279" s="6"/>
      <c r="V279" s="6"/>
      <c r="W279" s="6"/>
      <c r="X279" s="6"/>
      <c r="Y279" s="7" t="str">
        <f aca="false">IF(COUNT(U279:X279)=4,(W279-X279)/2,"")</f>
        <v/>
      </c>
      <c r="Z279" s="7" t="str">
        <f aca="false">IF(COUNT(U279:X279)=4,(U279-V279)/2,"")</f>
        <v/>
      </c>
      <c r="AA279" s="7" t="str">
        <f aca="false">IF(COUNT(U279:X279)=4,MAX(1,MIN(10,ROUNDUP(5-Z279,0))),"")</f>
        <v/>
      </c>
      <c r="AB279" s="7" t="str">
        <f aca="false">IF(COUNT(U279:X279)=4,MAX(1,MIN(10,ROUNDUP(Y279+5,0))),"")</f>
        <v/>
      </c>
      <c r="AC279" s="6"/>
      <c r="AD279" s="6"/>
    </row>
    <row r="280" customFormat="false" ht="15" hidden="false" customHeight="true" outlineLevel="0" collapsed="false">
      <c r="A280" s="5" t="n">
        <v>279</v>
      </c>
      <c r="B280" s="5" t="s">
        <v>736</v>
      </c>
      <c r="C280" s="5" t="s">
        <v>171</v>
      </c>
      <c r="D280" s="5" t="s">
        <v>172</v>
      </c>
      <c r="E280" s="5" t="n">
        <v>368</v>
      </c>
      <c r="F280" s="5" t="s">
        <v>737</v>
      </c>
      <c r="G280" s="5" t="n">
        <v>4</v>
      </c>
      <c r="H280" s="5" t="s">
        <v>53</v>
      </c>
      <c r="I280" s="5" t="s">
        <v>54</v>
      </c>
      <c r="J280" s="5" t="s">
        <v>181</v>
      </c>
      <c r="K280" s="5" t="s">
        <v>223</v>
      </c>
      <c r="L280" s="5" t="n">
        <v>4</v>
      </c>
      <c r="M280" s="5" t="n">
        <v>4</v>
      </c>
      <c r="N280" s="5" t="n">
        <v>6</v>
      </c>
      <c r="O280" s="5" t="n">
        <v>5</v>
      </c>
      <c r="P280" s="5" t="n">
        <v>0.5</v>
      </c>
      <c r="Q280" s="5" t="n">
        <v>0</v>
      </c>
      <c r="R280" s="5" t="n">
        <v>5</v>
      </c>
      <c r="S280" s="5" t="n">
        <v>6</v>
      </c>
      <c r="T280" s="5" t="s">
        <v>738</v>
      </c>
      <c r="U280" s="6"/>
      <c r="V280" s="6"/>
      <c r="W280" s="6"/>
      <c r="X280" s="6"/>
      <c r="Y280" s="7" t="str">
        <f aca="false">IF(COUNT(U280:X280)=4,(W280-X280)/2,"")</f>
        <v/>
      </c>
      <c r="Z280" s="7" t="str">
        <f aca="false">IF(COUNT(U280:X280)=4,(U280-V280)/2,"")</f>
        <v/>
      </c>
      <c r="AA280" s="7" t="str">
        <f aca="false">IF(COUNT(U280:X280)=4,MAX(1,MIN(10,ROUNDUP(5-Z280,0))),"")</f>
        <v/>
      </c>
      <c r="AB280" s="7" t="str">
        <f aca="false">IF(COUNT(U280:X280)=4,MAX(1,MIN(10,ROUNDUP(Y280+5,0))),"")</f>
        <v/>
      </c>
      <c r="AC280" s="6"/>
      <c r="AD280" s="6"/>
    </row>
    <row r="281" customFormat="false" ht="15" hidden="false" customHeight="true" outlineLevel="0" collapsed="false">
      <c r="A281" s="5" t="n">
        <v>280</v>
      </c>
      <c r="B281" s="5" t="s">
        <v>739</v>
      </c>
      <c r="C281" s="5" t="s">
        <v>145</v>
      </c>
      <c r="D281" s="5" t="s">
        <v>51</v>
      </c>
      <c r="E281" s="5" t="n">
        <v>364</v>
      </c>
      <c r="F281" s="5" t="s">
        <v>740</v>
      </c>
      <c r="G281" s="5" t="n">
        <v>4</v>
      </c>
      <c r="H281" s="5" t="s">
        <v>53</v>
      </c>
      <c r="I281" s="5" t="s">
        <v>54</v>
      </c>
      <c r="J281" s="5" t="s">
        <v>181</v>
      </c>
      <c r="K281" s="5" t="s">
        <v>443</v>
      </c>
      <c r="L281" s="5" t="n">
        <v>5</v>
      </c>
      <c r="M281" s="5" t="n">
        <v>3</v>
      </c>
      <c r="N281" s="5" t="n">
        <v>4</v>
      </c>
      <c r="O281" s="5" t="n">
        <v>8</v>
      </c>
      <c r="P281" s="5" t="n">
        <v>-2</v>
      </c>
      <c r="Q281" s="5" t="n">
        <v>1</v>
      </c>
      <c r="R281" s="5" t="n">
        <v>4</v>
      </c>
      <c r="S281" s="5" t="n">
        <v>3</v>
      </c>
      <c r="T281" s="5" t="s">
        <v>741</v>
      </c>
      <c r="U281" s="6"/>
      <c r="V281" s="6"/>
      <c r="W281" s="6"/>
      <c r="X281" s="6"/>
      <c r="Y281" s="7" t="str">
        <f aca="false">IF(COUNT(U281:X281)=4,(W281-X281)/2,"")</f>
        <v/>
      </c>
      <c r="Z281" s="7" t="str">
        <f aca="false">IF(COUNT(U281:X281)=4,(U281-V281)/2,"")</f>
        <v/>
      </c>
      <c r="AA281" s="7" t="str">
        <f aca="false">IF(COUNT(U281:X281)=4,MAX(1,MIN(10,ROUNDUP(5-Z281,0))),"")</f>
        <v/>
      </c>
      <c r="AB281" s="7" t="str">
        <f aca="false">IF(COUNT(U281:X281)=4,MAX(1,MIN(10,ROUNDUP(Y281+5,0))),"")</f>
        <v/>
      </c>
      <c r="AC281" s="6"/>
      <c r="AD281" s="6"/>
    </row>
    <row r="282" customFormat="false" ht="15" hidden="false" customHeight="true" outlineLevel="0" collapsed="false">
      <c r="A282" s="5" t="n">
        <v>281</v>
      </c>
      <c r="B282" s="5" t="s">
        <v>742</v>
      </c>
      <c r="C282" s="5" t="s">
        <v>171</v>
      </c>
      <c r="D282" s="5" t="s">
        <v>172</v>
      </c>
      <c r="E282" s="5" t="n">
        <v>362</v>
      </c>
      <c r="F282" s="5" t="s">
        <v>743</v>
      </c>
      <c r="G282" s="5" t="n">
        <v>4</v>
      </c>
      <c r="H282" s="5" t="s">
        <v>53</v>
      </c>
      <c r="I282" s="5" t="s">
        <v>81</v>
      </c>
      <c r="J282" s="5" t="s">
        <v>174</v>
      </c>
      <c r="K282" s="5" t="s">
        <v>175</v>
      </c>
      <c r="L282" s="5" t="n">
        <v>7</v>
      </c>
      <c r="M282" s="5" t="n">
        <v>1</v>
      </c>
      <c r="N282" s="5" t="n">
        <v>3</v>
      </c>
      <c r="O282" s="5" t="n">
        <v>8</v>
      </c>
      <c r="P282" s="5" t="n">
        <v>-2.5</v>
      </c>
      <c r="Q282" s="5" t="n">
        <v>3</v>
      </c>
      <c r="R282" s="5" t="n">
        <v>2</v>
      </c>
      <c r="S282" s="5" t="n">
        <v>3</v>
      </c>
      <c r="T282" s="5" t="s">
        <v>744</v>
      </c>
      <c r="U282" s="6"/>
      <c r="V282" s="6"/>
      <c r="W282" s="6"/>
      <c r="X282" s="6"/>
      <c r="Y282" s="7" t="str">
        <f aca="false">IF(COUNT(U282:X282)=4,(W282-X282)/2,"")</f>
        <v/>
      </c>
      <c r="Z282" s="7" t="str">
        <f aca="false">IF(COUNT(U282:X282)=4,(U282-V282)/2,"")</f>
        <v/>
      </c>
      <c r="AA282" s="7" t="str">
        <f aca="false">IF(COUNT(U282:X282)=4,MAX(1,MIN(10,ROUNDUP(5-Z282,0))),"")</f>
        <v/>
      </c>
      <c r="AB282" s="7" t="str">
        <f aca="false">IF(COUNT(U282:X282)=4,MAX(1,MIN(10,ROUNDUP(Y282+5,0))),"")</f>
        <v/>
      </c>
      <c r="AC282" s="6"/>
      <c r="AD282" s="6"/>
    </row>
    <row r="283" customFormat="false" ht="15" hidden="false" customHeight="true" outlineLevel="0" collapsed="false">
      <c r="A283" s="5" t="n">
        <v>282</v>
      </c>
      <c r="B283" s="5" t="s">
        <v>745</v>
      </c>
      <c r="C283" s="5" t="s">
        <v>145</v>
      </c>
      <c r="D283" s="5" t="s">
        <v>51</v>
      </c>
      <c r="E283" s="5" t="n">
        <v>362</v>
      </c>
      <c r="F283" s="5" t="s">
        <v>746</v>
      </c>
      <c r="G283" s="5" t="n">
        <v>4</v>
      </c>
      <c r="H283" s="5" t="s">
        <v>53</v>
      </c>
      <c r="I283" s="5" t="s">
        <v>54</v>
      </c>
      <c r="J283" s="5" t="s">
        <v>55</v>
      </c>
      <c r="K283" s="5" t="s">
        <v>55</v>
      </c>
      <c r="L283" s="5" t="n">
        <v>5</v>
      </c>
      <c r="M283" s="5" t="n">
        <v>2</v>
      </c>
      <c r="N283" s="5" t="n">
        <v>8</v>
      </c>
      <c r="O283" s="5" t="n">
        <v>2</v>
      </c>
      <c r="P283" s="5" t="n">
        <v>3</v>
      </c>
      <c r="Q283" s="5" t="n">
        <v>1.5</v>
      </c>
      <c r="R283" s="5" t="n">
        <v>4</v>
      </c>
      <c r="S283" s="5" t="n">
        <v>8</v>
      </c>
      <c r="T283" s="5" t="s">
        <v>747</v>
      </c>
      <c r="U283" s="6"/>
      <c r="V283" s="6"/>
      <c r="W283" s="6"/>
      <c r="X283" s="6"/>
      <c r="Y283" s="7" t="str">
        <f aca="false">IF(COUNT(U283:X283)=4,(W283-X283)/2,"")</f>
        <v/>
      </c>
      <c r="Z283" s="7" t="str">
        <f aca="false">IF(COUNT(U283:X283)=4,(U283-V283)/2,"")</f>
        <v/>
      </c>
      <c r="AA283" s="7" t="str">
        <f aca="false">IF(COUNT(U283:X283)=4,MAX(1,MIN(10,ROUNDUP(5-Z283,0))),"")</f>
        <v/>
      </c>
      <c r="AB283" s="7" t="str">
        <f aca="false">IF(COUNT(U283:X283)=4,MAX(1,MIN(10,ROUNDUP(Y283+5,0))),"")</f>
        <v/>
      </c>
      <c r="AC283" s="6"/>
      <c r="AD283" s="6"/>
    </row>
    <row r="284" customFormat="false" ht="15" hidden="false" customHeight="true" outlineLevel="0" collapsed="false">
      <c r="A284" s="5" t="n">
        <v>283</v>
      </c>
      <c r="B284" s="5" t="s">
        <v>748</v>
      </c>
      <c r="C284" s="5" t="s">
        <v>127</v>
      </c>
      <c r="D284" s="5" t="s">
        <v>128</v>
      </c>
      <c r="E284" s="5" t="n">
        <v>361</v>
      </c>
      <c r="F284" s="5" t="s">
        <v>749</v>
      </c>
      <c r="G284" s="5" t="n">
        <v>4</v>
      </c>
      <c r="H284" s="5" t="s">
        <v>53</v>
      </c>
      <c r="I284" s="5" t="s">
        <v>54</v>
      </c>
      <c r="J284" s="5" t="s">
        <v>117</v>
      </c>
      <c r="K284" s="5" t="s">
        <v>117</v>
      </c>
      <c r="L284" s="5" t="n">
        <v>3</v>
      </c>
      <c r="M284" s="5" t="n">
        <v>1</v>
      </c>
      <c r="N284" s="5" t="n">
        <v>2</v>
      </c>
      <c r="O284" s="5" t="n">
        <v>7</v>
      </c>
      <c r="P284" s="5" t="n">
        <v>-2.5</v>
      </c>
      <c r="Q284" s="5" t="n">
        <v>1</v>
      </c>
      <c r="R284" s="5" t="n">
        <v>4</v>
      </c>
      <c r="S284" s="5" t="n">
        <v>3</v>
      </c>
      <c r="T284" s="5" t="s">
        <v>750</v>
      </c>
      <c r="U284" s="6"/>
      <c r="V284" s="6"/>
      <c r="W284" s="6"/>
      <c r="X284" s="6"/>
      <c r="Y284" s="7" t="str">
        <f aca="false">IF(COUNT(U284:X284)=4,(W284-X284)/2,"")</f>
        <v/>
      </c>
      <c r="Z284" s="7" t="str">
        <f aca="false">IF(COUNT(U284:X284)=4,(U284-V284)/2,"")</f>
        <v/>
      </c>
      <c r="AA284" s="7" t="str">
        <f aca="false">IF(COUNT(U284:X284)=4,MAX(1,MIN(10,ROUNDUP(5-Z284,0))),"")</f>
        <v/>
      </c>
      <c r="AB284" s="7" t="str">
        <f aca="false">IF(COUNT(U284:X284)=4,MAX(1,MIN(10,ROUNDUP(Y284+5,0))),"")</f>
        <v/>
      </c>
      <c r="AC284" s="6"/>
      <c r="AD284" s="6"/>
    </row>
    <row r="285" customFormat="false" ht="15" hidden="false" customHeight="true" outlineLevel="0" collapsed="false">
      <c r="A285" s="5" t="n">
        <v>284</v>
      </c>
      <c r="B285" s="5" t="s">
        <v>751</v>
      </c>
      <c r="C285" s="5" t="s">
        <v>145</v>
      </c>
      <c r="D285" s="5" t="s">
        <v>51</v>
      </c>
      <c r="E285" s="5" t="n">
        <v>360</v>
      </c>
      <c r="F285" s="5" t="s">
        <v>752</v>
      </c>
      <c r="G285" s="5" t="n">
        <v>4</v>
      </c>
      <c r="H285" s="5" t="s">
        <v>53</v>
      </c>
      <c r="I285" s="5" t="s">
        <v>54</v>
      </c>
      <c r="J285" s="5" t="s">
        <v>55</v>
      </c>
      <c r="K285" s="5" t="s">
        <v>55</v>
      </c>
      <c r="L285" s="5" t="n">
        <v>4</v>
      </c>
      <c r="M285" s="5" t="n">
        <v>3</v>
      </c>
      <c r="N285" s="5" t="n">
        <v>4</v>
      </c>
      <c r="O285" s="5" t="n">
        <v>6</v>
      </c>
      <c r="P285" s="5" t="n">
        <v>-1</v>
      </c>
      <c r="Q285" s="5" t="n">
        <v>0.5</v>
      </c>
      <c r="R285" s="5" t="n">
        <v>5</v>
      </c>
      <c r="S285" s="5" t="n">
        <v>4</v>
      </c>
      <c r="T285" s="5" t="s">
        <v>123</v>
      </c>
      <c r="U285" s="6"/>
      <c r="V285" s="6"/>
      <c r="W285" s="6"/>
      <c r="X285" s="6"/>
      <c r="Y285" s="7" t="str">
        <f aca="false">IF(COUNT(U285:X285)=4,(W285-X285)/2,"")</f>
        <v/>
      </c>
      <c r="Z285" s="7" t="str">
        <f aca="false">IF(COUNT(U285:X285)=4,(U285-V285)/2,"")</f>
        <v/>
      </c>
      <c r="AA285" s="7" t="str">
        <f aca="false">IF(COUNT(U285:X285)=4,MAX(1,MIN(10,ROUNDUP(5-Z285,0))),"")</f>
        <v/>
      </c>
      <c r="AB285" s="7" t="str">
        <f aca="false">IF(COUNT(U285:X285)=4,MAX(1,MIN(10,ROUNDUP(Y285+5,0))),"")</f>
        <v/>
      </c>
      <c r="AC285" s="6"/>
      <c r="AD285" s="6"/>
    </row>
    <row r="286" customFormat="false" ht="15" hidden="false" customHeight="true" outlineLevel="0" collapsed="false">
      <c r="A286" s="5" t="n">
        <v>285</v>
      </c>
      <c r="B286" s="5" t="s">
        <v>55</v>
      </c>
      <c r="C286" s="5" t="s">
        <v>171</v>
      </c>
      <c r="D286" s="5" t="s">
        <v>172</v>
      </c>
      <c r="E286" s="5" t="n">
        <v>359</v>
      </c>
      <c r="F286" s="5" t="s">
        <v>753</v>
      </c>
      <c r="G286" s="5" t="n">
        <v>4</v>
      </c>
      <c r="H286" s="5" t="s">
        <v>53</v>
      </c>
      <c r="I286" s="5" t="s">
        <v>54</v>
      </c>
      <c r="J286" s="5" t="s">
        <v>181</v>
      </c>
      <c r="K286" s="5" t="s">
        <v>235</v>
      </c>
      <c r="L286" s="5" t="n">
        <v>4</v>
      </c>
      <c r="M286" s="5" t="n">
        <v>4</v>
      </c>
      <c r="N286" s="5" t="n">
        <v>7</v>
      </c>
      <c r="O286" s="5" t="n">
        <v>4</v>
      </c>
      <c r="P286" s="5" t="n">
        <v>1.5</v>
      </c>
      <c r="Q286" s="5" t="n">
        <v>0</v>
      </c>
      <c r="R286" s="5" t="n">
        <v>5</v>
      </c>
      <c r="S286" s="5" t="n">
        <v>7</v>
      </c>
      <c r="T286" s="5" t="s">
        <v>754</v>
      </c>
      <c r="U286" s="6"/>
      <c r="V286" s="6"/>
      <c r="W286" s="6"/>
      <c r="X286" s="6"/>
      <c r="Y286" s="7" t="str">
        <f aca="false">IF(COUNT(U286:X286)=4,(W286-X286)/2,"")</f>
        <v/>
      </c>
      <c r="Z286" s="7" t="str">
        <f aca="false">IF(COUNT(U286:X286)=4,(U286-V286)/2,"")</f>
        <v/>
      </c>
      <c r="AA286" s="7" t="str">
        <f aca="false">IF(COUNT(U286:X286)=4,MAX(1,MIN(10,ROUNDUP(5-Z286,0))),"")</f>
        <v/>
      </c>
      <c r="AB286" s="7" t="str">
        <f aca="false">IF(COUNT(U286:X286)=4,MAX(1,MIN(10,ROUNDUP(Y286+5,0))),"")</f>
        <v/>
      </c>
      <c r="AC286" s="6"/>
      <c r="AD286" s="6"/>
    </row>
    <row r="287" customFormat="false" ht="15" hidden="false" customHeight="true" outlineLevel="0" collapsed="false">
      <c r="A287" s="5" t="n">
        <v>286</v>
      </c>
      <c r="B287" s="5" t="s">
        <v>755</v>
      </c>
      <c r="C287" s="5" t="s">
        <v>58</v>
      </c>
      <c r="D287" s="5" t="s">
        <v>59</v>
      </c>
      <c r="E287" s="5" t="n">
        <v>359</v>
      </c>
      <c r="F287" s="5" t="s">
        <v>755</v>
      </c>
      <c r="G287" s="5" t="n">
        <v>1</v>
      </c>
      <c r="H287" s="5" t="s">
        <v>47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 t="s">
        <v>756</v>
      </c>
      <c r="U287" s="6"/>
      <c r="V287" s="6"/>
      <c r="W287" s="6"/>
      <c r="X287" s="6"/>
      <c r="Y287" s="7" t="str">
        <f aca="false">IF(COUNT(U287:X287)=4,(W287-X287)/2,"")</f>
        <v/>
      </c>
      <c r="Z287" s="7" t="str">
        <f aca="false">IF(COUNT(U287:X287)=4,(U287-V287)/2,"")</f>
        <v/>
      </c>
      <c r="AA287" s="7" t="str">
        <f aca="false">IF(COUNT(U287:X287)=4,MAX(1,MIN(10,ROUNDUP(5-Z287,0))),"")</f>
        <v/>
      </c>
      <c r="AB287" s="7" t="str">
        <f aca="false">IF(COUNT(U287:X287)=4,MAX(1,MIN(10,ROUNDUP(Y287+5,0))),"")</f>
        <v/>
      </c>
      <c r="AC287" s="6"/>
      <c r="AD287" s="6"/>
    </row>
    <row r="288" customFormat="false" ht="15" hidden="false" customHeight="true" outlineLevel="0" collapsed="false">
      <c r="A288" s="5" t="n">
        <v>287</v>
      </c>
      <c r="B288" s="5" t="s">
        <v>757</v>
      </c>
      <c r="C288" s="5" t="s">
        <v>58</v>
      </c>
      <c r="D288" s="5" t="s">
        <v>59</v>
      </c>
      <c r="E288" s="5" t="n">
        <v>355</v>
      </c>
      <c r="F288" s="5" t="s">
        <v>757</v>
      </c>
      <c r="G288" s="5" t="n">
        <v>1</v>
      </c>
      <c r="H288" s="5" t="s">
        <v>47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 t="s">
        <v>525</v>
      </c>
      <c r="U288" s="6"/>
      <c r="V288" s="6"/>
      <c r="W288" s="6"/>
      <c r="X288" s="6"/>
      <c r="Y288" s="7" t="str">
        <f aca="false">IF(COUNT(U288:X288)=4,(W288-X288)/2,"")</f>
        <v/>
      </c>
      <c r="Z288" s="7" t="str">
        <f aca="false">IF(COUNT(U288:X288)=4,(U288-V288)/2,"")</f>
        <v/>
      </c>
      <c r="AA288" s="7" t="str">
        <f aca="false">IF(COUNT(U288:X288)=4,MAX(1,MIN(10,ROUNDUP(5-Z288,0))),"")</f>
        <v/>
      </c>
      <c r="AB288" s="7" t="str">
        <f aca="false">IF(COUNT(U288:X288)=4,MAX(1,MIN(10,ROUNDUP(Y288+5,0))),"")</f>
        <v/>
      </c>
      <c r="AC288" s="6"/>
      <c r="AD288" s="6"/>
    </row>
    <row r="289" customFormat="false" ht="15" hidden="false" customHeight="true" outlineLevel="0" collapsed="false">
      <c r="A289" s="5" t="n">
        <v>288</v>
      </c>
      <c r="B289" s="5" t="s">
        <v>758</v>
      </c>
      <c r="C289" s="5" t="s">
        <v>171</v>
      </c>
      <c r="D289" s="5" t="s">
        <v>172</v>
      </c>
      <c r="E289" s="5" t="n">
        <v>355</v>
      </c>
      <c r="F289" s="5" t="s">
        <v>759</v>
      </c>
      <c r="G289" s="5" t="n">
        <v>4</v>
      </c>
      <c r="H289" s="5" t="s">
        <v>53</v>
      </c>
      <c r="I289" s="5" t="s">
        <v>81</v>
      </c>
      <c r="J289" s="5" t="s">
        <v>174</v>
      </c>
      <c r="K289" s="5" t="s">
        <v>347</v>
      </c>
      <c r="L289" s="5" t="n">
        <v>5</v>
      </c>
      <c r="M289" s="5" t="n">
        <v>2</v>
      </c>
      <c r="N289" s="5" t="n">
        <v>9</v>
      </c>
      <c r="O289" s="5" t="n">
        <v>2</v>
      </c>
      <c r="P289" s="5" t="n">
        <v>3.5</v>
      </c>
      <c r="Q289" s="5" t="n">
        <v>1.5</v>
      </c>
      <c r="R289" s="5" t="n">
        <v>4</v>
      </c>
      <c r="S289" s="5" t="n">
        <v>9</v>
      </c>
      <c r="T289" s="5" t="s">
        <v>607</v>
      </c>
      <c r="U289" s="6"/>
      <c r="V289" s="6"/>
      <c r="W289" s="6"/>
      <c r="X289" s="6"/>
      <c r="Y289" s="7" t="str">
        <f aca="false">IF(COUNT(U289:X289)=4,(W289-X289)/2,"")</f>
        <v/>
      </c>
      <c r="Z289" s="7" t="str">
        <f aca="false">IF(COUNT(U289:X289)=4,(U289-V289)/2,"")</f>
        <v/>
      </c>
      <c r="AA289" s="7" t="str">
        <f aca="false">IF(COUNT(U289:X289)=4,MAX(1,MIN(10,ROUNDUP(5-Z289,0))),"")</f>
        <v/>
      </c>
      <c r="AB289" s="7" t="str">
        <f aca="false">IF(COUNT(U289:X289)=4,MAX(1,MIN(10,ROUNDUP(Y289+5,0))),"")</f>
        <v/>
      </c>
      <c r="AC289" s="6"/>
      <c r="AD289" s="6"/>
    </row>
    <row r="290" customFormat="false" ht="15" hidden="false" customHeight="true" outlineLevel="0" collapsed="false">
      <c r="A290" s="5" t="n">
        <v>289</v>
      </c>
      <c r="B290" s="5" t="s">
        <v>760</v>
      </c>
      <c r="C290" s="5" t="s">
        <v>145</v>
      </c>
      <c r="D290" s="5" t="s">
        <v>51</v>
      </c>
      <c r="E290" s="5" t="n">
        <v>352</v>
      </c>
      <c r="F290" s="5" t="s">
        <v>761</v>
      </c>
      <c r="G290" s="5" t="n">
        <v>4</v>
      </c>
      <c r="H290" s="5" t="s">
        <v>53</v>
      </c>
      <c r="I290" s="5" t="s">
        <v>54</v>
      </c>
      <c r="J290" s="5" t="s">
        <v>55</v>
      </c>
      <c r="K290" s="5" t="s">
        <v>55</v>
      </c>
      <c r="L290" s="5" t="n">
        <v>4</v>
      </c>
      <c r="M290" s="5" t="n">
        <v>2</v>
      </c>
      <c r="N290" s="5" t="n">
        <v>10</v>
      </c>
      <c r="O290" s="5" t="n">
        <v>1</v>
      </c>
      <c r="P290" s="5" t="n">
        <v>4.5</v>
      </c>
      <c r="Q290" s="5" t="n">
        <v>1</v>
      </c>
      <c r="R290" s="5" t="n">
        <v>4</v>
      </c>
      <c r="S290" s="5" t="n">
        <v>10</v>
      </c>
      <c r="T290" s="5" t="s">
        <v>762</v>
      </c>
      <c r="U290" s="6"/>
      <c r="V290" s="6"/>
      <c r="W290" s="6"/>
      <c r="X290" s="6"/>
      <c r="Y290" s="7" t="str">
        <f aca="false">IF(COUNT(U290:X290)=4,(W290-X290)/2,"")</f>
        <v/>
      </c>
      <c r="Z290" s="7" t="str">
        <f aca="false">IF(COUNT(U290:X290)=4,(U290-V290)/2,"")</f>
        <v/>
      </c>
      <c r="AA290" s="7" t="str">
        <f aca="false">IF(COUNT(U290:X290)=4,MAX(1,MIN(10,ROUNDUP(5-Z290,0))),"")</f>
        <v/>
      </c>
      <c r="AB290" s="7" t="str">
        <f aca="false">IF(COUNT(U290:X290)=4,MAX(1,MIN(10,ROUNDUP(Y290+5,0))),"")</f>
        <v/>
      </c>
      <c r="AC290" s="6"/>
      <c r="AD290" s="6"/>
    </row>
    <row r="291" customFormat="false" ht="15" hidden="false" customHeight="true" outlineLevel="0" collapsed="false">
      <c r="A291" s="5" t="n">
        <v>290</v>
      </c>
      <c r="B291" s="5" t="s">
        <v>763</v>
      </c>
      <c r="C291" s="5" t="s">
        <v>171</v>
      </c>
      <c r="D291" s="5" t="s">
        <v>172</v>
      </c>
      <c r="E291" s="5" t="n">
        <v>352</v>
      </c>
      <c r="F291" s="5" t="s">
        <v>764</v>
      </c>
      <c r="G291" s="5" t="n">
        <v>4</v>
      </c>
      <c r="H291" s="5" t="s">
        <v>53</v>
      </c>
      <c r="I291" s="5" t="s">
        <v>54</v>
      </c>
      <c r="J291" s="5" t="s">
        <v>181</v>
      </c>
      <c r="K291" s="5" t="s">
        <v>765</v>
      </c>
      <c r="L291" s="5" t="n">
        <v>5</v>
      </c>
      <c r="M291" s="5" t="n">
        <v>4</v>
      </c>
      <c r="N291" s="5" t="n">
        <v>6</v>
      </c>
      <c r="O291" s="5" t="n">
        <v>5</v>
      </c>
      <c r="P291" s="5" t="n">
        <v>0.5</v>
      </c>
      <c r="Q291" s="5" t="n">
        <v>0.5</v>
      </c>
      <c r="R291" s="5" t="n">
        <v>5</v>
      </c>
      <c r="S291" s="5" t="n">
        <v>6</v>
      </c>
      <c r="T291" s="5" t="s">
        <v>766</v>
      </c>
      <c r="U291" s="6"/>
      <c r="V291" s="6"/>
      <c r="W291" s="6"/>
      <c r="X291" s="6"/>
      <c r="Y291" s="7" t="str">
        <f aca="false">IF(COUNT(U291:X291)=4,(W291-X291)/2,"")</f>
        <v/>
      </c>
      <c r="Z291" s="7" t="str">
        <f aca="false">IF(COUNT(U291:X291)=4,(U291-V291)/2,"")</f>
        <v/>
      </c>
      <c r="AA291" s="7" t="str">
        <f aca="false">IF(COUNT(U291:X291)=4,MAX(1,MIN(10,ROUNDUP(5-Z291,0))),"")</f>
        <v/>
      </c>
      <c r="AB291" s="7" t="str">
        <f aca="false">IF(COUNT(U291:X291)=4,MAX(1,MIN(10,ROUNDUP(Y291+5,0))),"")</f>
        <v/>
      </c>
      <c r="AC291" s="6"/>
      <c r="AD291" s="6"/>
    </row>
    <row r="292" customFormat="false" ht="15" hidden="false" customHeight="true" outlineLevel="0" collapsed="false">
      <c r="A292" s="5" t="n">
        <v>291</v>
      </c>
      <c r="B292" s="5" t="s">
        <v>767</v>
      </c>
      <c r="C292" s="5" t="s">
        <v>171</v>
      </c>
      <c r="D292" s="5" t="s">
        <v>172</v>
      </c>
      <c r="E292" s="5" t="n">
        <v>351</v>
      </c>
      <c r="F292" s="5" t="s">
        <v>768</v>
      </c>
      <c r="G292" s="5" t="n">
        <v>4</v>
      </c>
      <c r="H292" s="5" t="s">
        <v>53</v>
      </c>
      <c r="I292" s="5" t="s">
        <v>54</v>
      </c>
      <c r="J292" s="5" t="s">
        <v>181</v>
      </c>
      <c r="K292" s="5" t="s">
        <v>413</v>
      </c>
      <c r="L292" s="5" t="n">
        <v>5</v>
      </c>
      <c r="M292" s="5" t="n">
        <v>3</v>
      </c>
      <c r="N292" s="5" t="n">
        <v>5</v>
      </c>
      <c r="O292" s="5" t="n">
        <v>7</v>
      </c>
      <c r="P292" s="5" t="n">
        <v>-1</v>
      </c>
      <c r="Q292" s="5" t="n">
        <v>1</v>
      </c>
      <c r="R292" s="5" t="n">
        <v>4</v>
      </c>
      <c r="S292" s="5" t="n">
        <v>4</v>
      </c>
      <c r="T292" s="5" t="s">
        <v>112</v>
      </c>
      <c r="U292" s="6"/>
      <c r="V292" s="6"/>
      <c r="W292" s="6"/>
      <c r="X292" s="6"/>
      <c r="Y292" s="7" t="str">
        <f aca="false">IF(COUNT(U292:X292)=4,(W292-X292)/2,"")</f>
        <v/>
      </c>
      <c r="Z292" s="7" t="str">
        <f aca="false">IF(COUNT(U292:X292)=4,(U292-V292)/2,"")</f>
        <v/>
      </c>
      <c r="AA292" s="7" t="str">
        <f aca="false">IF(COUNT(U292:X292)=4,MAX(1,MIN(10,ROUNDUP(5-Z292,0))),"")</f>
        <v/>
      </c>
      <c r="AB292" s="7" t="str">
        <f aca="false">IF(COUNT(U292:X292)=4,MAX(1,MIN(10,ROUNDUP(Y292+5,0))),"")</f>
        <v/>
      </c>
      <c r="AC292" s="6"/>
      <c r="AD292" s="6"/>
    </row>
    <row r="293" customFormat="false" ht="15" hidden="false" customHeight="true" outlineLevel="0" collapsed="false">
      <c r="A293" s="5" t="n">
        <v>292</v>
      </c>
      <c r="B293" s="5" t="s">
        <v>769</v>
      </c>
      <c r="C293" s="5" t="s">
        <v>171</v>
      </c>
      <c r="D293" s="5" t="s">
        <v>172</v>
      </c>
      <c r="E293" s="5" t="n">
        <v>349</v>
      </c>
      <c r="F293" s="5" t="s">
        <v>770</v>
      </c>
      <c r="G293" s="5" t="n">
        <v>4</v>
      </c>
      <c r="H293" s="5" t="s">
        <v>53</v>
      </c>
      <c r="I293" s="5" t="s">
        <v>54</v>
      </c>
      <c r="J293" s="5" t="s">
        <v>181</v>
      </c>
      <c r="K293" s="5" t="s">
        <v>223</v>
      </c>
      <c r="L293" s="5" t="n">
        <v>3</v>
      </c>
      <c r="M293" s="5" t="n">
        <v>4</v>
      </c>
      <c r="N293" s="5" t="n">
        <v>6</v>
      </c>
      <c r="O293" s="5" t="n">
        <v>4</v>
      </c>
      <c r="P293" s="5" t="n">
        <v>1</v>
      </c>
      <c r="Q293" s="5" t="n">
        <v>-0.5</v>
      </c>
      <c r="R293" s="5" t="n">
        <v>6</v>
      </c>
      <c r="S293" s="5" t="n">
        <v>6</v>
      </c>
      <c r="T293" s="5" t="s">
        <v>358</v>
      </c>
      <c r="U293" s="6"/>
      <c r="V293" s="6"/>
      <c r="W293" s="6"/>
      <c r="X293" s="6"/>
      <c r="Y293" s="7" t="str">
        <f aca="false">IF(COUNT(U293:X293)=4,(W293-X293)/2,"")</f>
        <v/>
      </c>
      <c r="Z293" s="7" t="str">
        <f aca="false">IF(COUNT(U293:X293)=4,(U293-V293)/2,"")</f>
        <v/>
      </c>
      <c r="AA293" s="7" t="str">
        <f aca="false">IF(COUNT(U293:X293)=4,MAX(1,MIN(10,ROUNDUP(5-Z293,0))),"")</f>
        <v/>
      </c>
      <c r="AB293" s="7" t="str">
        <f aca="false">IF(COUNT(U293:X293)=4,MAX(1,MIN(10,ROUNDUP(Y293+5,0))),"")</f>
        <v/>
      </c>
      <c r="AC293" s="6"/>
      <c r="AD293" s="6"/>
    </row>
    <row r="294" customFormat="false" ht="15" hidden="false" customHeight="true" outlineLevel="0" collapsed="false">
      <c r="A294" s="5" t="n">
        <v>293</v>
      </c>
      <c r="B294" s="5" t="s">
        <v>771</v>
      </c>
      <c r="C294" s="5" t="s">
        <v>171</v>
      </c>
      <c r="D294" s="5" t="s">
        <v>172</v>
      </c>
      <c r="E294" s="5" t="n">
        <v>348</v>
      </c>
      <c r="F294" s="5" t="s">
        <v>772</v>
      </c>
      <c r="G294" s="5" t="n">
        <v>4</v>
      </c>
      <c r="H294" s="5" t="s">
        <v>53</v>
      </c>
      <c r="I294" s="5" t="s">
        <v>54</v>
      </c>
      <c r="J294" s="5" t="s">
        <v>181</v>
      </c>
      <c r="K294" s="5" t="s">
        <v>223</v>
      </c>
      <c r="L294" s="5" t="n">
        <v>4</v>
      </c>
      <c r="M294" s="5" t="n">
        <v>4</v>
      </c>
      <c r="N294" s="5" t="n">
        <v>8</v>
      </c>
      <c r="O294" s="5" t="n">
        <v>4</v>
      </c>
      <c r="P294" s="5" t="n">
        <v>2</v>
      </c>
      <c r="Q294" s="5" t="n">
        <v>0</v>
      </c>
      <c r="R294" s="5" t="n">
        <v>5</v>
      </c>
      <c r="S294" s="5" t="n">
        <v>7</v>
      </c>
      <c r="T294" s="5" t="s">
        <v>773</v>
      </c>
      <c r="U294" s="6"/>
      <c r="V294" s="6"/>
      <c r="W294" s="6"/>
      <c r="X294" s="6"/>
      <c r="Y294" s="7" t="str">
        <f aca="false">IF(COUNT(U294:X294)=4,(W294-X294)/2,"")</f>
        <v/>
      </c>
      <c r="Z294" s="7" t="str">
        <f aca="false">IF(COUNT(U294:X294)=4,(U294-V294)/2,"")</f>
        <v/>
      </c>
      <c r="AA294" s="7" t="str">
        <f aca="false">IF(COUNT(U294:X294)=4,MAX(1,MIN(10,ROUNDUP(5-Z294,0))),"")</f>
        <v/>
      </c>
      <c r="AB294" s="7" t="str">
        <f aca="false">IF(COUNT(U294:X294)=4,MAX(1,MIN(10,ROUNDUP(Y294+5,0))),"")</f>
        <v/>
      </c>
      <c r="AC294" s="6"/>
      <c r="AD294" s="6"/>
    </row>
    <row r="295" customFormat="false" ht="15" hidden="false" customHeight="true" outlineLevel="0" collapsed="false">
      <c r="A295" s="5" t="n">
        <v>294</v>
      </c>
      <c r="B295" s="5" t="s">
        <v>774</v>
      </c>
      <c r="C295" s="5" t="s">
        <v>171</v>
      </c>
      <c r="D295" s="5" t="s">
        <v>172</v>
      </c>
      <c r="E295" s="5" t="n">
        <v>348</v>
      </c>
      <c r="F295" s="5" t="s">
        <v>775</v>
      </c>
      <c r="G295" s="5" t="n">
        <v>4</v>
      </c>
      <c r="H295" s="5" t="s">
        <v>53</v>
      </c>
      <c r="I295" s="5" t="s">
        <v>54</v>
      </c>
      <c r="J295" s="5" t="s">
        <v>181</v>
      </c>
      <c r="K295" s="5" t="s">
        <v>413</v>
      </c>
      <c r="L295" s="5" t="n">
        <v>6</v>
      </c>
      <c r="M295" s="5" t="n">
        <v>3</v>
      </c>
      <c r="N295" s="5" t="n">
        <v>3</v>
      </c>
      <c r="O295" s="5" t="n">
        <v>8</v>
      </c>
      <c r="P295" s="5" t="n">
        <v>-2.5</v>
      </c>
      <c r="Q295" s="5" t="n">
        <v>1.5</v>
      </c>
      <c r="R295" s="5" t="n">
        <v>4</v>
      </c>
      <c r="S295" s="5" t="n">
        <v>3</v>
      </c>
      <c r="T295" s="5" t="s">
        <v>776</v>
      </c>
      <c r="U295" s="6"/>
      <c r="V295" s="6"/>
      <c r="W295" s="6"/>
      <c r="X295" s="6"/>
      <c r="Y295" s="7" t="str">
        <f aca="false">IF(COUNT(U295:X295)=4,(W295-X295)/2,"")</f>
        <v/>
      </c>
      <c r="Z295" s="7" t="str">
        <f aca="false">IF(COUNT(U295:X295)=4,(U295-V295)/2,"")</f>
        <v/>
      </c>
      <c r="AA295" s="7" t="str">
        <f aca="false">IF(COUNT(U295:X295)=4,MAX(1,MIN(10,ROUNDUP(5-Z295,0))),"")</f>
        <v/>
      </c>
      <c r="AB295" s="7" t="str">
        <f aca="false">IF(COUNT(U295:X295)=4,MAX(1,MIN(10,ROUNDUP(Y295+5,0))),"")</f>
        <v/>
      </c>
      <c r="AC295" s="6"/>
      <c r="AD295" s="6"/>
    </row>
    <row r="296" customFormat="false" ht="15" hidden="false" customHeight="true" outlineLevel="0" collapsed="false">
      <c r="A296" s="5" t="n">
        <v>295</v>
      </c>
      <c r="B296" s="5" t="s">
        <v>777</v>
      </c>
      <c r="C296" s="5" t="s">
        <v>171</v>
      </c>
      <c r="D296" s="5" t="s">
        <v>172</v>
      </c>
      <c r="E296" s="5" t="n">
        <v>347</v>
      </c>
      <c r="F296" s="5" t="s">
        <v>778</v>
      </c>
      <c r="G296" s="5" t="n">
        <v>4</v>
      </c>
      <c r="H296" s="5" t="s">
        <v>53</v>
      </c>
      <c r="I296" s="5" t="s">
        <v>54</v>
      </c>
      <c r="J296" s="5" t="s">
        <v>181</v>
      </c>
      <c r="K296" s="5" t="s">
        <v>443</v>
      </c>
      <c r="L296" s="5" t="n">
        <v>5</v>
      </c>
      <c r="M296" s="5" t="n">
        <v>3</v>
      </c>
      <c r="N296" s="5" t="n">
        <v>4</v>
      </c>
      <c r="O296" s="5" t="n">
        <v>8</v>
      </c>
      <c r="P296" s="5" t="n">
        <v>-2</v>
      </c>
      <c r="Q296" s="5" t="n">
        <v>1</v>
      </c>
      <c r="R296" s="5" t="n">
        <v>4</v>
      </c>
      <c r="S296" s="5" t="n">
        <v>3</v>
      </c>
      <c r="T296" s="5" t="s">
        <v>362</v>
      </c>
      <c r="U296" s="6"/>
      <c r="V296" s="6"/>
      <c r="W296" s="6"/>
      <c r="X296" s="6"/>
      <c r="Y296" s="7" t="str">
        <f aca="false">IF(COUNT(U296:X296)=4,(W296-X296)/2,"")</f>
        <v/>
      </c>
      <c r="Z296" s="7" t="str">
        <f aca="false">IF(COUNT(U296:X296)=4,(U296-V296)/2,"")</f>
        <v/>
      </c>
      <c r="AA296" s="7" t="str">
        <f aca="false">IF(COUNT(U296:X296)=4,MAX(1,MIN(10,ROUNDUP(5-Z296,0))),"")</f>
        <v/>
      </c>
      <c r="AB296" s="7" t="str">
        <f aca="false">IF(COUNT(U296:X296)=4,MAX(1,MIN(10,ROUNDUP(Y296+5,0))),"")</f>
        <v/>
      </c>
      <c r="AC296" s="6"/>
      <c r="AD296" s="6"/>
    </row>
    <row r="297" customFormat="false" ht="15" hidden="false" customHeight="true" outlineLevel="0" collapsed="false">
      <c r="A297" s="5" t="n">
        <v>296</v>
      </c>
      <c r="B297" s="5" t="s">
        <v>779</v>
      </c>
      <c r="C297" s="5" t="s">
        <v>145</v>
      </c>
      <c r="D297" s="5" t="s">
        <v>51</v>
      </c>
      <c r="E297" s="5" t="n">
        <v>347</v>
      </c>
      <c r="F297" s="5" t="s">
        <v>780</v>
      </c>
      <c r="G297" s="5" t="n">
        <v>4</v>
      </c>
      <c r="H297" s="5" t="s">
        <v>53</v>
      </c>
      <c r="I297" s="5" t="s">
        <v>54</v>
      </c>
      <c r="J297" s="5" t="s">
        <v>55</v>
      </c>
      <c r="K297" s="5" t="s">
        <v>55</v>
      </c>
      <c r="L297" s="5" t="n">
        <v>5</v>
      </c>
      <c r="M297" s="5" t="n">
        <v>2</v>
      </c>
      <c r="N297" s="5" t="n">
        <v>8</v>
      </c>
      <c r="O297" s="5" t="n">
        <v>2</v>
      </c>
      <c r="P297" s="5" t="n">
        <v>3</v>
      </c>
      <c r="Q297" s="5" t="n">
        <v>1.5</v>
      </c>
      <c r="R297" s="5" t="n">
        <v>4</v>
      </c>
      <c r="S297" s="5" t="n">
        <v>8</v>
      </c>
      <c r="T297" s="5" t="s">
        <v>781</v>
      </c>
      <c r="U297" s="6"/>
      <c r="V297" s="6"/>
      <c r="W297" s="6"/>
      <c r="X297" s="6"/>
      <c r="Y297" s="7" t="str">
        <f aca="false">IF(COUNT(U297:X297)=4,(W297-X297)/2,"")</f>
        <v/>
      </c>
      <c r="Z297" s="7" t="str">
        <f aca="false">IF(COUNT(U297:X297)=4,(U297-V297)/2,"")</f>
        <v/>
      </c>
      <c r="AA297" s="7" t="str">
        <f aca="false">IF(COUNT(U297:X297)=4,MAX(1,MIN(10,ROUNDUP(5-Z297,0))),"")</f>
        <v/>
      </c>
      <c r="AB297" s="7" t="str">
        <f aca="false">IF(COUNT(U297:X297)=4,MAX(1,MIN(10,ROUNDUP(Y297+5,0))),"")</f>
        <v/>
      </c>
      <c r="AC297" s="6"/>
      <c r="AD297" s="6"/>
    </row>
    <row r="298" customFormat="false" ht="15" hidden="false" customHeight="true" outlineLevel="0" collapsed="false">
      <c r="A298" s="5" t="n">
        <v>297</v>
      </c>
      <c r="B298" s="5" t="s">
        <v>782</v>
      </c>
      <c r="C298" s="5" t="s">
        <v>171</v>
      </c>
      <c r="D298" s="5" t="s">
        <v>172</v>
      </c>
      <c r="E298" s="5" t="n">
        <v>345</v>
      </c>
      <c r="F298" s="5" t="s">
        <v>783</v>
      </c>
      <c r="G298" s="5" t="n">
        <v>4</v>
      </c>
      <c r="H298" s="5" t="s">
        <v>53</v>
      </c>
      <c r="I298" s="5" t="s">
        <v>54</v>
      </c>
      <c r="J298" s="5" t="s">
        <v>181</v>
      </c>
      <c r="K298" s="5" t="s">
        <v>413</v>
      </c>
      <c r="L298" s="5" t="n">
        <v>5</v>
      </c>
      <c r="M298" s="5" t="n">
        <v>3</v>
      </c>
      <c r="N298" s="5" t="n">
        <v>3</v>
      </c>
      <c r="O298" s="5" t="n">
        <v>8</v>
      </c>
      <c r="P298" s="5" t="n">
        <v>-2.5</v>
      </c>
      <c r="Q298" s="5" t="n">
        <v>1</v>
      </c>
      <c r="R298" s="5" t="n">
        <v>4</v>
      </c>
      <c r="S298" s="5" t="n">
        <v>3</v>
      </c>
      <c r="T298" s="5" t="s">
        <v>784</v>
      </c>
      <c r="U298" s="6"/>
      <c r="V298" s="6"/>
      <c r="W298" s="6"/>
      <c r="X298" s="6"/>
      <c r="Y298" s="7" t="str">
        <f aca="false">IF(COUNT(U298:X298)=4,(W298-X298)/2,"")</f>
        <v/>
      </c>
      <c r="Z298" s="7" t="str">
        <f aca="false">IF(COUNT(U298:X298)=4,(U298-V298)/2,"")</f>
        <v/>
      </c>
      <c r="AA298" s="7" t="str">
        <f aca="false">IF(COUNT(U298:X298)=4,MAX(1,MIN(10,ROUNDUP(5-Z298,0))),"")</f>
        <v/>
      </c>
      <c r="AB298" s="7" t="str">
        <f aca="false">IF(COUNT(U298:X298)=4,MAX(1,MIN(10,ROUNDUP(Y298+5,0))),"")</f>
        <v/>
      </c>
      <c r="AC298" s="6"/>
      <c r="AD298" s="6"/>
    </row>
    <row r="299" customFormat="false" ht="15" hidden="false" customHeight="true" outlineLevel="0" collapsed="false">
      <c r="A299" s="5" t="n">
        <v>298</v>
      </c>
      <c r="B299" s="5" t="s">
        <v>785</v>
      </c>
      <c r="C299" s="5" t="s">
        <v>108</v>
      </c>
      <c r="D299" s="5" t="s">
        <v>109</v>
      </c>
      <c r="E299" s="5" t="n">
        <v>344</v>
      </c>
      <c r="F299" s="5" t="s">
        <v>785</v>
      </c>
      <c r="G299" s="5" t="n">
        <v>2</v>
      </c>
      <c r="H299" s="5" t="s">
        <v>47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 t="s">
        <v>786</v>
      </c>
      <c r="U299" s="6"/>
      <c r="V299" s="6"/>
      <c r="W299" s="6"/>
      <c r="X299" s="6"/>
      <c r="Y299" s="7" t="str">
        <f aca="false">IF(COUNT(U299:X299)=4,(W299-X299)/2,"")</f>
        <v/>
      </c>
      <c r="Z299" s="7" t="str">
        <f aca="false">IF(COUNT(U299:X299)=4,(U299-V299)/2,"")</f>
        <v/>
      </c>
      <c r="AA299" s="7" t="str">
        <f aca="false">IF(COUNT(U299:X299)=4,MAX(1,MIN(10,ROUNDUP(5-Z299,0))),"")</f>
        <v/>
      </c>
      <c r="AB299" s="7" t="str">
        <f aca="false">IF(COUNT(U299:X299)=4,MAX(1,MIN(10,ROUNDUP(Y299+5,0))),"")</f>
        <v/>
      </c>
      <c r="AC299" s="6"/>
      <c r="AD299" s="6"/>
    </row>
    <row r="300" customFormat="false" ht="15" hidden="false" customHeight="true" outlineLevel="0" collapsed="false">
      <c r="A300" s="5" t="n">
        <v>299</v>
      </c>
      <c r="B300" s="5" t="s">
        <v>787</v>
      </c>
      <c r="C300" s="5" t="s">
        <v>171</v>
      </c>
      <c r="D300" s="5" t="s">
        <v>172</v>
      </c>
      <c r="E300" s="5" t="n">
        <v>344</v>
      </c>
      <c r="F300" s="5" t="s">
        <v>788</v>
      </c>
      <c r="G300" s="5" t="n">
        <v>4</v>
      </c>
      <c r="H300" s="5" t="s">
        <v>53</v>
      </c>
      <c r="I300" s="5" t="s">
        <v>81</v>
      </c>
      <c r="J300" s="5" t="s">
        <v>174</v>
      </c>
      <c r="K300" s="5" t="s">
        <v>175</v>
      </c>
      <c r="L300" s="5" t="n">
        <v>7</v>
      </c>
      <c r="M300" s="5" t="n">
        <v>1</v>
      </c>
      <c r="N300" s="5" t="n">
        <v>3</v>
      </c>
      <c r="O300" s="5" t="n">
        <v>8</v>
      </c>
      <c r="P300" s="5" t="n">
        <v>-2.5</v>
      </c>
      <c r="Q300" s="5" t="n">
        <v>3</v>
      </c>
      <c r="R300" s="5" t="n">
        <v>2</v>
      </c>
      <c r="S300" s="5" t="n">
        <v>3</v>
      </c>
      <c r="T300" s="5" t="s">
        <v>789</v>
      </c>
      <c r="U300" s="6"/>
      <c r="V300" s="6"/>
      <c r="W300" s="6"/>
      <c r="X300" s="6"/>
      <c r="Y300" s="7" t="str">
        <f aca="false">IF(COUNT(U300:X300)=4,(W300-X300)/2,"")</f>
        <v/>
      </c>
      <c r="Z300" s="7" t="str">
        <f aca="false">IF(COUNT(U300:X300)=4,(U300-V300)/2,"")</f>
        <v/>
      </c>
      <c r="AA300" s="7" t="str">
        <f aca="false">IF(COUNT(U300:X300)=4,MAX(1,MIN(10,ROUNDUP(5-Z300,0))),"")</f>
        <v/>
      </c>
      <c r="AB300" s="7" t="str">
        <f aca="false">IF(COUNT(U300:X300)=4,MAX(1,MIN(10,ROUNDUP(Y300+5,0))),"")</f>
        <v/>
      </c>
      <c r="AC300" s="6"/>
      <c r="AD300" s="6"/>
    </row>
    <row r="301" customFormat="false" ht="15" hidden="false" customHeight="true" outlineLevel="0" collapsed="false">
      <c r="A301" s="5" t="n">
        <v>300</v>
      </c>
      <c r="B301" s="5" t="s">
        <v>790</v>
      </c>
      <c r="C301" s="5" t="s">
        <v>145</v>
      </c>
      <c r="D301" s="5" t="s">
        <v>51</v>
      </c>
      <c r="E301" s="5" t="n">
        <v>342</v>
      </c>
      <c r="F301" s="5" t="s">
        <v>791</v>
      </c>
      <c r="G301" s="5" t="n">
        <v>4</v>
      </c>
      <c r="H301" s="5" t="s">
        <v>53</v>
      </c>
      <c r="I301" s="5" t="s">
        <v>54</v>
      </c>
      <c r="J301" s="5" t="s">
        <v>55</v>
      </c>
      <c r="K301" s="5" t="s">
        <v>55</v>
      </c>
      <c r="L301" s="5" t="n">
        <v>4</v>
      </c>
      <c r="M301" s="5" t="n">
        <v>3</v>
      </c>
      <c r="N301" s="5" t="n">
        <v>3</v>
      </c>
      <c r="O301" s="5" t="n">
        <v>6</v>
      </c>
      <c r="P301" s="5" t="n">
        <v>-1.5</v>
      </c>
      <c r="Q301" s="5" t="n">
        <v>0.5</v>
      </c>
      <c r="R301" s="5" t="n">
        <v>5</v>
      </c>
      <c r="S301" s="5" t="n">
        <v>4</v>
      </c>
      <c r="T301" s="5" t="s">
        <v>294</v>
      </c>
      <c r="U301" s="6"/>
      <c r="V301" s="6"/>
      <c r="W301" s="6"/>
      <c r="X301" s="6"/>
      <c r="Y301" s="7" t="str">
        <f aca="false">IF(COUNT(U301:X301)=4,(W301-X301)/2,"")</f>
        <v/>
      </c>
      <c r="Z301" s="7" t="str">
        <f aca="false">IF(COUNT(U301:X301)=4,(U301-V301)/2,"")</f>
        <v/>
      </c>
      <c r="AA301" s="7" t="str">
        <f aca="false">IF(COUNT(U301:X301)=4,MAX(1,MIN(10,ROUNDUP(5-Z301,0))),"")</f>
        <v/>
      </c>
      <c r="AB301" s="7" t="str">
        <f aca="false">IF(COUNT(U301:X301)=4,MAX(1,MIN(10,ROUNDUP(Y301+5,0))),"")</f>
        <v/>
      </c>
      <c r="AC301" s="6"/>
      <c r="AD301" s="6"/>
    </row>
    <row r="302" customFormat="false" ht="15" hidden="false" customHeight="true" outlineLevel="0" collapsed="false">
      <c r="A302" s="5" t="n">
        <v>301</v>
      </c>
      <c r="B302" s="5" t="s">
        <v>792</v>
      </c>
      <c r="C302" s="5" t="s">
        <v>108</v>
      </c>
      <c r="D302" s="5" t="s">
        <v>109</v>
      </c>
      <c r="E302" s="5" t="n">
        <v>342</v>
      </c>
      <c r="F302" s="5" t="s">
        <v>792</v>
      </c>
      <c r="G302" s="5" t="n">
        <v>4</v>
      </c>
      <c r="H302" s="5" t="s">
        <v>53</v>
      </c>
      <c r="I302" s="5" t="s">
        <v>54</v>
      </c>
      <c r="J302" s="5" t="s">
        <v>117</v>
      </c>
      <c r="K302" s="5" t="s">
        <v>117</v>
      </c>
      <c r="L302" s="5" t="n">
        <v>3</v>
      </c>
      <c r="M302" s="5" t="n">
        <v>2</v>
      </c>
      <c r="N302" s="5" t="n">
        <v>2</v>
      </c>
      <c r="O302" s="5" t="n">
        <v>7</v>
      </c>
      <c r="P302" s="5" t="n">
        <v>-2.5</v>
      </c>
      <c r="Q302" s="5" t="n">
        <v>0.5</v>
      </c>
      <c r="R302" s="5" t="n">
        <v>5</v>
      </c>
      <c r="S302" s="5" t="n">
        <v>3</v>
      </c>
      <c r="T302" s="5" t="s">
        <v>793</v>
      </c>
      <c r="U302" s="6"/>
      <c r="V302" s="6"/>
      <c r="W302" s="6"/>
      <c r="X302" s="6"/>
      <c r="Y302" s="7" t="str">
        <f aca="false">IF(COUNT(U302:X302)=4,(W302-X302)/2,"")</f>
        <v/>
      </c>
      <c r="Z302" s="7" t="str">
        <f aca="false">IF(COUNT(U302:X302)=4,(U302-V302)/2,"")</f>
        <v/>
      </c>
      <c r="AA302" s="7" t="str">
        <f aca="false">IF(COUNT(U302:X302)=4,MAX(1,MIN(10,ROUNDUP(5-Z302,0))),"")</f>
        <v/>
      </c>
      <c r="AB302" s="7" t="str">
        <f aca="false">IF(COUNT(U302:X302)=4,MAX(1,MIN(10,ROUNDUP(Y302+5,0))),"")</f>
        <v/>
      </c>
      <c r="AC302" s="6"/>
      <c r="AD302" s="6"/>
    </row>
    <row r="303" customFormat="false" ht="15" hidden="false" customHeight="true" outlineLevel="0" collapsed="false">
      <c r="A303" s="5" t="n">
        <v>302</v>
      </c>
      <c r="B303" s="5" t="s">
        <v>794</v>
      </c>
      <c r="C303" s="5" t="s">
        <v>145</v>
      </c>
      <c r="D303" s="5" t="s">
        <v>51</v>
      </c>
      <c r="E303" s="5" t="n">
        <v>342</v>
      </c>
      <c r="F303" s="5" t="s">
        <v>795</v>
      </c>
      <c r="G303" s="5" t="n">
        <v>4</v>
      </c>
      <c r="H303" s="5" t="s">
        <v>53</v>
      </c>
      <c r="I303" s="5" t="s">
        <v>54</v>
      </c>
      <c r="J303" s="5" t="s">
        <v>55</v>
      </c>
      <c r="K303" s="5" t="s">
        <v>55</v>
      </c>
      <c r="L303" s="5" t="n">
        <v>5</v>
      </c>
      <c r="M303" s="5" t="n">
        <v>2</v>
      </c>
      <c r="N303" s="5" t="n">
        <v>8</v>
      </c>
      <c r="O303" s="5" t="n">
        <v>2</v>
      </c>
      <c r="P303" s="5" t="n">
        <v>3</v>
      </c>
      <c r="Q303" s="5" t="n">
        <v>1.5</v>
      </c>
      <c r="R303" s="5" t="n">
        <v>4</v>
      </c>
      <c r="S303" s="5" t="n">
        <v>8</v>
      </c>
      <c r="T303" s="5" t="s">
        <v>796</v>
      </c>
      <c r="U303" s="6"/>
      <c r="V303" s="6"/>
      <c r="W303" s="6"/>
      <c r="X303" s="6"/>
      <c r="Y303" s="7" t="str">
        <f aca="false">IF(COUNT(U303:X303)=4,(W303-X303)/2,"")</f>
        <v/>
      </c>
      <c r="Z303" s="7" t="str">
        <f aca="false">IF(COUNT(U303:X303)=4,(U303-V303)/2,"")</f>
        <v/>
      </c>
      <c r="AA303" s="7" t="str">
        <f aca="false">IF(COUNT(U303:X303)=4,MAX(1,MIN(10,ROUNDUP(5-Z303,0))),"")</f>
        <v/>
      </c>
      <c r="AB303" s="7" t="str">
        <f aca="false">IF(COUNT(U303:X303)=4,MAX(1,MIN(10,ROUNDUP(Y303+5,0))),"")</f>
        <v/>
      </c>
      <c r="AC303" s="6"/>
      <c r="AD303" s="6"/>
    </row>
    <row r="304" customFormat="false" ht="15" hidden="false" customHeight="true" outlineLevel="0" collapsed="false">
      <c r="A304" s="5" t="n">
        <v>303</v>
      </c>
      <c r="B304" s="5" t="s">
        <v>797</v>
      </c>
      <c r="C304" s="5" t="s">
        <v>171</v>
      </c>
      <c r="D304" s="5" t="s">
        <v>172</v>
      </c>
      <c r="E304" s="5" t="n">
        <v>341</v>
      </c>
      <c r="F304" s="5" t="s">
        <v>798</v>
      </c>
      <c r="G304" s="5" t="n">
        <v>4</v>
      </c>
      <c r="H304" s="5" t="s">
        <v>53</v>
      </c>
      <c r="I304" s="5" t="s">
        <v>81</v>
      </c>
      <c r="J304" s="5" t="s">
        <v>174</v>
      </c>
      <c r="K304" s="5" t="s">
        <v>347</v>
      </c>
      <c r="L304" s="5" t="n">
        <v>5</v>
      </c>
      <c r="M304" s="5" t="n">
        <v>2</v>
      </c>
      <c r="N304" s="5" t="n">
        <v>8</v>
      </c>
      <c r="O304" s="5" t="n">
        <v>3</v>
      </c>
      <c r="P304" s="5" t="n">
        <v>2.5</v>
      </c>
      <c r="Q304" s="5" t="n">
        <v>1.5</v>
      </c>
      <c r="R304" s="5" t="n">
        <v>4</v>
      </c>
      <c r="S304" s="5" t="n">
        <v>8</v>
      </c>
      <c r="T304" s="5" t="s">
        <v>799</v>
      </c>
      <c r="U304" s="6"/>
      <c r="V304" s="6"/>
      <c r="W304" s="6"/>
      <c r="X304" s="6"/>
      <c r="Y304" s="7" t="str">
        <f aca="false">IF(COUNT(U304:X304)=4,(W304-X304)/2,"")</f>
        <v/>
      </c>
      <c r="Z304" s="7" t="str">
        <f aca="false">IF(COUNT(U304:X304)=4,(U304-V304)/2,"")</f>
        <v/>
      </c>
      <c r="AA304" s="7" t="str">
        <f aca="false">IF(COUNT(U304:X304)=4,MAX(1,MIN(10,ROUNDUP(5-Z304,0))),"")</f>
        <v/>
      </c>
      <c r="AB304" s="7" t="str">
        <f aca="false">IF(COUNT(U304:X304)=4,MAX(1,MIN(10,ROUNDUP(Y304+5,0))),"")</f>
        <v/>
      </c>
      <c r="AC304" s="6"/>
      <c r="AD304" s="6"/>
    </row>
    <row r="305" customFormat="false" ht="15" hidden="false" customHeight="true" outlineLevel="0" collapsed="false">
      <c r="A305" s="5" t="n">
        <v>304</v>
      </c>
      <c r="B305" s="5" t="s">
        <v>800</v>
      </c>
      <c r="C305" s="5" t="s">
        <v>145</v>
      </c>
      <c r="D305" s="5" t="s">
        <v>51</v>
      </c>
      <c r="E305" s="5" t="n">
        <v>341</v>
      </c>
      <c r="F305" s="5" t="s">
        <v>801</v>
      </c>
      <c r="G305" s="5" t="n">
        <v>4</v>
      </c>
      <c r="H305" s="5" t="s">
        <v>53</v>
      </c>
      <c r="I305" s="5" t="s">
        <v>54</v>
      </c>
      <c r="J305" s="5" t="s">
        <v>55</v>
      </c>
      <c r="K305" s="5" t="s">
        <v>55</v>
      </c>
      <c r="L305" s="5" t="n">
        <v>5</v>
      </c>
      <c r="M305" s="5" t="n">
        <v>3</v>
      </c>
      <c r="N305" s="5" t="n">
        <v>3</v>
      </c>
      <c r="O305" s="5" t="n">
        <v>6</v>
      </c>
      <c r="P305" s="5" t="n">
        <v>-1.5</v>
      </c>
      <c r="Q305" s="5" t="n">
        <v>1</v>
      </c>
      <c r="R305" s="5" t="n">
        <v>4</v>
      </c>
      <c r="S305" s="5" t="n">
        <v>4</v>
      </c>
      <c r="T305" s="5" t="s">
        <v>802</v>
      </c>
      <c r="U305" s="6"/>
      <c r="V305" s="6"/>
      <c r="W305" s="6"/>
      <c r="X305" s="6"/>
      <c r="Y305" s="7" t="str">
        <f aca="false">IF(COUNT(U305:X305)=4,(W305-X305)/2,"")</f>
        <v/>
      </c>
      <c r="Z305" s="7" t="str">
        <f aca="false">IF(COUNT(U305:X305)=4,(U305-V305)/2,"")</f>
        <v/>
      </c>
      <c r="AA305" s="7" t="str">
        <f aca="false">IF(COUNT(U305:X305)=4,MAX(1,MIN(10,ROUNDUP(5-Z305,0))),"")</f>
        <v/>
      </c>
      <c r="AB305" s="7" t="str">
        <f aca="false">IF(COUNT(U305:X305)=4,MAX(1,MIN(10,ROUNDUP(Y305+5,0))),"")</f>
        <v/>
      </c>
      <c r="AC305" s="6"/>
      <c r="AD305" s="6"/>
    </row>
    <row r="306" customFormat="false" ht="15" hidden="false" customHeight="true" outlineLevel="0" collapsed="false">
      <c r="A306" s="5" t="n">
        <v>305</v>
      </c>
      <c r="B306" s="5" t="s">
        <v>803</v>
      </c>
      <c r="C306" s="5" t="s">
        <v>171</v>
      </c>
      <c r="D306" s="5" t="s">
        <v>172</v>
      </c>
      <c r="E306" s="5" t="n">
        <v>338</v>
      </c>
      <c r="F306" s="5" t="s">
        <v>804</v>
      </c>
      <c r="G306" s="5" t="n">
        <v>4</v>
      </c>
      <c r="H306" s="5" t="s">
        <v>53</v>
      </c>
      <c r="I306" s="5" t="s">
        <v>54</v>
      </c>
      <c r="J306" s="5" t="s">
        <v>181</v>
      </c>
      <c r="K306" s="5" t="s">
        <v>413</v>
      </c>
      <c r="L306" s="5" t="n">
        <v>5</v>
      </c>
      <c r="M306" s="5" t="n">
        <v>3</v>
      </c>
      <c r="N306" s="5" t="n">
        <v>3</v>
      </c>
      <c r="O306" s="5" t="n">
        <v>8</v>
      </c>
      <c r="P306" s="5" t="n">
        <v>-2.5</v>
      </c>
      <c r="Q306" s="5" t="n">
        <v>1</v>
      </c>
      <c r="R306" s="5" t="n">
        <v>4</v>
      </c>
      <c r="S306" s="5" t="n">
        <v>3</v>
      </c>
      <c r="T306" s="5" t="s">
        <v>805</v>
      </c>
      <c r="U306" s="6"/>
      <c r="V306" s="6"/>
      <c r="W306" s="6"/>
      <c r="X306" s="6"/>
      <c r="Y306" s="7" t="str">
        <f aca="false">IF(COUNT(U306:X306)=4,(W306-X306)/2,"")</f>
        <v/>
      </c>
      <c r="Z306" s="7" t="str">
        <f aca="false">IF(COUNT(U306:X306)=4,(U306-V306)/2,"")</f>
        <v/>
      </c>
      <c r="AA306" s="7" t="str">
        <f aca="false">IF(COUNT(U306:X306)=4,MAX(1,MIN(10,ROUNDUP(5-Z306,0))),"")</f>
        <v/>
      </c>
      <c r="AB306" s="7" t="str">
        <f aca="false">IF(COUNT(U306:X306)=4,MAX(1,MIN(10,ROUNDUP(Y306+5,0))),"")</f>
        <v/>
      </c>
      <c r="AC306" s="6"/>
      <c r="AD306" s="6"/>
    </row>
    <row r="307" customFormat="false" ht="15" hidden="false" customHeight="true" outlineLevel="0" collapsed="false">
      <c r="A307" s="5" t="n">
        <v>306</v>
      </c>
      <c r="B307" s="5" t="s">
        <v>806</v>
      </c>
      <c r="C307" s="5" t="s">
        <v>171</v>
      </c>
      <c r="D307" s="5" t="s">
        <v>172</v>
      </c>
      <c r="E307" s="5" t="n">
        <v>336</v>
      </c>
      <c r="F307" s="5" t="s">
        <v>807</v>
      </c>
      <c r="G307" s="5" t="n">
        <v>4</v>
      </c>
      <c r="H307" s="5" t="s">
        <v>53</v>
      </c>
      <c r="I307" s="5" t="s">
        <v>54</v>
      </c>
      <c r="J307" s="5" t="s">
        <v>181</v>
      </c>
      <c r="K307" s="5" t="s">
        <v>593</v>
      </c>
      <c r="L307" s="5" t="n">
        <v>2</v>
      </c>
      <c r="M307" s="5" t="n">
        <v>7</v>
      </c>
      <c r="N307" s="5" t="n">
        <v>7</v>
      </c>
      <c r="O307" s="5" t="n">
        <v>3</v>
      </c>
      <c r="P307" s="5" t="n">
        <v>2</v>
      </c>
      <c r="Q307" s="5" t="n">
        <v>-2.5</v>
      </c>
      <c r="R307" s="5" t="n">
        <v>8</v>
      </c>
      <c r="S307" s="5" t="n">
        <v>7</v>
      </c>
      <c r="T307" s="5" t="s">
        <v>808</v>
      </c>
      <c r="U307" s="6"/>
      <c r="V307" s="6"/>
      <c r="W307" s="6"/>
      <c r="X307" s="6"/>
      <c r="Y307" s="7" t="str">
        <f aca="false">IF(COUNT(U307:X307)=4,(W307-X307)/2,"")</f>
        <v/>
      </c>
      <c r="Z307" s="7" t="str">
        <f aca="false">IF(COUNT(U307:X307)=4,(U307-V307)/2,"")</f>
        <v/>
      </c>
      <c r="AA307" s="7" t="str">
        <f aca="false">IF(COUNT(U307:X307)=4,MAX(1,MIN(10,ROUNDUP(5-Z307,0))),"")</f>
        <v/>
      </c>
      <c r="AB307" s="7" t="str">
        <f aca="false">IF(COUNT(U307:X307)=4,MAX(1,MIN(10,ROUNDUP(Y307+5,0))),"")</f>
        <v/>
      </c>
      <c r="AC307" s="6"/>
      <c r="AD307" s="6"/>
    </row>
    <row r="308" customFormat="false" ht="15" hidden="false" customHeight="true" outlineLevel="0" collapsed="false">
      <c r="A308" s="5" t="n">
        <v>307</v>
      </c>
      <c r="B308" s="5" t="s">
        <v>809</v>
      </c>
      <c r="C308" s="5" t="s">
        <v>145</v>
      </c>
      <c r="D308" s="5" t="s">
        <v>51</v>
      </c>
      <c r="E308" s="5" t="n">
        <v>336</v>
      </c>
      <c r="F308" s="5" t="s">
        <v>810</v>
      </c>
      <c r="G308" s="5" t="n">
        <v>4</v>
      </c>
      <c r="H308" s="5" t="s">
        <v>53</v>
      </c>
      <c r="I308" s="5" t="s">
        <v>54</v>
      </c>
      <c r="J308" s="5" t="s">
        <v>181</v>
      </c>
      <c r="K308" s="5" t="s">
        <v>179</v>
      </c>
      <c r="L308" s="5" t="n">
        <v>2</v>
      </c>
      <c r="M308" s="5" t="n">
        <v>7</v>
      </c>
      <c r="N308" s="5" t="n">
        <v>2</v>
      </c>
      <c r="O308" s="5" t="n">
        <v>6</v>
      </c>
      <c r="P308" s="5" t="n">
        <v>-2</v>
      </c>
      <c r="Q308" s="5" t="n">
        <v>-2.5</v>
      </c>
      <c r="R308" s="5" t="n">
        <v>8</v>
      </c>
      <c r="S308" s="5" t="n">
        <v>3</v>
      </c>
      <c r="T308" s="5" t="s">
        <v>197</v>
      </c>
      <c r="U308" s="6"/>
      <c r="V308" s="6"/>
      <c r="W308" s="6"/>
      <c r="X308" s="6"/>
      <c r="Y308" s="7" t="str">
        <f aca="false">IF(COUNT(U308:X308)=4,(W308-X308)/2,"")</f>
        <v/>
      </c>
      <c r="Z308" s="7" t="str">
        <f aca="false">IF(COUNT(U308:X308)=4,(U308-V308)/2,"")</f>
        <v/>
      </c>
      <c r="AA308" s="7" t="str">
        <f aca="false">IF(COUNT(U308:X308)=4,MAX(1,MIN(10,ROUNDUP(5-Z308,0))),"")</f>
        <v/>
      </c>
      <c r="AB308" s="7" t="str">
        <f aca="false">IF(COUNT(U308:X308)=4,MAX(1,MIN(10,ROUNDUP(Y308+5,0))),"")</f>
        <v/>
      </c>
      <c r="AC308" s="6"/>
      <c r="AD308" s="6"/>
    </row>
    <row r="309" customFormat="false" ht="15" hidden="false" customHeight="true" outlineLevel="0" collapsed="false">
      <c r="A309" s="5" t="n">
        <v>308</v>
      </c>
      <c r="B309" s="5" t="s">
        <v>811</v>
      </c>
      <c r="C309" s="5" t="s">
        <v>145</v>
      </c>
      <c r="D309" s="5" t="s">
        <v>51</v>
      </c>
      <c r="E309" s="5" t="n">
        <v>335</v>
      </c>
      <c r="F309" s="5" t="s">
        <v>812</v>
      </c>
      <c r="G309" s="5" t="n">
        <v>4</v>
      </c>
      <c r="H309" s="5" t="s">
        <v>53</v>
      </c>
      <c r="I309" s="5" t="s">
        <v>54</v>
      </c>
      <c r="J309" s="5" t="s">
        <v>55</v>
      </c>
      <c r="K309" s="5" t="s">
        <v>55</v>
      </c>
      <c r="L309" s="5" t="n">
        <v>6</v>
      </c>
      <c r="M309" s="5" t="n">
        <v>3</v>
      </c>
      <c r="N309" s="5" t="n">
        <v>3</v>
      </c>
      <c r="O309" s="5" t="n">
        <v>8</v>
      </c>
      <c r="P309" s="5" t="n">
        <v>-2.5</v>
      </c>
      <c r="Q309" s="5" t="n">
        <v>1.5</v>
      </c>
      <c r="R309" s="5" t="n">
        <v>4</v>
      </c>
      <c r="S309" s="5" t="n">
        <v>3</v>
      </c>
      <c r="T309" s="5" t="s">
        <v>76</v>
      </c>
      <c r="U309" s="6"/>
      <c r="V309" s="6"/>
      <c r="W309" s="6"/>
      <c r="X309" s="6"/>
      <c r="Y309" s="7" t="str">
        <f aca="false">IF(COUNT(U309:X309)=4,(W309-X309)/2,"")</f>
        <v/>
      </c>
      <c r="Z309" s="7" t="str">
        <f aca="false">IF(COUNT(U309:X309)=4,(U309-V309)/2,"")</f>
        <v/>
      </c>
      <c r="AA309" s="7" t="str">
        <f aca="false">IF(COUNT(U309:X309)=4,MAX(1,MIN(10,ROUNDUP(5-Z309,0))),"")</f>
        <v/>
      </c>
      <c r="AB309" s="7" t="str">
        <f aca="false">IF(COUNT(U309:X309)=4,MAX(1,MIN(10,ROUNDUP(Y309+5,0))),"")</f>
        <v/>
      </c>
      <c r="AC309" s="6"/>
      <c r="AD309" s="6"/>
    </row>
    <row r="310" customFormat="false" ht="15" hidden="false" customHeight="true" outlineLevel="0" collapsed="false">
      <c r="A310" s="5" t="n">
        <v>309</v>
      </c>
      <c r="B310" s="5" t="s">
        <v>813</v>
      </c>
      <c r="C310" s="5" t="s">
        <v>145</v>
      </c>
      <c r="D310" s="5" t="s">
        <v>51</v>
      </c>
      <c r="E310" s="5" t="n">
        <v>334</v>
      </c>
      <c r="F310" s="5" t="s">
        <v>814</v>
      </c>
      <c r="G310" s="5" t="n">
        <v>4</v>
      </c>
      <c r="H310" s="5" t="s">
        <v>53</v>
      </c>
      <c r="I310" s="5" t="s">
        <v>54</v>
      </c>
      <c r="J310" s="5" t="s">
        <v>55</v>
      </c>
      <c r="K310" s="5" t="s">
        <v>55</v>
      </c>
      <c r="L310" s="5" t="n">
        <v>6</v>
      </c>
      <c r="M310" s="5" t="n">
        <v>2</v>
      </c>
      <c r="N310" s="5" t="n">
        <v>3</v>
      </c>
      <c r="O310" s="5" t="n">
        <v>8</v>
      </c>
      <c r="P310" s="5" t="n">
        <v>-2.5</v>
      </c>
      <c r="Q310" s="5" t="n">
        <v>2</v>
      </c>
      <c r="R310" s="5" t="n">
        <v>3</v>
      </c>
      <c r="S310" s="5" t="n">
        <v>3</v>
      </c>
      <c r="T310" s="5" t="s">
        <v>815</v>
      </c>
      <c r="U310" s="6"/>
      <c r="V310" s="6"/>
      <c r="W310" s="6"/>
      <c r="X310" s="6"/>
      <c r="Y310" s="7" t="str">
        <f aca="false">IF(COUNT(U310:X310)=4,(W310-X310)/2,"")</f>
        <v/>
      </c>
      <c r="Z310" s="7" t="str">
        <f aca="false">IF(COUNT(U310:X310)=4,(U310-V310)/2,"")</f>
        <v/>
      </c>
      <c r="AA310" s="7" t="str">
        <f aca="false">IF(COUNT(U310:X310)=4,MAX(1,MIN(10,ROUNDUP(5-Z310,0))),"")</f>
        <v/>
      </c>
      <c r="AB310" s="7" t="str">
        <f aca="false">IF(COUNT(U310:X310)=4,MAX(1,MIN(10,ROUNDUP(Y310+5,0))),"")</f>
        <v/>
      </c>
      <c r="AC310" s="6"/>
      <c r="AD310" s="6"/>
    </row>
    <row r="311" customFormat="false" ht="15" hidden="false" customHeight="true" outlineLevel="0" collapsed="false">
      <c r="A311" s="5" t="n">
        <v>310</v>
      </c>
      <c r="B311" s="5" t="s">
        <v>816</v>
      </c>
      <c r="C311" s="5" t="s">
        <v>145</v>
      </c>
      <c r="D311" s="5" t="s">
        <v>51</v>
      </c>
      <c r="E311" s="5" t="n">
        <v>332</v>
      </c>
      <c r="F311" s="5" t="s">
        <v>817</v>
      </c>
      <c r="G311" s="5" t="n">
        <v>4</v>
      </c>
      <c r="H311" s="5" t="s">
        <v>53</v>
      </c>
      <c r="I311" s="5" t="s">
        <v>54</v>
      </c>
      <c r="J311" s="5" t="s">
        <v>55</v>
      </c>
      <c r="K311" s="5" t="s">
        <v>55</v>
      </c>
      <c r="L311" s="5" t="n">
        <v>5</v>
      </c>
      <c r="M311" s="5" t="n">
        <v>2</v>
      </c>
      <c r="N311" s="5" t="n">
        <v>8</v>
      </c>
      <c r="O311" s="5" t="n">
        <v>2</v>
      </c>
      <c r="P311" s="5" t="n">
        <v>3</v>
      </c>
      <c r="Q311" s="5" t="n">
        <v>1.5</v>
      </c>
      <c r="R311" s="5" t="n">
        <v>4</v>
      </c>
      <c r="S311" s="5" t="n">
        <v>8</v>
      </c>
      <c r="T311" s="5" t="s">
        <v>313</v>
      </c>
      <c r="U311" s="6"/>
      <c r="V311" s="6"/>
      <c r="W311" s="6"/>
      <c r="X311" s="6"/>
      <c r="Y311" s="7" t="str">
        <f aca="false">IF(COUNT(U311:X311)=4,(W311-X311)/2,"")</f>
        <v/>
      </c>
      <c r="Z311" s="7" t="str">
        <f aca="false">IF(COUNT(U311:X311)=4,(U311-V311)/2,"")</f>
        <v/>
      </c>
      <c r="AA311" s="7" t="str">
        <f aca="false">IF(COUNT(U311:X311)=4,MAX(1,MIN(10,ROUNDUP(5-Z311,0))),"")</f>
        <v/>
      </c>
      <c r="AB311" s="7" t="str">
        <f aca="false">IF(COUNT(U311:X311)=4,MAX(1,MIN(10,ROUNDUP(Y311+5,0))),"")</f>
        <v/>
      </c>
      <c r="AC311" s="6"/>
      <c r="AD311" s="6"/>
    </row>
    <row r="312" customFormat="false" ht="15" hidden="false" customHeight="true" outlineLevel="0" collapsed="false">
      <c r="A312" s="5" t="n">
        <v>311</v>
      </c>
      <c r="B312" s="5" t="s">
        <v>818</v>
      </c>
      <c r="C312" s="5" t="s">
        <v>171</v>
      </c>
      <c r="D312" s="5" t="s">
        <v>172</v>
      </c>
      <c r="E312" s="5" t="n">
        <v>330</v>
      </c>
      <c r="F312" s="5" t="s">
        <v>819</v>
      </c>
      <c r="G312" s="5" t="n">
        <v>4</v>
      </c>
      <c r="H312" s="5" t="s">
        <v>53</v>
      </c>
      <c r="I312" s="5" t="s">
        <v>81</v>
      </c>
      <c r="J312" s="5" t="s">
        <v>174</v>
      </c>
      <c r="K312" s="5" t="s">
        <v>175</v>
      </c>
      <c r="L312" s="5" t="n">
        <v>7</v>
      </c>
      <c r="M312" s="5" t="n">
        <v>1</v>
      </c>
      <c r="N312" s="5" t="n">
        <v>3</v>
      </c>
      <c r="O312" s="5" t="n">
        <v>8</v>
      </c>
      <c r="P312" s="5" t="n">
        <v>-2.5</v>
      </c>
      <c r="Q312" s="5" t="n">
        <v>3</v>
      </c>
      <c r="R312" s="5" t="n">
        <v>2</v>
      </c>
      <c r="S312" s="5" t="n">
        <v>3</v>
      </c>
      <c r="T312" s="5" t="s">
        <v>348</v>
      </c>
      <c r="U312" s="6"/>
      <c r="V312" s="6"/>
      <c r="W312" s="6"/>
      <c r="X312" s="6"/>
      <c r="Y312" s="7" t="str">
        <f aca="false">IF(COUNT(U312:X312)=4,(W312-X312)/2,"")</f>
        <v/>
      </c>
      <c r="Z312" s="7" t="str">
        <f aca="false">IF(COUNT(U312:X312)=4,(U312-V312)/2,"")</f>
        <v/>
      </c>
      <c r="AA312" s="7" t="str">
        <f aca="false">IF(COUNT(U312:X312)=4,MAX(1,MIN(10,ROUNDUP(5-Z312,0))),"")</f>
        <v/>
      </c>
      <c r="AB312" s="7" t="str">
        <f aca="false">IF(COUNT(U312:X312)=4,MAX(1,MIN(10,ROUNDUP(Y312+5,0))),"")</f>
        <v/>
      </c>
      <c r="AC312" s="6"/>
      <c r="AD312" s="6"/>
    </row>
    <row r="313" customFormat="false" ht="15" hidden="false" customHeight="true" outlineLevel="0" collapsed="false">
      <c r="A313" s="5" t="n">
        <v>312</v>
      </c>
      <c r="B313" s="5" t="s">
        <v>820</v>
      </c>
      <c r="C313" s="5" t="s">
        <v>171</v>
      </c>
      <c r="D313" s="5" t="s">
        <v>172</v>
      </c>
      <c r="E313" s="5" t="n">
        <v>330</v>
      </c>
      <c r="F313" s="5" t="s">
        <v>821</v>
      </c>
      <c r="G313" s="5" t="n">
        <v>4</v>
      </c>
      <c r="H313" s="5" t="s">
        <v>53</v>
      </c>
      <c r="I313" s="5" t="s">
        <v>81</v>
      </c>
      <c r="J313" s="5" t="s">
        <v>174</v>
      </c>
      <c r="K313" s="5" t="s">
        <v>175</v>
      </c>
      <c r="L313" s="5" t="n">
        <v>7</v>
      </c>
      <c r="M313" s="5" t="n">
        <v>1</v>
      </c>
      <c r="N313" s="5" t="n">
        <v>3</v>
      </c>
      <c r="O313" s="5" t="n">
        <v>8</v>
      </c>
      <c r="P313" s="5" t="n">
        <v>-2.5</v>
      </c>
      <c r="Q313" s="5" t="n">
        <v>3</v>
      </c>
      <c r="R313" s="5" t="n">
        <v>2</v>
      </c>
      <c r="S313" s="5" t="n">
        <v>3</v>
      </c>
      <c r="T313" s="5" t="s">
        <v>822</v>
      </c>
      <c r="U313" s="6"/>
      <c r="V313" s="6"/>
      <c r="W313" s="6"/>
      <c r="X313" s="6"/>
      <c r="Y313" s="7" t="str">
        <f aca="false">IF(COUNT(U313:X313)=4,(W313-X313)/2,"")</f>
        <v/>
      </c>
      <c r="Z313" s="7" t="str">
        <f aca="false">IF(COUNT(U313:X313)=4,(U313-V313)/2,"")</f>
        <v/>
      </c>
      <c r="AA313" s="7" t="str">
        <f aca="false">IF(COUNT(U313:X313)=4,MAX(1,MIN(10,ROUNDUP(5-Z313,0))),"")</f>
        <v/>
      </c>
      <c r="AB313" s="7" t="str">
        <f aca="false">IF(COUNT(U313:X313)=4,MAX(1,MIN(10,ROUNDUP(Y313+5,0))),"")</f>
        <v/>
      </c>
      <c r="AC313" s="6"/>
      <c r="AD313" s="6"/>
    </row>
    <row r="314" customFormat="false" ht="15" hidden="false" customHeight="true" outlineLevel="0" collapsed="false">
      <c r="A314" s="5" t="n">
        <v>313</v>
      </c>
      <c r="B314" s="5" t="s">
        <v>823</v>
      </c>
      <c r="C314" s="5" t="s">
        <v>145</v>
      </c>
      <c r="D314" s="5" t="s">
        <v>51</v>
      </c>
      <c r="E314" s="5" t="n">
        <v>329</v>
      </c>
      <c r="F314" s="5" t="s">
        <v>824</v>
      </c>
      <c r="G314" s="5" t="n">
        <v>4</v>
      </c>
      <c r="H314" s="5" t="s">
        <v>53</v>
      </c>
      <c r="I314" s="5" t="s">
        <v>54</v>
      </c>
      <c r="J314" s="5" t="s">
        <v>55</v>
      </c>
      <c r="K314" s="5" t="s">
        <v>55</v>
      </c>
      <c r="L314" s="5" t="n">
        <v>5</v>
      </c>
      <c r="M314" s="5" t="n">
        <v>2</v>
      </c>
      <c r="N314" s="5" t="n">
        <v>4</v>
      </c>
      <c r="O314" s="5" t="n">
        <v>8</v>
      </c>
      <c r="P314" s="5" t="n">
        <v>-2</v>
      </c>
      <c r="Q314" s="5" t="n">
        <v>1.5</v>
      </c>
      <c r="R314" s="5" t="n">
        <v>4</v>
      </c>
      <c r="S314" s="5" t="n">
        <v>3</v>
      </c>
      <c r="T314" s="5" t="s">
        <v>313</v>
      </c>
      <c r="U314" s="6"/>
      <c r="V314" s="6"/>
      <c r="W314" s="6"/>
      <c r="X314" s="6"/>
      <c r="Y314" s="7" t="str">
        <f aca="false">IF(COUNT(U314:X314)=4,(W314-X314)/2,"")</f>
        <v/>
      </c>
      <c r="Z314" s="7" t="str">
        <f aca="false">IF(COUNT(U314:X314)=4,(U314-V314)/2,"")</f>
        <v/>
      </c>
      <c r="AA314" s="7" t="str">
        <f aca="false">IF(COUNT(U314:X314)=4,MAX(1,MIN(10,ROUNDUP(5-Z314,0))),"")</f>
        <v/>
      </c>
      <c r="AB314" s="7" t="str">
        <f aca="false">IF(COUNT(U314:X314)=4,MAX(1,MIN(10,ROUNDUP(Y314+5,0))),"")</f>
        <v/>
      </c>
      <c r="AC314" s="6"/>
      <c r="AD314" s="6"/>
    </row>
    <row r="315" customFormat="false" ht="15" hidden="false" customHeight="true" outlineLevel="0" collapsed="false">
      <c r="A315" s="5" t="n">
        <v>314</v>
      </c>
      <c r="B315" s="5" t="s">
        <v>23</v>
      </c>
      <c r="C315" s="5" t="s">
        <v>171</v>
      </c>
      <c r="D315" s="5" t="s">
        <v>172</v>
      </c>
      <c r="E315" s="5" t="n">
        <v>326</v>
      </c>
      <c r="F315" s="5" t="s">
        <v>825</v>
      </c>
      <c r="G315" s="5" t="n">
        <v>4</v>
      </c>
      <c r="H315" s="5" t="s">
        <v>53</v>
      </c>
      <c r="I315" s="5" t="s">
        <v>54</v>
      </c>
      <c r="J315" s="5" t="s">
        <v>181</v>
      </c>
      <c r="K315" s="5" t="s">
        <v>413</v>
      </c>
      <c r="L315" s="5" t="n">
        <v>5</v>
      </c>
      <c r="M315" s="5" t="n">
        <v>3</v>
      </c>
      <c r="N315" s="5" t="n">
        <v>3</v>
      </c>
      <c r="O315" s="5" t="n">
        <v>8</v>
      </c>
      <c r="P315" s="5" t="n">
        <v>-2.5</v>
      </c>
      <c r="Q315" s="5" t="n">
        <v>1</v>
      </c>
      <c r="R315" s="5" t="n">
        <v>4</v>
      </c>
      <c r="S315" s="5" t="n">
        <v>3</v>
      </c>
      <c r="T315" s="5" t="s">
        <v>826</v>
      </c>
      <c r="U315" s="6"/>
      <c r="V315" s="6"/>
      <c r="W315" s="6"/>
      <c r="X315" s="6"/>
      <c r="Y315" s="7" t="str">
        <f aca="false">IF(COUNT(U315:X315)=4,(W315-X315)/2,"")</f>
        <v/>
      </c>
      <c r="Z315" s="7" t="str">
        <f aca="false">IF(COUNT(U315:X315)=4,(U315-V315)/2,"")</f>
        <v/>
      </c>
      <c r="AA315" s="7" t="str">
        <f aca="false">IF(COUNT(U315:X315)=4,MAX(1,MIN(10,ROUNDUP(5-Z315,0))),"")</f>
        <v/>
      </c>
      <c r="AB315" s="7" t="str">
        <f aca="false">IF(COUNT(U315:X315)=4,MAX(1,MIN(10,ROUNDUP(Y315+5,0))),"")</f>
        <v/>
      </c>
      <c r="AC315" s="6"/>
      <c r="AD315" s="6"/>
    </row>
    <row r="316" customFormat="false" ht="15" hidden="false" customHeight="true" outlineLevel="0" collapsed="false">
      <c r="A316" s="5" t="n">
        <v>315</v>
      </c>
      <c r="B316" s="5" t="s">
        <v>827</v>
      </c>
      <c r="C316" s="5" t="s">
        <v>145</v>
      </c>
      <c r="D316" s="5" t="s">
        <v>51</v>
      </c>
      <c r="E316" s="5" t="n">
        <v>326</v>
      </c>
      <c r="F316" s="5" t="s">
        <v>828</v>
      </c>
      <c r="G316" s="5" t="n">
        <v>4</v>
      </c>
      <c r="H316" s="5" t="s">
        <v>53</v>
      </c>
      <c r="I316" s="5" t="s">
        <v>54</v>
      </c>
      <c r="J316" s="5" t="s">
        <v>55</v>
      </c>
      <c r="K316" s="5" t="s">
        <v>55</v>
      </c>
      <c r="L316" s="5" t="n">
        <v>5</v>
      </c>
      <c r="M316" s="5" t="n">
        <v>2</v>
      </c>
      <c r="N316" s="5" t="n">
        <v>10</v>
      </c>
      <c r="O316" s="5" t="n">
        <v>1</v>
      </c>
      <c r="P316" s="5" t="n">
        <v>4.5</v>
      </c>
      <c r="Q316" s="5" t="n">
        <v>1.5</v>
      </c>
      <c r="R316" s="5" t="n">
        <v>4</v>
      </c>
      <c r="S316" s="5" t="n">
        <v>10</v>
      </c>
      <c r="T316" s="5" t="s">
        <v>155</v>
      </c>
      <c r="U316" s="6"/>
      <c r="V316" s="6"/>
      <c r="W316" s="6"/>
      <c r="X316" s="6"/>
      <c r="Y316" s="7" t="str">
        <f aca="false">IF(COUNT(U316:X316)=4,(W316-X316)/2,"")</f>
        <v/>
      </c>
      <c r="Z316" s="7" t="str">
        <f aca="false">IF(COUNT(U316:X316)=4,(U316-V316)/2,"")</f>
        <v/>
      </c>
      <c r="AA316" s="7" t="str">
        <f aca="false">IF(COUNT(U316:X316)=4,MAX(1,MIN(10,ROUNDUP(5-Z316,0))),"")</f>
        <v/>
      </c>
      <c r="AB316" s="7" t="str">
        <f aca="false">IF(COUNT(U316:X316)=4,MAX(1,MIN(10,ROUNDUP(Y316+5,0))),"")</f>
        <v/>
      </c>
      <c r="AC316" s="6"/>
      <c r="AD316" s="6"/>
    </row>
    <row r="317" customFormat="false" ht="15" hidden="false" customHeight="true" outlineLevel="0" collapsed="false">
      <c r="A317" s="5" t="n">
        <v>316</v>
      </c>
      <c r="B317" s="5" t="s">
        <v>829</v>
      </c>
      <c r="C317" s="5" t="s">
        <v>171</v>
      </c>
      <c r="D317" s="5" t="s">
        <v>172</v>
      </c>
      <c r="E317" s="5" t="n">
        <v>324</v>
      </c>
      <c r="F317" s="5" t="s">
        <v>830</v>
      </c>
      <c r="G317" s="5" t="n">
        <v>4</v>
      </c>
      <c r="H317" s="5" t="s">
        <v>53</v>
      </c>
      <c r="I317" s="5" t="s">
        <v>54</v>
      </c>
      <c r="J317" s="5" t="s">
        <v>181</v>
      </c>
      <c r="K317" s="5" t="s">
        <v>179</v>
      </c>
      <c r="L317" s="5" t="n">
        <v>2</v>
      </c>
      <c r="M317" s="5" t="n">
        <v>6</v>
      </c>
      <c r="N317" s="5" t="n">
        <v>2</v>
      </c>
      <c r="O317" s="5" t="n">
        <v>6</v>
      </c>
      <c r="P317" s="5" t="n">
        <v>-2</v>
      </c>
      <c r="Q317" s="5" t="n">
        <v>-2</v>
      </c>
      <c r="R317" s="5" t="n">
        <v>7</v>
      </c>
      <c r="S317" s="5" t="n">
        <v>3</v>
      </c>
      <c r="T317" s="5" t="s">
        <v>831</v>
      </c>
      <c r="U317" s="6"/>
      <c r="V317" s="6"/>
      <c r="W317" s="6"/>
      <c r="X317" s="6"/>
      <c r="Y317" s="7" t="str">
        <f aca="false">IF(COUNT(U317:X317)=4,(W317-X317)/2,"")</f>
        <v/>
      </c>
      <c r="Z317" s="7" t="str">
        <f aca="false">IF(COUNT(U317:X317)=4,(U317-V317)/2,"")</f>
        <v/>
      </c>
      <c r="AA317" s="7" t="str">
        <f aca="false">IF(COUNT(U317:X317)=4,MAX(1,MIN(10,ROUNDUP(5-Z317,0))),"")</f>
        <v/>
      </c>
      <c r="AB317" s="7" t="str">
        <f aca="false">IF(COUNT(U317:X317)=4,MAX(1,MIN(10,ROUNDUP(Y317+5,0))),"")</f>
        <v/>
      </c>
      <c r="AC317" s="6"/>
      <c r="AD317" s="6"/>
    </row>
    <row r="318" customFormat="false" ht="15" hidden="false" customHeight="true" outlineLevel="0" collapsed="false">
      <c r="A318" s="5" t="n">
        <v>317</v>
      </c>
      <c r="B318" s="5" t="s">
        <v>832</v>
      </c>
      <c r="C318" s="5" t="s">
        <v>171</v>
      </c>
      <c r="D318" s="5" t="s">
        <v>172</v>
      </c>
      <c r="E318" s="5" t="n">
        <v>323</v>
      </c>
      <c r="F318" s="5" t="s">
        <v>833</v>
      </c>
      <c r="G318" s="5" t="n">
        <v>4</v>
      </c>
      <c r="H318" s="5" t="s">
        <v>53</v>
      </c>
      <c r="I318" s="5" t="s">
        <v>54</v>
      </c>
      <c r="J318" s="5" t="s">
        <v>117</v>
      </c>
      <c r="K318" s="5" t="s">
        <v>117</v>
      </c>
      <c r="L318" s="5" t="n">
        <v>3</v>
      </c>
      <c r="M318" s="5" t="n">
        <v>3</v>
      </c>
      <c r="N318" s="5" t="n">
        <v>1</v>
      </c>
      <c r="O318" s="5" t="n">
        <v>9</v>
      </c>
      <c r="P318" s="5" t="n">
        <v>-4</v>
      </c>
      <c r="Q318" s="5" t="n">
        <v>0</v>
      </c>
      <c r="R318" s="5" t="n">
        <v>5</v>
      </c>
      <c r="S318" s="5" t="n">
        <v>1</v>
      </c>
      <c r="T318" s="5" t="s">
        <v>681</v>
      </c>
      <c r="U318" s="6"/>
      <c r="V318" s="6"/>
      <c r="W318" s="6"/>
      <c r="X318" s="6"/>
      <c r="Y318" s="7" t="str">
        <f aca="false">IF(COUNT(U318:X318)=4,(W318-X318)/2,"")</f>
        <v/>
      </c>
      <c r="Z318" s="7" t="str">
        <f aca="false">IF(COUNT(U318:X318)=4,(U318-V318)/2,"")</f>
        <v/>
      </c>
      <c r="AA318" s="7" t="str">
        <f aca="false">IF(COUNT(U318:X318)=4,MAX(1,MIN(10,ROUNDUP(5-Z318,0))),"")</f>
        <v/>
      </c>
      <c r="AB318" s="7" t="str">
        <f aca="false">IF(COUNT(U318:X318)=4,MAX(1,MIN(10,ROUNDUP(Y318+5,0))),"")</f>
        <v/>
      </c>
      <c r="AC318" s="6"/>
      <c r="AD318" s="6"/>
    </row>
    <row r="319" customFormat="false" ht="15" hidden="false" customHeight="true" outlineLevel="0" collapsed="false">
      <c r="A319" s="5" t="n">
        <v>318</v>
      </c>
      <c r="B319" s="5" t="s">
        <v>834</v>
      </c>
      <c r="C319" s="5" t="s">
        <v>145</v>
      </c>
      <c r="D319" s="5" t="s">
        <v>51</v>
      </c>
      <c r="E319" s="5" t="n">
        <v>322</v>
      </c>
      <c r="F319" s="5" t="s">
        <v>835</v>
      </c>
      <c r="G319" s="5" t="n">
        <v>4</v>
      </c>
      <c r="H319" s="5" t="s">
        <v>53</v>
      </c>
      <c r="I319" s="5" t="s">
        <v>54</v>
      </c>
      <c r="J319" s="5" t="s">
        <v>55</v>
      </c>
      <c r="K319" s="5" t="s">
        <v>55</v>
      </c>
      <c r="L319" s="5" t="n">
        <v>6</v>
      </c>
      <c r="M319" s="5" t="n">
        <v>1</v>
      </c>
      <c r="N319" s="5" t="n">
        <v>6</v>
      </c>
      <c r="O319" s="5" t="n">
        <v>5</v>
      </c>
      <c r="P319" s="5" t="n">
        <v>0.5</v>
      </c>
      <c r="Q319" s="5" t="n">
        <v>2.5</v>
      </c>
      <c r="R319" s="5" t="n">
        <v>3</v>
      </c>
      <c r="S319" s="5" t="n">
        <v>6</v>
      </c>
      <c r="T319" s="5" t="s">
        <v>199</v>
      </c>
      <c r="U319" s="6"/>
      <c r="V319" s="6"/>
      <c r="W319" s="6"/>
      <c r="X319" s="6"/>
      <c r="Y319" s="7" t="str">
        <f aca="false">IF(COUNT(U319:X319)=4,(W319-X319)/2,"")</f>
        <v/>
      </c>
      <c r="Z319" s="7" t="str">
        <f aca="false">IF(COUNT(U319:X319)=4,(U319-V319)/2,"")</f>
        <v/>
      </c>
      <c r="AA319" s="7" t="str">
        <f aca="false">IF(COUNT(U319:X319)=4,MAX(1,MIN(10,ROUNDUP(5-Z319,0))),"")</f>
        <v/>
      </c>
      <c r="AB319" s="7" t="str">
        <f aca="false">IF(COUNT(U319:X319)=4,MAX(1,MIN(10,ROUNDUP(Y319+5,0))),"")</f>
        <v/>
      </c>
      <c r="AC319" s="6"/>
      <c r="AD319" s="6"/>
    </row>
    <row r="320" customFormat="false" ht="15" hidden="false" customHeight="true" outlineLevel="0" collapsed="false">
      <c r="A320" s="5" t="n">
        <v>319</v>
      </c>
      <c r="B320" s="5" t="s">
        <v>836</v>
      </c>
      <c r="C320" s="5" t="s">
        <v>58</v>
      </c>
      <c r="D320" s="5" t="s">
        <v>59</v>
      </c>
      <c r="E320" s="5" t="n">
        <v>321</v>
      </c>
      <c r="F320" s="5" t="s">
        <v>836</v>
      </c>
      <c r="G320" s="5" t="n">
        <v>3</v>
      </c>
      <c r="H320" s="5" t="s">
        <v>53</v>
      </c>
      <c r="I320" s="5" t="s">
        <v>64</v>
      </c>
      <c r="J320" s="5"/>
      <c r="K320" s="5"/>
      <c r="L320" s="5" t="n">
        <v>4</v>
      </c>
      <c r="M320" s="5" t="n">
        <v>4</v>
      </c>
      <c r="N320" s="5" t="n">
        <v>2</v>
      </c>
      <c r="O320" s="5" t="n">
        <v>8</v>
      </c>
      <c r="P320" s="5" t="n">
        <v>-3</v>
      </c>
      <c r="Q320" s="5" t="n">
        <v>0</v>
      </c>
      <c r="R320" s="5" t="n">
        <v>5</v>
      </c>
      <c r="S320" s="5" t="n">
        <v>2</v>
      </c>
      <c r="T320" s="5" t="s">
        <v>837</v>
      </c>
      <c r="U320" s="6"/>
      <c r="V320" s="6"/>
      <c r="W320" s="6"/>
      <c r="X320" s="6"/>
      <c r="Y320" s="7" t="str">
        <f aca="false">IF(COUNT(U320:X320)=4,(W320-X320)/2,"")</f>
        <v/>
      </c>
      <c r="Z320" s="7" t="str">
        <f aca="false">IF(COUNT(U320:X320)=4,(U320-V320)/2,"")</f>
        <v/>
      </c>
      <c r="AA320" s="7" t="str">
        <f aca="false">IF(COUNT(U320:X320)=4,MAX(1,MIN(10,ROUNDUP(5-Z320,0))),"")</f>
        <v/>
      </c>
      <c r="AB320" s="7" t="str">
        <f aca="false">IF(COUNT(U320:X320)=4,MAX(1,MIN(10,ROUNDUP(Y320+5,0))),"")</f>
        <v/>
      </c>
      <c r="AC320" s="6"/>
      <c r="AD320" s="6"/>
    </row>
    <row r="321" customFormat="false" ht="15" hidden="false" customHeight="true" outlineLevel="0" collapsed="false">
      <c r="A321" s="5" t="n">
        <v>320</v>
      </c>
      <c r="B321" s="5" t="s">
        <v>838</v>
      </c>
      <c r="C321" s="5" t="s">
        <v>171</v>
      </c>
      <c r="D321" s="5" t="s">
        <v>172</v>
      </c>
      <c r="E321" s="5" t="n">
        <v>320</v>
      </c>
      <c r="F321" s="5" t="s">
        <v>839</v>
      </c>
      <c r="G321" s="5" t="n">
        <v>4</v>
      </c>
      <c r="H321" s="5" t="s">
        <v>53</v>
      </c>
      <c r="I321" s="5" t="s">
        <v>54</v>
      </c>
      <c r="J321" s="5" t="s">
        <v>181</v>
      </c>
      <c r="K321" s="5" t="s">
        <v>840</v>
      </c>
      <c r="L321" s="5" t="n">
        <v>5</v>
      </c>
      <c r="M321" s="5" t="n">
        <v>1</v>
      </c>
      <c r="N321" s="5" t="n">
        <v>8</v>
      </c>
      <c r="O321" s="5" t="n">
        <v>2</v>
      </c>
      <c r="P321" s="5" t="n">
        <v>3</v>
      </c>
      <c r="Q321" s="5" t="n">
        <v>2</v>
      </c>
      <c r="R321" s="5" t="n">
        <v>3</v>
      </c>
      <c r="S321" s="5" t="n">
        <v>8</v>
      </c>
      <c r="T321" s="5" t="s">
        <v>841</v>
      </c>
      <c r="U321" s="6"/>
      <c r="V321" s="6"/>
      <c r="W321" s="6"/>
      <c r="X321" s="6"/>
      <c r="Y321" s="7" t="str">
        <f aca="false">IF(COUNT(U321:X321)=4,(W321-X321)/2,"")</f>
        <v/>
      </c>
      <c r="Z321" s="7" t="str">
        <f aca="false">IF(COUNT(U321:X321)=4,(U321-V321)/2,"")</f>
        <v/>
      </c>
      <c r="AA321" s="7" t="str">
        <f aca="false">IF(COUNT(U321:X321)=4,MAX(1,MIN(10,ROUNDUP(5-Z321,0))),"")</f>
        <v/>
      </c>
      <c r="AB321" s="7" t="str">
        <f aca="false">IF(COUNT(U321:X321)=4,MAX(1,MIN(10,ROUNDUP(Y321+5,0))),"")</f>
        <v/>
      </c>
      <c r="AC321" s="6"/>
      <c r="AD321" s="6"/>
    </row>
    <row r="322" customFormat="false" ht="15" hidden="false" customHeight="true" outlineLevel="0" collapsed="false">
      <c r="A322" s="5" t="n">
        <v>321</v>
      </c>
      <c r="B322" s="5" t="s">
        <v>842</v>
      </c>
      <c r="C322" s="5" t="s">
        <v>171</v>
      </c>
      <c r="D322" s="5" t="s">
        <v>172</v>
      </c>
      <c r="E322" s="5" t="n">
        <v>319</v>
      </c>
      <c r="F322" s="5" t="s">
        <v>843</v>
      </c>
      <c r="G322" s="5" t="n">
        <v>4</v>
      </c>
      <c r="H322" s="5" t="s">
        <v>53</v>
      </c>
      <c r="I322" s="5" t="s">
        <v>54</v>
      </c>
      <c r="J322" s="5" t="s">
        <v>181</v>
      </c>
      <c r="K322" s="5" t="s">
        <v>179</v>
      </c>
      <c r="L322" s="5" t="n">
        <v>2</v>
      </c>
      <c r="M322" s="5" t="n">
        <v>6</v>
      </c>
      <c r="N322" s="5" t="n">
        <v>2</v>
      </c>
      <c r="O322" s="5" t="n">
        <v>6</v>
      </c>
      <c r="P322" s="5" t="n">
        <v>-2</v>
      </c>
      <c r="Q322" s="5" t="n">
        <v>-2</v>
      </c>
      <c r="R322" s="5" t="n">
        <v>7</v>
      </c>
      <c r="S322" s="5" t="n">
        <v>3</v>
      </c>
      <c r="T322" s="5" t="s">
        <v>73</v>
      </c>
      <c r="U322" s="6"/>
      <c r="V322" s="6"/>
      <c r="W322" s="6"/>
      <c r="X322" s="6"/>
      <c r="Y322" s="7" t="str">
        <f aca="false">IF(COUNT(U322:X322)=4,(W322-X322)/2,"")</f>
        <v/>
      </c>
      <c r="Z322" s="7" t="str">
        <f aca="false">IF(COUNT(U322:X322)=4,(U322-V322)/2,"")</f>
        <v/>
      </c>
      <c r="AA322" s="7" t="str">
        <f aca="false">IF(COUNT(U322:X322)=4,MAX(1,MIN(10,ROUNDUP(5-Z322,0))),"")</f>
        <v/>
      </c>
      <c r="AB322" s="7" t="str">
        <f aca="false">IF(COUNT(U322:X322)=4,MAX(1,MIN(10,ROUNDUP(Y322+5,0))),"")</f>
        <v/>
      </c>
      <c r="AC322" s="6"/>
      <c r="AD322" s="6"/>
    </row>
    <row r="323" customFormat="false" ht="15" hidden="false" customHeight="true" outlineLevel="0" collapsed="false">
      <c r="A323" s="5" t="n">
        <v>322</v>
      </c>
      <c r="B323" s="5" t="s">
        <v>844</v>
      </c>
      <c r="C323" s="5" t="s">
        <v>171</v>
      </c>
      <c r="D323" s="5" t="s">
        <v>172</v>
      </c>
      <c r="E323" s="5" t="n">
        <v>319</v>
      </c>
      <c r="F323" s="5" t="s">
        <v>845</v>
      </c>
      <c r="G323" s="5" t="n">
        <v>4</v>
      </c>
      <c r="H323" s="5" t="s">
        <v>53</v>
      </c>
      <c r="I323" s="5" t="s">
        <v>54</v>
      </c>
      <c r="J323" s="5" t="s">
        <v>181</v>
      </c>
      <c r="K323" s="5" t="s">
        <v>179</v>
      </c>
      <c r="L323" s="5" t="n">
        <v>2</v>
      </c>
      <c r="M323" s="5" t="n">
        <v>6</v>
      </c>
      <c r="N323" s="5" t="n">
        <v>2</v>
      </c>
      <c r="O323" s="5" t="n">
        <v>6</v>
      </c>
      <c r="P323" s="5" t="n">
        <v>-2</v>
      </c>
      <c r="Q323" s="5" t="n">
        <v>-2</v>
      </c>
      <c r="R323" s="5" t="n">
        <v>7</v>
      </c>
      <c r="S323" s="5" t="n">
        <v>3</v>
      </c>
      <c r="T323" s="5" t="s">
        <v>482</v>
      </c>
      <c r="U323" s="6"/>
      <c r="V323" s="6"/>
      <c r="W323" s="6"/>
      <c r="X323" s="6"/>
      <c r="Y323" s="7" t="str">
        <f aca="false">IF(COUNT(U323:X323)=4,(W323-X323)/2,"")</f>
        <v/>
      </c>
      <c r="Z323" s="7" t="str">
        <f aca="false">IF(COUNT(U323:X323)=4,(U323-V323)/2,"")</f>
        <v/>
      </c>
      <c r="AA323" s="7" t="str">
        <f aca="false">IF(COUNT(U323:X323)=4,MAX(1,MIN(10,ROUNDUP(5-Z323,0))),"")</f>
        <v/>
      </c>
      <c r="AB323" s="7" t="str">
        <f aca="false">IF(COUNT(U323:X323)=4,MAX(1,MIN(10,ROUNDUP(Y323+5,0))),"")</f>
        <v/>
      </c>
      <c r="AC323" s="6"/>
      <c r="AD323" s="6"/>
    </row>
    <row r="324" customFormat="false" ht="15" hidden="false" customHeight="true" outlineLevel="0" collapsed="false">
      <c r="A324" s="5" t="n">
        <v>323</v>
      </c>
      <c r="B324" s="5" t="s">
        <v>846</v>
      </c>
      <c r="C324" s="5" t="s">
        <v>145</v>
      </c>
      <c r="D324" s="5" t="s">
        <v>51</v>
      </c>
      <c r="E324" s="5" t="n">
        <v>317</v>
      </c>
      <c r="F324" s="5" t="s">
        <v>847</v>
      </c>
      <c r="G324" s="5" t="n">
        <v>4</v>
      </c>
      <c r="H324" s="5" t="s">
        <v>53</v>
      </c>
      <c r="I324" s="5" t="s">
        <v>54</v>
      </c>
      <c r="J324" s="5" t="s">
        <v>55</v>
      </c>
      <c r="K324" s="5" t="s">
        <v>55</v>
      </c>
      <c r="L324" s="5" t="n">
        <v>6</v>
      </c>
      <c r="M324" s="5" t="n">
        <v>2</v>
      </c>
      <c r="N324" s="5" t="n">
        <v>3</v>
      </c>
      <c r="O324" s="5" t="n">
        <v>8</v>
      </c>
      <c r="P324" s="5" t="n">
        <v>-2.5</v>
      </c>
      <c r="Q324" s="5" t="n">
        <v>2</v>
      </c>
      <c r="R324" s="5" t="n">
        <v>3</v>
      </c>
      <c r="S324" s="5" t="n">
        <v>3</v>
      </c>
      <c r="T324" s="5" t="s">
        <v>848</v>
      </c>
      <c r="U324" s="6"/>
      <c r="V324" s="6"/>
      <c r="W324" s="6"/>
      <c r="X324" s="6"/>
      <c r="Y324" s="7" t="str">
        <f aca="false">IF(COUNT(U324:X324)=4,(W324-X324)/2,"")</f>
        <v/>
      </c>
      <c r="Z324" s="7" t="str">
        <f aca="false">IF(COUNT(U324:X324)=4,(U324-V324)/2,"")</f>
        <v/>
      </c>
      <c r="AA324" s="7" t="str">
        <f aca="false">IF(COUNT(U324:X324)=4,MAX(1,MIN(10,ROUNDUP(5-Z324,0))),"")</f>
        <v/>
      </c>
      <c r="AB324" s="7" t="str">
        <f aca="false">IF(COUNT(U324:X324)=4,MAX(1,MIN(10,ROUNDUP(Y324+5,0))),"")</f>
        <v/>
      </c>
      <c r="AC324" s="6"/>
      <c r="AD324" s="6"/>
    </row>
    <row r="325" customFormat="false" ht="15" hidden="false" customHeight="true" outlineLevel="0" collapsed="false">
      <c r="A325" s="5" t="n">
        <v>324</v>
      </c>
      <c r="B325" s="5" t="s">
        <v>849</v>
      </c>
      <c r="C325" s="5" t="s">
        <v>171</v>
      </c>
      <c r="D325" s="5" t="s">
        <v>172</v>
      </c>
      <c r="E325" s="5" t="n">
        <v>315</v>
      </c>
      <c r="F325" s="5" t="s">
        <v>850</v>
      </c>
      <c r="G325" s="5" t="n">
        <v>4</v>
      </c>
      <c r="H325" s="5" t="s">
        <v>53</v>
      </c>
      <c r="I325" s="5" t="s">
        <v>54</v>
      </c>
      <c r="J325" s="5" t="s">
        <v>181</v>
      </c>
      <c r="K325" s="5" t="s">
        <v>279</v>
      </c>
      <c r="L325" s="5" t="n">
        <v>4</v>
      </c>
      <c r="M325" s="5" t="n">
        <v>4</v>
      </c>
      <c r="N325" s="5" t="n">
        <v>5</v>
      </c>
      <c r="O325" s="5" t="n">
        <v>7</v>
      </c>
      <c r="P325" s="5" t="n">
        <v>-1</v>
      </c>
      <c r="Q325" s="5" t="n">
        <v>0</v>
      </c>
      <c r="R325" s="5" t="n">
        <v>5</v>
      </c>
      <c r="S325" s="5" t="n">
        <v>4</v>
      </c>
      <c r="T325" s="5" t="s">
        <v>851</v>
      </c>
      <c r="U325" s="6"/>
      <c r="V325" s="6"/>
      <c r="W325" s="6"/>
      <c r="X325" s="6"/>
      <c r="Y325" s="7" t="str">
        <f aca="false">IF(COUNT(U325:X325)=4,(W325-X325)/2,"")</f>
        <v/>
      </c>
      <c r="Z325" s="7" t="str">
        <f aca="false">IF(COUNT(U325:X325)=4,(U325-V325)/2,"")</f>
        <v/>
      </c>
      <c r="AA325" s="7" t="str">
        <f aca="false">IF(COUNT(U325:X325)=4,MAX(1,MIN(10,ROUNDUP(5-Z325,0))),"")</f>
        <v/>
      </c>
      <c r="AB325" s="7" t="str">
        <f aca="false">IF(COUNT(U325:X325)=4,MAX(1,MIN(10,ROUNDUP(Y325+5,0))),"")</f>
        <v/>
      </c>
      <c r="AC325" s="6"/>
      <c r="AD325" s="6"/>
    </row>
    <row r="326" customFormat="false" ht="15" hidden="false" customHeight="true" outlineLevel="0" collapsed="false">
      <c r="A326" s="5" t="n">
        <v>325</v>
      </c>
      <c r="B326" s="5" t="s">
        <v>852</v>
      </c>
      <c r="C326" s="5" t="s">
        <v>145</v>
      </c>
      <c r="D326" s="5" t="s">
        <v>51</v>
      </c>
      <c r="E326" s="5" t="n">
        <v>315</v>
      </c>
      <c r="F326" s="5" t="s">
        <v>853</v>
      </c>
      <c r="G326" s="5" t="n">
        <v>4</v>
      </c>
      <c r="H326" s="5" t="s">
        <v>53</v>
      </c>
      <c r="I326" s="5" t="s">
        <v>54</v>
      </c>
      <c r="J326" s="5" t="s">
        <v>55</v>
      </c>
      <c r="K326" s="5" t="s">
        <v>55</v>
      </c>
      <c r="L326" s="5" t="n">
        <v>4</v>
      </c>
      <c r="M326" s="5" t="n">
        <v>4</v>
      </c>
      <c r="N326" s="5" t="n">
        <v>9</v>
      </c>
      <c r="O326" s="5" t="n">
        <v>2</v>
      </c>
      <c r="P326" s="5" t="n">
        <v>3.5</v>
      </c>
      <c r="Q326" s="5" t="n">
        <v>0</v>
      </c>
      <c r="R326" s="5" t="n">
        <v>5</v>
      </c>
      <c r="S326" s="5" t="n">
        <v>9</v>
      </c>
      <c r="T326" s="5" t="s">
        <v>854</v>
      </c>
      <c r="U326" s="6"/>
      <c r="V326" s="6"/>
      <c r="W326" s="6"/>
      <c r="X326" s="6"/>
      <c r="Y326" s="7" t="str">
        <f aca="false">IF(COUNT(U326:X326)=4,(W326-X326)/2,"")</f>
        <v/>
      </c>
      <c r="Z326" s="7" t="str">
        <f aca="false">IF(COUNT(U326:X326)=4,(U326-V326)/2,"")</f>
        <v/>
      </c>
      <c r="AA326" s="7" t="str">
        <f aca="false">IF(COUNT(U326:X326)=4,MAX(1,MIN(10,ROUNDUP(5-Z326,0))),"")</f>
        <v/>
      </c>
      <c r="AB326" s="7" t="str">
        <f aca="false">IF(COUNT(U326:X326)=4,MAX(1,MIN(10,ROUNDUP(Y326+5,0))),"")</f>
        <v/>
      </c>
      <c r="AC326" s="6"/>
      <c r="AD326" s="6"/>
    </row>
    <row r="327" customFormat="false" ht="15" hidden="false" customHeight="true" outlineLevel="0" collapsed="false">
      <c r="A327" s="5" t="n">
        <v>326</v>
      </c>
      <c r="B327" s="5" t="s">
        <v>855</v>
      </c>
      <c r="C327" s="5" t="s">
        <v>171</v>
      </c>
      <c r="D327" s="5" t="s">
        <v>172</v>
      </c>
      <c r="E327" s="5" t="n">
        <v>314</v>
      </c>
      <c r="F327" s="5" t="s">
        <v>856</v>
      </c>
      <c r="G327" s="5" t="n">
        <v>4</v>
      </c>
      <c r="H327" s="5" t="s">
        <v>53</v>
      </c>
      <c r="I327" s="5" t="s">
        <v>54</v>
      </c>
      <c r="J327" s="5" t="s">
        <v>181</v>
      </c>
      <c r="K327" s="5" t="s">
        <v>309</v>
      </c>
      <c r="L327" s="5" t="n">
        <v>2</v>
      </c>
      <c r="M327" s="5" t="n">
        <v>5</v>
      </c>
      <c r="N327" s="5" t="n">
        <v>5</v>
      </c>
      <c r="O327" s="5" t="n">
        <v>4</v>
      </c>
      <c r="P327" s="5" t="n">
        <v>0.5</v>
      </c>
      <c r="Q327" s="5" t="n">
        <v>-1.5</v>
      </c>
      <c r="R327" s="5" t="n">
        <v>7</v>
      </c>
      <c r="S327" s="5" t="n">
        <v>6</v>
      </c>
      <c r="T327" s="5" t="s">
        <v>474</v>
      </c>
      <c r="U327" s="6"/>
      <c r="V327" s="6"/>
      <c r="W327" s="6"/>
      <c r="X327" s="6"/>
      <c r="Y327" s="7" t="str">
        <f aca="false">IF(COUNT(U327:X327)=4,(W327-X327)/2,"")</f>
        <v/>
      </c>
      <c r="Z327" s="7" t="str">
        <f aca="false">IF(COUNT(U327:X327)=4,(U327-V327)/2,"")</f>
        <v/>
      </c>
      <c r="AA327" s="7" t="str">
        <f aca="false">IF(COUNT(U327:X327)=4,MAX(1,MIN(10,ROUNDUP(5-Z327,0))),"")</f>
        <v/>
      </c>
      <c r="AB327" s="7" t="str">
        <f aca="false">IF(COUNT(U327:X327)=4,MAX(1,MIN(10,ROUNDUP(Y327+5,0))),"")</f>
        <v/>
      </c>
      <c r="AC327" s="6"/>
      <c r="AD327" s="6"/>
    </row>
    <row r="328" customFormat="false" ht="15" hidden="false" customHeight="true" outlineLevel="0" collapsed="false">
      <c r="A328" s="5" t="n">
        <v>327</v>
      </c>
      <c r="B328" s="5" t="s">
        <v>857</v>
      </c>
      <c r="C328" s="5" t="s">
        <v>145</v>
      </c>
      <c r="D328" s="5" t="s">
        <v>51</v>
      </c>
      <c r="E328" s="5" t="n">
        <v>314</v>
      </c>
      <c r="F328" s="5" t="s">
        <v>858</v>
      </c>
      <c r="G328" s="5" t="n">
        <v>4</v>
      </c>
      <c r="H328" s="5" t="s">
        <v>53</v>
      </c>
      <c r="I328" s="5" t="s">
        <v>54</v>
      </c>
      <c r="J328" s="5" t="s">
        <v>55</v>
      </c>
      <c r="K328" s="5" t="s">
        <v>55</v>
      </c>
      <c r="L328" s="5" t="n">
        <v>4</v>
      </c>
      <c r="M328" s="5" t="n">
        <v>3</v>
      </c>
      <c r="N328" s="5" t="n">
        <v>6</v>
      </c>
      <c r="O328" s="5" t="n">
        <v>4</v>
      </c>
      <c r="P328" s="5" t="n">
        <v>1</v>
      </c>
      <c r="Q328" s="5" t="n">
        <v>0.5</v>
      </c>
      <c r="R328" s="5" t="n">
        <v>5</v>
      </c>
      <c r="S328" s="5" t="n">
        <v>6</v>
      </c>
      <c r="T328" s="5" t="s">
        <v>654</v>
      </c>
      <c r="U328" s="6"/>
      <c r="V328" s="6"/>
      <c r="W328" s="6"/>
      <c r="X328" s="6"/>
      <c r="Y328" s="7" t="str">
        <f aca="false">IF(COUNT(U328:X328)=4,(W328-X328)/2,"")</f>
        <v/>
      </c>
      <c r="Z328" s="7" t="str">
        <f aca="false">IF(COUNT(U328:X328)=4,(U328-V328)/2,"")</f>
        <v/>
      </c>
      <c r="AA328" s="7" t="str">
        <f aca="false">IF(COUNT(U328:X328)=4,MAX(1,MIN(10,ROUNDUP(5-Z328,0))),"")</f>
        <v/>
      </c>
      <c r="AB328" s="7" t="str">
        <f aca="false">IF(COUNT(U328:X328)=4,MAX(1,MIN(10,ROUNDUP(Y328+5,0))),"")</f>
        <v/>
      </c>
      <c r="AC328" s="6"/>
      <c r="AD328" s="6"/>
    </row>
    <row r="329" customFormat="false" ht="15" hidden="false" customHeight="true" outlineLevel="0" collapsed="false">
      <c r="A329" s="5" t="n">
        <v>328</v>
      </c>
      <c r="B329" s="5" t="s">
        <v>859</v>
      </c>
      <c r="C329" s="5" t="s">
        <v>203</v>
      </c>
      <c r="D329" s="5" t="s">
        <v>204</v>
      </c>
      <c r="E329" s="5" t="n">
        <v>313</v>
      </c>
      <c r="F329" s="5" t="s">
        <v>859</v>
      </c>
      <c r="G329" s="5" t="n">
        <v>4</v>
      </c>
      <c r="H329" s="5" t="s">
        <v>53</v>
      </c>
      <c r="I329" s="5" t="s">
        <v>54</v>
      </c>
      <c r="J329" s="5" t="s">
        <v>117</v>
      </c>
      <c r="K329" s="5" t="s">
        <v>117</v>
      </c>
      <c r="L329" s="5" t="n">
        <v>4</v>
      </c>
      <c r="M329" s="5" t="n">
        <v>3</v>
      </c>
      <c r="N329" s="5" t="n">
        <v>1</v>
      </c>
      <c r="O329" s="5" t="n">
        <v>8</v>
      </c>
      <c r="P329" s="5" t="n">
        <v>-3.5</v>
      </c>
      <c r="Q329" s="5" t="n">
        <v>0.5</v>
      </c>
      <c r="R329" s="5" t="n">
        <v>5</v>
      </c>
      <c r="S329" s="5" t="n">
        <v>2</v>
      </c>
      <c r="T329" s="5" t="s">
        <v>190</v>
      </c>
      <c r="U329" s="6"/>
      <c r="V329" s="6"/>
      <c r="W329" s="6"/>
      <c r="X329" s="6"/>
      <c r="Y329" s="7" t="str">
        <f aca="false">IF(COUNT(U329:X329)=4,(W329-X329)/2,"")</f>
        <v/>
      </c>
      <c r="Z329" s="7" t="str">
        <f aca="false">IF(COUNT(U329:X329)=4,(U329-V329)/2,"")</f>
        <v/>
      </c>
      <c r="AA329" s="7" t="str">
        <f aca="false">IF(COUNT(U329:X329)=4,MAX(1,MIN(10,ROUNDUP(5-Z329,0))),"")</f>
        <v/>
      </c>
      <c r="AB329" s="7" t="str">
        <f aca="false">IF(COUNT(U329:X329)=4,MAX(1,MIN(10,ROUNDUP(Y329+5,0))),"")</f>
        <v/>
      </c>
      <c r="AC329" s="6"/>
      <c r="AD329" s="6"/>
    </row>
    <row r="330" customFormat="false" ht="15" hidden="false" customHeight="true" outlineLevel="0" collapsed="false">
      <c r="A330" s="5" t="n">
        <v>329</v>
      </c>
      <c r="B330" s="5" t="s">
        <v>860</v>
      </c>
      <c r="C330" s="5" t="s">
        <v>203</v>
      </c>
      <c r="D330" s="5" t="s">
        <v>204</v>
      </c>
      <c r="E330" s="5" t="n">
        <v>312</v>
      </c>
      <c r="F330" s="5" t="s">
        <v>860</v>
      </c>
      <c r="G330" s="5" t="n">
        <v>4</v>
      </c>
      <c r="H330" s="5" t="s">
        <v>53</v>
      </c>
      <c r="I330" s="5" t="s">
        <v>54</v>
      </c>
      <c r="J330" s="5" t="s">
        <v>117</v>
      </c>
      <c r="K330" s="5" t="s">
        <v>117</v>
      </c>
      <c r="L330" s="5" t="n">
        <v>5</v>
      </c>
      <c r="M330" s="5" t="n">
        <v>1</v>
      </c>
      <c r="N330" s="5" t="n">
        <v>1</v>
      </c>
      <c r="O330" s="5" t="n">
        <v>9</v>
      </c>
      <c r="P330" s="5" t="n">
        <v>-4</v>
      </c>
      <c r="Q330" s="5" t="n">
        <v>2</v>
      </c>
      <c r="R330" s="5" t="n">
        <v>3</v>
      </c>
      <c r="S330" s="5" t="n">
        <v>1</v>
      </c>
      <c r="T330" s="5" t="s">
        <v>861</v>
      </c>
      <c r="U330" s="6"/>
      <c r="V330" s="6"/>
      <c r="W330" s="6"/>
      <c r="X330" s="6"/>
      <c r="Y330" s="7" t="str">
        <f aca="false">IF(COUNT(U330:X330)=4,(W330-X330)/2,"")</f>
        <v/>
      </c>
      <c r="Z330" s="7" t="str">
        <f aca="false">IF(COUNT(U330:X330)=4,(U330-V330)/2,"")</f>
        <v/>
      </c>
      <c r="AA330" s="7" t="str">
        <f aca="false">IF(COUNT(U330:X330)=4,MAX(1,MIN(10,ROUNDUP(5-Z330,0))),"")</f>
        <v/>
      </c>
      <c r="AB330" s="7" t="str">
        <f aca="false">IF(COUNT(U330:X330)=4,MAX(1,MIN(10,ROUNDUP(Y330+5,0))),"")</f>
        <v/>
      </c>
      <c r="AC330" s="6"/>
      <c r="AD330" s="6"/>
    </row>
    <row r="331" customFormat="false" ht="15" hidden="false" customHeight="true" outlineLevel="0" collapsed="false">
      <c r="A331" s="5" t="n">
        <v>330</v>
      </c>
      <c r="B331" s="5" t="s">
        <v>862</v>
      </c>
      <c r="C331" s="5" t="s">
        <v>203</v>
      </c>
      <c r="D331" s="5" t="s">
        <v>204</v>
      </c>
      <c r="E331" s="5" t="n">
        <v>312</v>
      </c>
      <c r="F331" s="5" t="s">
        <v>863</v>
      </c>
      <c r="G331" s="5" t="n">
        <v>4</v>
      </c>
      <c r="H331" s="5" t="s">
        <v>53</v>
      </c>
      <c r="I331" s="5" t="s">
        <v>54</v>
      </c>
      <c r="J331" s="5" t="s">
        <v>117</v>
      </c>
      <c r="K331" s="5" t="s">
        <v>117</v>
      </c>
      <c r="L331" s="5" t="n">
        <v>3</v>
      </c>
      <c r="M331" s="5" t="n">
        <v>1</v>
      </c>
      <c r="N331" s="5" t="n">
        <v>2</v>
      </c>
      <c r="O331" s="5" t="n">
        <v>8</v>
      </c>
      <c r="P331" s="5" t="n">
        <v>-3</v>
      </c>
      <c r="Q331" s="5" t="n">
        <v>1</v>
      </c>
      <c r="R331" s="5" t="n">
        <v>4</v>
      </c>
      <c r="S331" s="5" t="n">
        <v>2</v>
      </c>
      <c r="T331" s="5" t="s">
        <v>477</v>
      </c>
      <c r="U331" s="6"/>
      <c r="V331" s="6"/>
      <c r="W331" s="6"/>
      <c r="X331" s="6"/>
      <c r="Y331" s="7" t="str">
        <f aca="false">IF(COUNT(U331:X331)=4,(W331-X331)/2,"")</f>
        <v/>
      </c>
      <c r="Z331" s="7" t="str">
        <f aca="false">IF(COUNT(U331:X331)=4,(U331-V331)/2,"")</f>
        <v/>
      </c>
      <c r="AA331" s="7" t="str">
        <f aca="false">IF(COUNT(U331:X331)=4,MAX(1,MIN(10,ROUNDUP(5-Z331,0))),"")</f>
        <v/>
      </c>
      <c r="AB331" s="7" t="str">
        <f aca="false">IF(COUNT(U331:X331)=4,MAX(1,MIN(10,ROUNDUP(Y331+5,0))),"")</f>
        <v/>
      </c>
      <c r="AC331" s="6"/>
      <c r="AD331" s="6"/>
    </row>
    <row r="332" customFormat="false" ht="15" hidden="false" customHeight="true" outlineLevel="0" collapsed="false">
      <c r="A332" s="5" t="n">
        <v>331</v>
      </c>
      <c r="B332" s="5" t="s">
        <v>864</v>
      </c>
      <c r="C332" s="5" t="s">
        <v>171</v>
      </c>
      <c r="D332" s="5" t="s">
        <v>172</v>
      </c>
      <c r="E332" s="5" t="n">
        <v>312</v>
      </c>
      <c r="F332" s="5" t="s">
        <v>865</v>
      </c>
      <c r="G332" s="5" t="n">
        <v>4</v>
      </c>
      <c r="H332" s="5" t="s">
        <v>53</v>
      </c>
      <c r="I332" s="5" t="s">
        <v>54</v>
      </c>
      <c r="J332" s="5" t="s">
        <v>181</v>
      </c>
      <c r="K332" s="5" t="s">
        <v>179</v>
      </c>
      <c r="L332" s="5" t="n">
        <v>2</v>
      </c>
      <c r="M332" s="5" t="n">
        <v>6</v>
      </c>
      <c r="N332" s="5" t="n">
        <v>2</v>
      </c>
      <c r="O332" s="5" t="n">
        <v>6</v>
      </c>
      <c r="P332" s="5" t="n">
        <v>-2</v>
      </c>
      <c r="Q332" s="5" t="n">
        <v>-2</v>
      </c>
      <c r="R332" s="5" t="n">
        <v>7</v>
      </c>
      <c r="S332" s="5" t="n">
        <v>3</v>
      </c>
      <c r="T332" s="5" t="s">
        <v>866</v>
      </c>
      <c r="U332" s="6"/>
      <c r="V332" s="6"/>
      <c r="W332" s="6"/>
      <c r="X332" s="6"/>
      <c r="Y332" s="7" t="str">
        <f aca="false">IF(COUNT(U332:X332)=4,(W332-X332)/2,"")</f>
        <v/>
      </c>
      <c r="Z332" s="7" t="str">
        <f aca="false">IF(COUNT(U332:X332)=4,(U332-V332)/2,"")</f>
        <v/>
      </c>
      <c r="AA332" s="7" t="str">
        <f aca="false">IF(COUNT(U332:X332)=4,MAX(1,MIN(10,ROUNDUP(5-Z332,0))),"")</f>
        <v/>
      </c>
      <c r="AB332" s="7" t="str">
        <f aca="false">IF(COUNT(U332:X332)=4,MAX(1,MIN(10,ROUNDUP(Y332+5,0))),"")</f>
        <v/>
      </c>
      <c r="AC332" s="6"/>
      <c r="AD332" s="6"/>
    </row>
    <row r="333" customFormat="false" ht="15" hidden="false" customHeight="true" outlineLevel="0" collapsed="false">
      <c r="A333" s="5" t="n">
        <v>332</v>
      </c>
      <c r="B333" s="5" t="s">
        <v>867</v>
      </c>
      <c r="C333" s="5" t="s">
        <v>108</v>
      </c>
      <c r="D333" s="5" t="s">
        <v>109</v>
      </c>
      <c r="E333" s="5" t="n">
        <v>312</v>
      </c>
      <c r="F333" s="5" t="s">
        <v>867</v>
      </c>
      <c r="G333" s="5" t="n">
        <v>4</v>
      </c>
      <c r="H333" s="5" t="s">
        <v>53</v>
      </c>
      <c r="I333" s="5" t="s">
        <v>64</v>
      </c>
      <c r="J333" s="5"/>
      <c r="K333" s="5"/>
      <c r="L333" s="5" t="n">
        <v>2</v>
      </c>
      <c r="M333" s="5" t="n">
        <v>7</v>
      </c>
      <c r="N333" s="5" t="n">
        <v>3</v>
      </c>
      <c r="O333" s="5" t="n">
        <v>6</v>
      </c>
      <c r="P333" s="5" t="n">
        <v>-1.5</v>
      </c>
      <c r="Q333" s="5" t="n">
        <v>-2.5</v>
      </c>
      <c r="R333" s="5" t="n">
        <v>8</v>
      </c>
      <c r="S333" s="5" t="n">
        <v>4</v>
      </c>
      <c r="T333" s="5" t="s">
        <v>112</v>
      </c>
      <c r="U333" s="6"/>
      <c r="V333" s="6"/>
      <c r="W333" s="6"/>
      <c r="X333" s="6"/>
      <c r="Y333" s="7" t="str">
        <f aca="false">IF(COUNT(U333:X333)=4,(W333-X333)/2,"")</f>
        <v/>
      </c>
      <c r="Z333" s="7" t="str">
        <f aca="false">IF(COUNT(U333:X333)=4,(U333-V333)/2,"")</f>
        <v/>
      </c>
      <c r="AA333" s="7" t="str">
        <f aca="false">IF(COUNT(U333:X333)=4,MAX(1,MIN(10,ROUNDUP(5-Z333,0))),"")</f>
        <v/>
      </c>
      <c r="AB333" s="7" t="str">
        <f aca="false">IF(COUNT(U333:X333)=4,MAX(1,MIN(10,ROUNDUP(Y333+5,0))),"")</f>
        <v/>
      </c>
      <c r="AC333" s="6"/>
      <c r="AD333" s="6"/>
    </row>
    <row r="334" customFormat="false" ht="15" hidden="false" customHeight="true" outlineLevel="0" collapsed="false">
      <c r="A334" s="5" t="n">
        <v>333</v>
      </c>
      <c r="B334" s="5" t="s">
        <v>868</v>
      </c>
      <c r="C334" s="5" t="s">
        <v>203</v>
      </c>
      <c r="D334" s="5" t="s">
        <v>204</v>
      </c>
      <c r="E334" s="5" t="n">
        <v>311</v>
      </c>
      <c r="F334" s="5" t="s">
        <v>869</v>
      </c>
      <c r="G334" s="5" t="n">
        <v>4</v>
      </c>
      <c r="H334" s="5" t="s">
        <v>53</v>
      </c>
      <c r="I334" s="5" t="s">
        <v>54</v>
      </c>
      <c r="J334" s="5" t="s">
        <v>117</v>
      </c>
      <c r="K334" s="5" t="s">
        <v>117</v>
      </c>
      <c r="L334" s="5" t="n">
        <v>3</v>
      </c>
      <c r="M334" s="5" t="n">
        <v>1</v>
      </c>
      <c r="N334" s="5" t="n">
        <v>2</v>
      </c>
      <c r="O334" s="5" t="n">
        <v>7</v>
      </c>
      <c r="P334" s="5" t="n">
        <v>-2.5</v>
      </c>
      <c r="Q334" s="5" t="n">
        <v>1</v>
      </c>
      <c r="R334" s="5" t="n">
        <v>4</v>
      </c>
      <c r="S334" s="5" t="n">
        <v>3</v>
      </c>
      <c r="T334" s="5" t="s">
        <v>870</v>
      </c>
      <c r="U334" s="6"/>
      <c r="V334" s="6"/>
      <c r="W334" s="6"/>
      <c r="X334" s="6"/>
      <c r="Y334" s="7" t="str">
        <f aca="false">IF(COUNT(U334:X334)=4,(W334-X334)/2,"")</f>
        <v/>
      </c>
      <c r="Z334" s="7" t="str">
        <f aca="false">IF(COUNT(U334:X334)=4,(U334-V334)/2,"")</f>
        <v/>
      </c>
      <c r="AA334" s="7" t="str">
        <f aca="false">IF(COUNT(U334:X334)=4,MAX(1,MIN(10,ROUNDUP(5-Z334,0))),"")</f>
        <v/>
      </c>
      <c r="AB334" s="7" t="str">
        <f aca="false">IF(COUNT(U334:X334)=4,MAX(1,MIN(10,ROUNDUP(Y334+5,0))),"")</f>
        <v/>
      </c>
      <c r="AC334" s="6"/>
      <c r="AD334" s="6"/>
    </row>
    <row r="335" customFormat="false" ht="15" hidden="false" customHeight="true" outlineLevel="0" collapsed="false">
      <c r="A335" s="5" t="n">
        <v>334</v>
      </c>
      <c r="B335" s="5" t="s">
        <v>871</v>
      </c>
      <c r="C335" s="5" t="s">
        <v>145</v>
      </c>
      <c r="D335" s="5" t="s">
        <v>51</v>
      </c>
      <c r="E335" s="5" t="n">
        <v>310</v>
      </c>
      <c r="F335" s="5" t="s">
        <v>872</v>
      </c>
      <c r="G335" s="5" t="n">
        <v>4</v>
      </c>
      <c r="H335" s="5" t="s">
        <v>53</v>
      </c>
      <c r="I335" s="5" t="s">
        <v>54</v>
      </c>
      <c r="J335" s="5" t="s">
        <v>55</v>
      </c>
      <c r="K335" s="5" t="s">
        <v>55</v>
      </c>
      <c r="L335" s="5" t="n">
        <v>5</v>
      </c>
      <c r="M335" s="5" t="n">
        <v>2</v>
      </c>
      <c r="N335" s="5" t="n">
        <v>4</v>
      </c>
      <c r="O335" s="5" t="n">
        <v>8</v>
      </c>
      <c r="P335" s="5" t="n">
        <v>-2</v>
      </c>
      <c r="Q335" s="5" t="n">
        <v>1.5</v>
      </c>
      <c r="R335" s="5" t="n">
        <v>4</v>
      </c>
      <c r="S335" s="5" t="n">
        <v>3</v>
      </c>
      <c r="T335" s="5" t="s">
        <v>516</v>
      </c>
      <c r="U335" s="6"/>
      <c r="V335" s="6"/>
      <c r="W335" s="6"/>
      <c r="X335" s="6"/>
      <c r="Y335" s="7" t="str">
        <f aca="false">IF(COUNT(U335:X335)=4,(W335-X335)/2,"")</f>
        <v/>
      </c>
      <c r="Z335" s="7" t="str">
        <f aca="false">IF(COUNT(U335:X335)=4,(U335-V335)/2,"")</f>
        <v/>
      </c>
      <c r="AA335" s="7" t="str">
        <f aca="false">IF(COUNT(U335:X335)=4,MAX(1,MIN(10,ROUNDUP(5-Z335,0))),"")</f>
        <v/>
      </c>
      <c r="AB335" s="7" t="str">
        <f aca="false">IF(COUNT(U335:X335)=4,MAX(1,MIN(10,ROUNDUP(Y335+5,0))),"")</f>
        <v/>
      </c>
      <c r="AC335" s="6"/>
      <c r="AD335" s="6"/>
    </row>
    <row r="336" customFormat="false" ht="15" hidden="false" customHeight="true" outlineLevel="0" collapsed="false">
      <c r="A336" s="5" t="n">
        <v>335</v>
      </c>
      <c r="B336" s="5" t="s">
        <v>873</v>
      </c>
      <c r="C336" s="5" t="s">
        <v>203</v>
      </c>
      <c r="D336" s="5" t="s">
        <v>204</v>
      </c>
      <c r="E336" s="5" t="n">
        <v>308</v>
      </c>
      <c r="F336" s="5" t="s">
        <v>874</v>
      </c>
      <c r="G336" s="5" t="n">
        <v>4</v>
      </c>
      <c r="H336" s="5" t="s">
        <v>53</v>
      </c>
      <c r="I336" s="5" t="s">
        <v>81</v>
      </c>
      <c r="J336" s="5" t="s">
        <v>174</v>
      </c>
      <c r="K336" s="5" t="s">
        <v>175</v>
      </c>
      <c r="L336" s="5" t="n">
        <v>7</v>
      </c>
      <c r="M336" s="5" t="n">
        <v>1</v>
      </c>
      <c r="N336" s="5" t="n">
        <v>3</v>
      </c>
      <c r="O336" s="5" t="n">
        <v>8</v>
      </c>
      <c r="P336" s="5" t="n">
        <v>-2.5</v>
      </c>
      <c r="Q336" s="5" t="n">
        <v>3</v>
      </c>
      <c r="R336" s="5" t="n">
        <v>2</v>
      </c>
      <c r="S336" s="5" t="n">
        <v>3</v>
      </c>
      <c r="T336" s="5" t="s">
        <v>875</v>
      </c>
      <c r="U336" s="6"/>
      <c r="V336" s="6"/>
      <c r="W336" s="6"/>
      <c r="X336" s="6"/>
      <c r="Y336" s="7" t="str">
        <f aca="false">IF(COUNT(U336:X336)=4,(W336-X336)/2,"")</f>
        <v/>
      </c>
      <c r="Z336" s="7" t="str">
        <f aca="false">IF(COUNT(U336:X336)=4,(U336-V336)/2,"")</f>
        <v/>
      </c>
      <c r="AA336" s="7" t="str">
        <f aca="false">IF(COUNT(U336:X336)=4,MAX(1,MIN(10,ROUNDUP(5-Z336,0))),"")</f>
        <v/>
      </c>
      <c r="AB336" s="7" t="str">
        <f aca="false">IF(COUNT(U336:X336)=4,MAX(1,MIN(10,ROUNDUP(Y336+5,0))),"")</f>
        <v/>
      </c>
      <c r="AC336" s="6"/>
      <c r="AD336" s="6"/>
    </row>
    <row r="337" customFormat="false" ht="15" hidden="false" customHeight="true" outlineLevel="0" collapsed="false">
      <c r="A337" s="5" t="n">
        <v>336</v>
      </c>
      <c r="B337" s="5" t="s">
        <v>876</v>
      </c>
      <c r="C337" s="5" t="s">
        <v>108</v>
      </c>
      <c r="D337" s="5" t="s">
        <v>109</v>
      </c>
      <c r="E337" s="5" t="n">
        <v>307</v>
      </c>
      <c r="F337" s="5" t="s">
        <v>876</v>
      </c>
      <c r="G337" s="5" t="n">
        <v>2</v>
      </c>
      <c r="H337" s="5" t="s">
        <v>47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 t="s">
        <v>323</v>
      </c>
      <c r="U337" s="6"/>
      <c r="V337" s="6"/>
      <c r="W337" s="6"/>
      <c r="X337" s="6"/>
      <c r="Y337" s="7" t="str">
        <f aca="false">IF(COUNT(U337:X337)=4,(W337-X337)/2,"")</f>
        <v/>
      </c>
      <c r="Z337" s="7" t="str">
        <f aca="false">IF(COUNT(U337:X337)=4,(U337-V337)/2,"")</f>
        <v/>
      </c>
      <c r="AA337" s="7" t="str">
        <f aca="false">IF(COUNT(U337:X337)=4,MAX(1,MIN(10,ROUNDUP(5-Z337,0))),"")</f>
        <v/>
      </c>
      <c r="AB337" s="7" t="str">
        <f aca="false">IF(COUNT(U337:X337)=4,MAX(1,MIN(10,ROUNDUP(Y337+5,0))),"")</f>
        <v/>
      </c>
      <c r="AC337" s="6"/>
      <c r="AD337" s="6"/>
    </row>
    <row r="338" customFormat="false" ht="15" hidden="false" customHeight="true" outlineLevel="0" collapsed="false">
      <c r="A338" s="5" t="n">
        <v>337</v>
      </c>
      <c r="B338" s="5" t="s">
        <v>877</v>
      </c>
      <c r="C338" s="5" t="s">
        <v>171</v>
      </c>
      <c r="D338" s="5" t="s">
        <v>172</v>
      </c>
      <c r="E338" s="5" t="n">
        <v>306</v>
      </c>
      <c r="F338" s="5" t="s">
        <v>878</v>
      </c>
      <c r="G338" s="5" t="n">
        <v>4</v>
      </c>
      <c r="H338" s="5" t="s">
        <v>53</v>
      </c>
      <c r="I338" s="5" t="s">
        <v>54</v>
      </c>
      <c r="J338" s="5" t="s">
        <v>181</v>
      </c>
      <c r="K338" s="5" t="s">
        <v>309</v>
      </c>
      <c r="L338" s="5" t="n">
        <v>2</v>
      </c>
      <c r="M338" s="5" t="n">
        <v>5</v>
      </c>
      <c r="N338" s="5" t="n">
        <v>5</v>
      </c>
      <c r="O338" s="5" t="n">
        <v>4</v>
      </c>
      <c r="P338" s="5" t="n">
        <v>0.5</v>
      </c>
      <c r="Q338" s="5" t="n">
        <v>-1.5</v>
      </c>
      <c r="R338" s="5" t="n">
        <v>7</v>
      </c>
      <c r="S338" s="5" t="n">
        <v>6</v>
      </c>
      <c r="T338" s="5" t="s">
        <v>73</v>
      </c>
      <c r="U338" s="6"/>
      <c r="V338" s="6"/>
      <c r="W338" s="6"/>
      <c r="X338" s="6"/>
      <c r="Y338" s="7" t="str">
        <f aca="false">IF(COUNT(U338:X338)=4,(W338-X338)/2,"")</f>
        <v/>
      </c>
      <c r="Z338" s="7" t="str">
        <f aca="false">IF(COUNT(U338:X338)=4,(U338-V338)/2,"")</f>
        <v/>
      </c>
      <c r="AA338" s="7" t="str">
        <f aca="false">IF(COUNT(U338:X338)=4,MAX(1,MIN(10,ROUNDUP(5-Z338,0))),"")</f>
        <v/>
      </c>
      <c r="AB338" s="7" t="str">
        <f aca="false">IF(COUNT(U338:X338)=4,MAX(1,MIN(10,ROUNDUP(Y338+5,0))),"")</f>
        <v/>
      </c>
      <c r="AC338" s="6"/>
      <c r="AD338" s="6"/>
    </row>
    <row r="339" customFormat="false" ht="15" hidden="false" customHeight="true" outlineLevel="0" collapsed="false">
      <c r="A339" s="5" t="n">
        <v>338</v>
      </c>
      <c r="B339" s="5" t="s">
        <v>879</v>
      </c>
      <c r="C339" s="5" t="s">
        <v>171</v>
      </c>
      <c r="D339" s="5" t="s">
        <v>172</v>
      </c>
      <c r="E339" s="5" t="n">
        <v>306</v>
      </c>
      <c r="F339" s="5" t="s">
        <v>880</v>
      </c>
      <c r="G339" s="5" t="n">
        <v>4</v>
      </c>
      <c r="H339" s="5" t="s">
        <v>53</v>
      </c>
      <c r="I339" s="5" t="s">
        <v>54</v>
      </c>
      <c r="J339" s="5" t="s">
        <v>181</v>
      </c>
      <c r="K339" s="5" t="s">
        <v>279</v>
      </c>
      <c r="L339" s="5" t="n">
        <v>4</v>
      </c>
      <c r="M339" s="5" t="n">
        <v>4</v>
      </c>
      <c r="N339" s="5" t="n">
        <v>5</v>
      </c>
      <c r="O339" s="5" t="n">
        <v>7</v>
      </c>
      <c r="P339" s="5" t="n">
        <v>-1</v>
      </c>
      <c r="Q339" s="5" t="n">
        <v>0</v>
      </c>
      <c r="R339" s="5" t="n">
        <v>5</v>
      </c>
      <c r="S339" s="5" t="n">
        <v>4</v>
      </c>
      <c r="T339" s="5" t="s">
        <v>881</v>
      </c>
      <c r="U339" s="6"/>
      <c r="V339" s="6"/>
      <c r="W339" s="6"/>
      <c r="X339" s="6"/>
      <c r="Y339" s="7" t="str">
        <f aca="false">IF(COUNT(U339:X339)=4,(W339-X339)/2,"")</f>
        <v/>
      </c>
      <c r="Z339" s="7" t="str">
        <f aca="false">IF(COUNT(U339:X339)=4,(U339-V339)/2,"")</f>
        <v/>
      </c>
      <c r="AA339" s="7" t="str">
        <f aca="false">IF(COUNT(U339:X339)=4,MAX(1,MIN(10,ROUNDUP(5-Z339,0))),"")</f>
        <v/>
      </c>
      <c r="AB339" s="7" t="str">
        <f aca="false">IF(COUNT(U339:X339)=4,MAX(1,MIN(10,ROUNDUP(Y339+5,0))),"")</f>
        <v/>
      </c>
      <c r="AC339" s="6"/>
      <c r="AD339" s="6"/>
    </row>
    <row r="340" customFormat="false" ht="15" hidden="false" customHeight="true" outlineLevel="0" collapsed="false">
      <c r="A340" s="5" t="n">
        <v>339</v>
      </c>
      <c r="B340" s="5" t="s">
        <v>882</v>
      </c>
      <c r="C340" s="5" t="s">
        <v>145</v>
      </c>
      <c r="D340" s="5" t="s">
        <v>51</v>
      </c>
      <c r="E340" s="5" t="n">
        <v>304</v>
      </c>
      <c r="F340" s="5" t="s">
        <v>883</v>
      </c>
      <c r="G340" s="5" t="n">
        <v>4</v>
      </c>
      <c r="H340" s="5" t="s">
        <v>53</v>
      </c>
      <c r="I340" s="5" t="s">
        <v>54</v>
      </c>
      <c r="J340" s="5" t="s">
        <v>55</v>
      </c>
      <c r="K340" s="5" t="s">
        <v>55</v>
      </c>
      <c r="L340" s="5" t="n">
        <v>4</v>
      </c>
      <c r="M340" s="5" t="n">
        <v>3</v>
      </c>
      <c r="N340" s="5" t="n">
        <v>9</v>
      </c>
      <c r="O340" s="5" t="n">
        <v>2</v>
      </c>
      <c r="P340" s="5" t="n">
        <v>3.5</v>
      </c>
      <c r="Q340" s="5" t="n">
        <v>0.5</v>
      </c>
      <c r="R340" s="5" t="n">
        <v>5</v>
      </c>
      <c r="S340" s="5" t="n">
        <v>9</v>
      </c>
      <c r="T340" s="5" t="s">
        <v>884</v>
      </c>
      <c r="U340" s="6"/>
      <c r="V340" s="6"/>
      <c r="W340" s="6"/>
      <c r="X340" s="6"/>
      <c r="Y340" s="7" t="str">
        <f aca="false">IF(COUNT(U340:X340)=4,(W340-X340)/2,"")</f>
        <v/>
      </c>
      <c r="Z340" s="7" t="str">
        <f aca="false">IF(COUNT(U340:X340)=4,(U340-V340)/2,"")</f>
        <v/>
      </c>
      <c r="AA340" s="7" t="str">
        <f aca="false">IF(COUNT(U340:X340)=4,MAX(1,MIN(10,ROUNDUP(5-Z340,0))),"")</f>
        <v/>
      </c>
      <c r="AB340" s="7" t="str">
        <f aca="false">IF(COUNT(U340:X340)=4,MAX(1,MIN(10,ROUNDUP(Y340+5,0))),"")</f>
        <v/>
      </c>
      <c r="AC340" s="6"/>
      <c r="AD340" s="6"/>
    </row>
    <row r="341" customFormat="false" ht="15" hidden="false" customHeight="true" outlineLevel="0" collapsed="false">
      <c r="A341" s="5" t="n">
        <v>340</v>
      </c>
      <c r="B341" s="5" t="s">
        <v>885</v>
      </c>
      <c r="C341" s="5" t="s">
        <v>145</v>
      </c>
      <c r="D341" s="5" t="s">
        <v>51</v>
      </c>
      <c r="E341" s="5" t="n">
        <v>304</v>
      </c>
      <c r="F341" s="5" t="s">
        <v>886</v>
      </c>
      <c r="G341" s="5" t="n">
        <v>4</v>
      </c>
      <c r="H341" s="5" t="s">
        <v>53</v>
      </c>
      <c r="I341" s="5" t="s">
        <v>54</v>
      </c>
      <c r="J341" s="5" t="s">
        <v>181</v>
      </c>
      <c r="K341" s="5" t="s">
        <v>840</v>
      </c>
      <c r="L341" s="5" t="n">
        <v>10</v>
      </c>
      <c r="M341" s="5" t="n">
        <v>1</v>
      </c>
      <c r="N341" s="5" t="n">
        <v>10</v>
      </c>
      <c r="O341" s="5" t="n">
        <v>2</v>
      </c>
      <c r="P341" s="5" t="n">
        <v>4</v>
      </c>
      <c r="Q341" s="5" t="n">
        <v>4.5</v>
      </c>
      <c r="R341" s="5" t="n">
        <v>1</v>
      </c>
      <c r="S341" s="5" t="n">
        <v>9</v>
      </c>
      <c r="T341" s="5" t="s">
        <v>887</v>
      </c>
      <c r="U341" s="6"/>
      <c r="V341" s="6"/>
      <c r="W341" s="6"/>
      <c r="X341" s="6"/>
      <c r="Y341" s="7" t="str">
        <f aca="false">IF(COUNT(U341:X341)=4,(W341-X341)/2,"")</f>
        <v/>
      </c>
      <c r="Z341" s="7" t="str">
        <f aca="false">IF(COUNT(U341:X341)=4,(U341-V341)/2,"")</f>
        <v/>
      </c>
      <c r="AA341" s="7" t="str">
        <f aca="false">IF(COUNT(U341:X341)=4,MAX(1,MIN(10,ROUNDUP(5-Z341,0))),"")</f>
        <v/>
      </c>
      <c r="AB341" s="7" t="str">
        <f aca="false">IF(COUNT(U341:X341)=4,MAX(1,MIN(10,ROUNDUP(Y341+5,0))),"")</f>
        <v/>
      </c>
      <c r="AC341" s="6"/>
      <c r="AD341" s="6"/>
    </row>
    <row r="342" customFormat="false" ht="15" hidden="false" customHeight="true" outlineLevel="0" collapsed="false">
      <c r="A342" s="5" t="n">
        <v>341</v>
      </c>
      <c r="B342" s="5" t="s">
        <v>888</v>
      </c>
      <c r="C342" s="5" t="s">
        <v>79</v>
      </c>
      <c r="D342" s="5" t="s">
        <v>80</v>
      </c>
      <c r="E342" s="5" t="n">
        <v>304</v>
      </c>
      <c r="F342" s="5" t="s">
        <v>888</v>
      </c>
      <c r="G342" s="5" t="n">
        <v>3</v>
      </c>
      <c r="H342" s="5" t="s">
        <v>53</v>
      </c>
      <c r="I342" s="5" t="s">
        <v>81</v>
      </c>
      <c r="J342" s="5" t="s">
        <v>79</v>
      </c>
      <c r="K342" s="5" t="s">
        <v>86</v>
      </c>
      <c r="L342" s="5" t="n">
        <v>0</v>
      </c>
      <c r="M342" s="5" t="n">
        <v>10</v>
      </c>
      <c r="N342" s="5" t="n">
        <v>5</v>
      </c>
      <c r="O342" s="5" t="n">
        <v>5</v>
      </c>
      <c r="P342" s="5" t="n">
        <v>0</v>
      </c>
      <c r="Q342" s="5" t="n">
        <v>-5</v>
      </c>
      <c r="R342" s="5" t="n">
        <v>10</v>
      </c>
      <c r="S342" s="5" t="n">
        <v>5</v>
      </c>
      <c r="T342" s="5" t="s">
        <v>889</v>
      </c>
      <c r="U342" s="6"/>
      <c r="V342" s="6"/>
      <c r="W342" s="6"/>
      <c r="X342" s="6"/>
      <c r="Y342" s="7" t="str">
        <f aca="false">IF(COUNT(U342:X342)=4,(W342-X342)/2,"")</f>
        <v/>
      </c>
      <c r="Z342" s="7" t="str">
        <f aca="false">IF(COUNT(U342:X342)=4,(U342-V342)/2,"")</f>
        <v/>
      </c>
      <c r="AA342" s="7" t="str">
        <f aca="false">IF(COUNT(U342:X342)=4,MAX(1,MIN(10,ROUNDUP(5-Z342,0))),"")</f>
        <v/>
      </c>
      <c r="AB342" s="7" t="str">
        <f aca="false">IF(COUNT(U342:X342)=4,MAX(1,MIN(10,ROUNDUP(Y342+5,0))),"")</f>
        <v/>
      </c>
      <c r="AC342" s="6"/>
      <c r="AD342" s="6"/>
    </row>
    <row r="343" customFormat="false" ht="15" hidden="false" customHeight="true" outlineLevel="0" collapsed="false">
      <c r="A343" s="5" t="n">
        <v>342</v>
      </c>
      <c r="B343" s="5" t="s">
        <v>890</v>
      </c>
      <c r="C343" s="5" t="s">
        <v>171</v>
      </c>
      <c r="D343" s="5" t="s">
        <v>172</v>
      </c>
      <c r="E343" s="5" t="n">
        <v>304</v>
      </c>
      <c r="F343" s="5" t="s">
        <v>891</v>
      </c>
      <c r="G343" s="5" t="n">
        <v>4</v>
      </c>
      <c r="H343" s="5" t="s">
        <v>53</v>
      </c>
      <c r="I343" s="5" t="s">
        <v>54</v>
      </c>
      <c r="J343" s="5" t="s">
        <v>181</v>
      </c>
      <c r="K343" s="5" t="s">
        <v>223</v>
      </c>
      <c r="L343" s="5" t="n">
        <v>3</v>
      </c>
      <c r="M343" s="5" t="n">
        <v>4</v>
      </c>
      <c r="N343" s="5" t="n">
        <v>8</v>
      </c>
      <c r="O343" s="5" t="n">
        <v>3</v>
      </c>
      <c r="P343" s="5" t="n">
        <v>2.5</v>
      </c>
      <c r="Q343" s="5" t="n">
        <v>-0.5</v>
      </c>
      <c r="R343" s="5" t="n">
        <v>6</v>
      </c>
      <c r="S343" s="5" t="n">
        <v>8</v>
      </c>
      <c r="T343" s="5" t="s">
        <v>892</v>
      </c>
      <c r="U343" s="6"/>
      <c r="V343" s="6"/>
      <c r="W343" s="6"/>
      <c r="X343" s="6"/>
      <c r="Y343" s="7" t="str">
        <f aca="false">IF(COUNT(U343:X343)=4,(W343-X343)/2,"")</f>
        <v/>
      </c>
      <c r="Z343" s="7" t="str">
        <f aca="false">IF(COUNT(U343:X343)=4,(U343-V343)/2,"")</f>
        <v/>
      </c>
      <c r="AA343" s="7" t="str">
        <f aca="false">IF(COUNT(U343:X343)=4,MAX(1,MIN(10,ROUNDUP(5-Z343,0))),"")</f>
        <v/>
      </c>
      <c r="AB343" s="7" t="str">
        <f aca="false">IF(COUNT(U343:X343)=4,MAX(1,MIN(10,ROUNDUP(Y343+5,0))),"")</f>
        <v/>
      </c>
      <c r="AC343" s="6"/>
      <c r="AD343" s="6"/>
    </row>
    <row r="344" customFormat="false" ht="15" hidden="false" customHeight="true" outlineLevel="0" collapsed="false">
      <c r="A344" s="5" t="n">
        <v>343</v>
      </c>
      <c r="B344" s="5" t="s">
        <v>893</v>
      </c>
      <c r="C344" s="5" t="s">
        <v>171</v>
      </c>
      <c r="D344" s="5" t="s">
        <v>172</v>
      </c>
      <c r="E344" s="5" t="n">
        <v>303</v>
      </c>
      <c r="F344" s="5" t="s">
        <v>894</v>
      </c>
      <c r="G344" s="5" t="n">
        <v>4</v>
      </c>
      <c r="H344" s="5" t="s">
        <v>53</v>
      </c>
      <c r="I344" s="5" t="s">
        <v>54</v>
      </c>
      <c r="J344" s="5" t="s">
        <v>181</v>
      </c>
      <c r="K344" s="5" t="s">
        <v>235</v>
      </c>
      <c r="L344" s="5" t="n">
        <v>4</v>
      </c>
      <c r="M344" s="5" t="n">
        <v>4</v>
      </c>
      <c r="N344" s="5" t="n">
        <v>7</v>
      </c>
      <c r="O344" s="5" t="n">
        <v>4</v>
      </c>
      <c r="P344" s="5" t="n">
        <v>1.5</v>
      </c>
      <c r="Q344" s="5" t="n">
        <v>0</v>
      </c>
      <c r="R344" s="5" t="n">
        <v>5</v>
      </c>
      <c r="S344" s="5" t="n">
        <v>7</v>
      </c>
      <c r="T344" s="5" t="s">
        <v>485</v>
      </c>
      <c r="U344" s="6"/>
      <c r="V344" s="6"/>
      <c r="W344" s="6"/>
      <c r="X344" s="6"/>
      <c r="Y344" s="7" t="str">
        <f aca="false">IF(COUNT(U344:X344)=4,(W344-X344)/2,"")</f>
        <v/>
      </c>
      <c r="Z344" s="7" t="str">
        <f aca="false">IF(COUNT(U344:X344)=4,(U344-V344)/2,"")</f>
        <v/>
      </c>
      <c r="AA344" s="7" t="str">
        <f aca="false">IF(COUNT(U344:X344)=4,MAX(1,MIN(10,ROUNDUP(5-Z344,0))),"")</f>
        <v/>
      </c>
      <c r="AB344" s="7" t="str">
        <f aca="false">IF(COUNT(U344:X344)=4,MAX(1,MIN(10,ROUNDUP(Y344+5,0))),"")</f>
        <v/>
      </c>
      <c r="AC344" s="6"/>
      <c r="AD344" s="6"/>
    </row>
    <row r="345" customFormat="false" ht="15" hidden="false" customHeight="true" outlineLevel="0" collapsed="false">
      <c r="A345" s="5" t="n">
        <v>344</v>
      </c>
      <c r="B345" s="5" t="s">
        <v>895</v>
      </c>
      <c r="C345" s="5" t="s">
        <v>203</v>
      </c>
      <c r="D345" s="5" t="s">
        <v>204</v>
      </c>
      <c r="E345" s="5" t="n">
        <v>302</v>
      </c>
      <c r="F345" s="5" t="s">
        <v>896</v>
      </c>
      <c r="G345" s="5" t="n">
        <v>4</v>
      </c>
      <c r="H345" s="5" t="s">
        <v>53</v>
      </c>
      <c r="I345" s="5" t="s">
        <v>54</v>
      </c>
      <c r="J345" s="5" t="s">
        <v>117</v>
      </c>
      <c r="K345" s="5" t="s">
        <v>117</v>
      </c>
      <c r="L345" s="5" t="n">
        <v>3</v>
      </c>
      <c r="M345" s="5" t="n">
        <v>1</v>
      </c>
      <c r="N345" s="5" t="n">
        <v>8</v>
      </c>
      <c r="O345" s="5" t="n">
        <v>2</v>
      </c>
      <c r="P345" s="5" t="n">
        <v>3</v>
      </c>
      <c r="Q345" s="5" t="n">
        <v>1</v>
      </c>
      <c r="R345" s="5" t="n">
        <v>4</v>
      </c>
      <c r="S345" s="5" t="n">
        <v>8</v>
      </c>
      <c r="T345" s="5" t="s">
        <v>897</v>
      </c>
      <c r="U345" s="6"/>
      <c r="V345" s="6"/>
      <c r="W345" s="6"/>
      <c r="X345" s="6"/>
      <c r="Y345" s="7" t="str">
        <f aca="false">IF(COUNT(U345:X345)=4,(W345-X345)/2,"")</f>
        <v/>
      </c>
      <c r="Z345" s="7" t="str">
        <f aca="false">IF(COUNT(U345:X345)=4,(U345-V345)/2,"")</f>
        <v/>
      </c>
      <c r="AA345" s="7" t="str">
        <f aca="false">IF(COUNT(U345:X345)=4,MAX(1,MIN(10,ROUNDUP(5-Z345,0))),"")</f>
        <v/>
      </c>
      <c r="AB345" s="7" t="str">
        <f aca="false">IF(COUNT(U345:X345)=4,MAX(1,MIN(10,ROUNDUP(Y345+5,0))),"")</f>
        <v/>
      </c>
      <c r="AC345" s="6"/>
      <c r="AD345" s="6"/>
    </row>
    <row r="346" customFormat="false" ht="15" hidden="false" customHeight="true" outlineLevel="0" collapsed="false">
      <c r="A346" s="5" t="n">
        <v>345</v>
      </c>
      <c r="B346" s="5" t="s">
        <v>898</v>
      </c>
      <c r="C346" s="5" t="s">
        <v>171</v>
      </c>
      <c r="D346" s="5" t="s">
        <v>172</v>
      </c>
      <c r="E346" s="5" t="n">
        <v>302</v>
      </c>
      <c r="F346" s="5" t="s">
        <v>898</v>
      </c>
      <c r="G346" s="5" t="n">
        <v>4</v>
      </c>
      <c r="H346" s="5" t="s">
        <v>53</v>
      </c>
      <c r="I346" s="5" t="s">
        <v>54</v>
      </c>
      <c r="J346" s="5" t="s">
        <v>181</v>
      </c>
      <c r="K346" s="5" t="s">
        <v>309</v>
      </c>
      <c r="L346" s="5" t="n">
        <v>2</v>
      </c>
      <c r="M346" s="5" t="n">
        <v>5</v>
      </c>
      <c r="N346" s="5" t="n">
        <v>5</v>
      </c>
      <c r="O346" s="5" t="n">
        <v>4</v>
      </c>
      <c r="P346" s="5" t="n">
        <v>0.5</v>
      </c>
      <c r="Q346" s="5" t="n">
        <v>-1.5</v>
      </c>
      <c r="R346" s="5" t="n">
        <v>7</v>
      </c>
      <c r="S346" s="5" t="n">
        <v>6</v>
      </c>
      <c r="T346" s="5" t="s">
        <v>899</v>
      </c>
      <c r="U346" s="6"/>
      <c r="V346" s="6"/>
      <c r="W346" s="6"/>
      <c r="X346" s="6"/>
      <c r="Y346" s="7" t="str">
        <f aca="false">IF(COUNT(U346:X346)=4,(W346-X346)/2,"")</f>
        <v/>
      </c>
      <c r="Z346" s="7" t="str">
        <f aca="false">IF(COUNT(U346:X346)=4,(U346-V346)/2,"")</f>
        <v/>
      </c>
      <c r="AA346" s="7" t="str">
        <f aca="false">IF(COUNT(U346:X346)=4,MAX(1,MIN(10,ROUNDUP(5-Z346,0))),"")</f>
        <v/>
      </c>
      <c r="AB346" s="7" t="str">
        <f aca="false">IF(COUNT(U346:X346)=4,MAX(1,MIN(10,ROUNDUP(Y346+5,0))),"")</f>
        <v/>
      </c>
      <c r="AC346" s="6"/>
      <c r="AD346" s="6"/>
    </row>
    <row r="347" customFormat="false" ht="15" hidden="false" customHeight="true" outlineLevel="0" collapsed="false">
      <c r="A347" s="5" t="n">
        <v>346</v>
      </c>
      <c r="B347" s="5" t="s">
        <v>900</v>
      </c>
      <c r="C347" s="5" t="s">
        <v>171</v>
      </c>
      <c r="D347" s="5" t="s">
        <v>172</v>
      </c>
      <c r="E347" s="5" t="n">
        <v>300</v>
      </c>
      <c r="F347" s="5" t="s">
        <v>901</v>
      </c>
      <c r="G347" s="5" t="n">
        <v>4</v>
      </c>
      <c r="H347" s="5" t="s">
        <v>53</v>
      </c>
      <c r="I347" s="5" t="s">
        <v>54</v>
      </c>
      <c r="J347" s="5" t="s">
        <v>181</v>
      </c>
      <c r="K347" s="5" t="s">
        <v>279</v>
      </c>
      <c r="L347" s="5" t="n">
        <v>4</v>
      </c>
      <c r="M347" s="5" t="n">
        <v>4</v>
      </c>
      <c r="N347" s="5" t="n">
        <v>5</v>
      </c>
      <c r="O347" s="5" t="n">
        <v>7</v>
      </c>
      <c r="P347" s="5" t="n">
        <v>-1</v>
      </c>
      <c r="Q347" s="5" t="n">
        <v>0</v>
      </c>
      <c r="R347" s="5" t="n">
        <v>5</v>
      </c>
      <c r="S347" s="5" t="n">
        <v>4</v>
      </c>
      <c r="T347" s="5" t="s">
        <v>902</v>
      </c>
      <c r="U347" s="6"/>
      <c r="V347" s="6"/>
      <c r="W347" s="6"/>
      <c r="X347" s="6"/>
      <c r="Y347" s="7" t="str">
        <f aca="false">IF(COUNT(U347:X347)=4,(W347-X347)/2,"")</f>
        <v/>
      </c>
      <c r="Z347" s="7" t="str">
        <f aca="false">IF(COUNT(U347:X347)=4,(U347-V347)/2,"")</f>
        <v/>
      </c>
      <c r="AA347" s="7" t="str">
        <f aca="false">IF(COUNT(U347:X347)=4,MAX(1,MIN(10,ROUNDUP(5-Z347,0))),"")</f>
        <v/>
      </c>
      <c r="AB347" s="7" t="str">
        <f aca="false">IF(COUNT(U347:X347)=4,MAX(1,MIN(10,ROUNDUP(Y347+5,0))),"")</f>
        <v/>
      </c>
      <c r="AC347" s="6"/>
      <c r="AD347" s="6"/>
    </row>
    <row r="348" customFormat="false" ht="15" hidden="false" customHeight="true" outlineLevel="0" collapsed="false">
      <c r="A348" s="5" t="n">
        <v>347</v>
      </c>
      <c r="B348" s="5" t="s">
        <v>903</v>
      </c>
      <c r="C348" s="5" t="s">
        <v>171</v>
      </c>
      <c r="D348" s="5" t="s">
        <v>172</v>
      </c>
      <c r="E348" s="5" t="n">
        <v>300</v>
      </c>
      <c r="F348" s="5" t="s">
        <v>904</v>
      </c>
      <c r="G348" s="5" t="n">
        <v>4</v>
      </c>
      <c r="H348" s="5" t="s">
        <v>53</v>
      </c>
      <c r="I348" s="5" t="s">
        <v>54</v>
      </c>
      <c r="J348" s="5" t="s">
        <v>181</v>
      </c>
      <c r="K348" s="5" t="s">
        <v>443</v>
      </c>
      <c r="L348" s="5" t="n">
        <v>5</v>
      </c>
      <c r="M348" s="5" t="n">
        <v>3</v>
      </c>
      <c r="N348" s="5" t="n">
        <v>4</v>
      </c>
      <c r="O348" s="5" t="n">
        <v>8</v>
      </c>
      <c r="P348" s="5" t="n">
        <v>-2</v>
      </c>
      <c r="Q348" s="5" t="n">
        <v>1</v>
      </c>
      <c r="R348" s="5" t="n">
        <v>4</v>
      </c>
      <c r="S348" s="5" t="n">
        <v>3</v>
      </c>
      <c r="T348" s="5" t="s">
        <v>905</v>
      </c>
      <c r="U348" s="6"/>
      <c r="V348" s="6"/>
      <c r="W348" s="6"/>
      <c r="X348" s="6"/>
      <c r="Y348" s="7" t="str">
        <f aca="false">IF(COUNT(U348:X348)=4,(W348-X348)/2,"")</f>
        <v/>
      </c>
      <c r="Z348" s="7" t="str">
        <f aca="false">IF(COUNT(U348:X348)=4,(U348-V348)/2,"")</f>
        <v/>
      </c>
      <c r="AA348" s="7" t="str">
        <f aca="false">IF(COUNT(U348:X348)=4,MAX(1,MIN(10,ROUNDUP(5-Z348,0))),"")</f>
        <v/>
      </c>
      <c r="AB348" s="7" t="str">
        <f aca="false">IF(COUNT(U348:X348)=4,MAX(1,MIN(10,ROUNDUP(Y348+5,0))),"")</f>
        <v/>
      </c>
      <c r="AC348" s="6"/>
      <c r="AD348" s="6"/>
    </row>
    <row r="349" customFormat="false" ht="15" hidden="false" customHeight="true" outlineLevel="0" collapsed="false">
      <c r="A349" s="5" t="n">
        <v>348</v>
      </c>
      <c r="B349" s="5" t="s">
        <v>906</v>
      </c>
      <c r="C349" s="5" t="s">
        <v>171</v>
      </c>
      <c r="D349" s="5" t="s">
        <v>172</v>
      </c>
      <c r="E349" s="5" t="n">
        <v>300</v>
      </c>
      <c r="F349" s="5" t="s">
        <v>907</v>
      </c>
      <c r="G349" s="5" t="n">
        <v>4</v>
      </c>
      <c r="H349" s="5" t="s">
        <v>53</v>
      </c>
      <c r="I349" s="5" t="s">
        <v>54</v>
      </c>
      <c r="J349" s="5" t="s">
        <v>181</v>
      </c>
      <c r="K349" s="5" t="s">
        <v>223</v>
      </c>
      <c r="L349" s="5" t="n">
        <v>4</v>
      </c>
      <c r="M349" s="5" t="n">
        <v>4</v>
      </c>
      <c r="N349" s="5" t="n">
        <v>6</v>
      </c>
      <c r="O349" s="5" t="n">
        <v>5</v>
      </c>
      <c r="P349" s="5" t="n">
        <v>0.5</v>
      </c>
      <c r="Q349" s="5" t="n">
        <v>0</v>
      </c>
      <c r="R349" s="5" t="n">
        <v>5</v>
      </c>
      <c r="S349" s="5" t="n">
        <v>6</v>
      </c>
      <c r="T349" s="5" t="s">
        <v>60</v>
      </c>
      <c r="U349" s="6"/>
      <c r="V349" s="6"/>
      <c r="W349" s="6"/>
      <c r="X349" s="6"/>
      <c r="Y349" s="7" t="str">
        <f aca="false">IF(COUNT(U349:X349)=4,(W349-X349)/2,"")</f>
        <v/>
      </c>
      <c r="Z349" s="7" t="str">
        <f aca="false">IF(COUNT(U349:X349)=4,(U349-V349)/2,"")</f>
        <v/>
      </c>
      <c r="AA349" s="7" t="str">
        <f aca="false">IF(COUNT(U349:X349)=4,MAX(1,MIN(10,ROUNDUP(5-Z349,0))),"")</f>
        <v/>
      </c>
      <c r="AB349" s="7" t="str">
        <f aca="false">IF(COUNT(U349:X349)=4,MAX(1,MIN(10,ROUNDUP(Y349+5,0))),"")</f>
        <v/>
      </c>
      <c r="AC349" s="6"/>
      <c r="AD349" s="6"/>
    </row>
    <row r="350" customFormat="false" ht="15" hidden="false" customHeight="true" outlineLevel="0" collapsed="false">
      <c r="A350" s="5" t="n">
        <v>349</v>
      </c>
      <c r="B350" s="5" t="s">
        <v>908</v>
      </c>
      <c r="C350" s="5" t="s">
        <v>145</v>
      </c>
      <c r="D350" s="5" t="s">
        <v>51</v>
      </c>
      <c r="E350" s="5" t="n">
        <v>300</v>
      </c>
      <c r="F350" s="5" t="s">
        <v>909</v>
      </c>
      <c r="G350" s="5" t="n">
        <v>4</v>
      </c>
      <c r="H350" s="5" t="s">
        <v>53</v>
      </c>
      <c r="I350" s="5" t="s">
        <v>54</v>
      </c>
      <c r="J350" s="5" t="s">
        <v>55</v>
      </c>
      <c r="K350" s="5" t="s">
        <v>55</v>
      </c>
      <c r="L350" s="5" t="n">
        <v>4</v>
      </c>
      <c r="M350" s="5" t="n">
        <v>3</v>
      </c>
      <c r="N350" s="5" t="n">
        <v>3</v>
      </c>
      <c r="O350" s="5" t="n">
        <v>6</v>
      </c>
      <c r="P350" s="5" t="n">
        <v>-1.5</v>
      </c>
      <c r="Q350" s="5" t="n">
        <v>0.5</v>
      </c>
      <c r="R350" s="5" t="n">
        <v>5</v>
      </c>
      <c r="S350" s="5" t="n">
        <v>4</v>
      </c>
      <c r="T350" s="5" t="s">
        <v>130</v>
      </c>
      <c r="U350" s="6"/>
      <c r="V350" s="6"/>
      <c r="W350" s="6"/>
      <c r="X350" s="6"/>
      <c r="Y350" s="7" t="str">
        <f aca="false">IF(COUNT(U350:X350)=4,(W350-X350)/2,"")</f>
        <v/>
      </c>
      <c r="Z350" s="7" t="str">
        <f aca="false">IF(COUNT(U350:X350)=4,(U350-V350)/2,"")</f>
        <v/>
      </c>
      <c r="AA350" s="7" t="str">
        <f aca="false">IF(COUNT(U350:X350)=4,MAX(1,MIN(10,ROUNDUP(5-Z350,0))),"")</f>
        <v/>
      </c>
      <c r="AB350" s="7" t="str">
        <f aca="false">IF(COUNT(U350:X350)=4,MAX(1,MIN(10,ROUNDUP(Y350+5,0))),"")</f>
        <v/>
      </c>
      <c r="AC350" s="6"/>
      <c r="AD350" s="6"/>
    </row>
    <row r="351" customFormat="false" ht="15" hidden="false" customHeight="true" outlineLevel="0" collapsed="false">
      <c r="A351" s="5" t="n">
        <v>350</v>
      </c>
      <c r="B351" s="5" t="s">
        <v>910</v>
      </c>
      <c r="C351" s="5" t="s">
        <v>171</v>
      </c>
      <c r="D351" s="5" t="s">
        <v>172</v>
      </c>
      <c r="E351" s="5" t="n">
        <v>300</v>
      </c>
      <c r="F351" s="5" t="s">
        <v>911</v>
      </c>
      <c r="G351" s="5" t="n">
        <v>4</v>
      </c>
      <c r="H351" s="5" t="s">
        <v>53</v>
      </c>
      <c r="I351" s="5" t="s">
        <v>54</v>
      </c>
      <c r="J351" s="5" t="s">
        <v>181</v>
      </c>
      <c r="K351" s="5" t="s">
        <v>279</v>
      </c>
      <c r="L351" s="5" t="n">
        <v>4</v>
      </c>
      <c r="M351" s="5" t="n">
        <v>4</v>
      </c>
      <c r="N351" s="5" t="n">
        <v>5</v>
      </c>
      <c r="O351" s="5" t="n">
        <v>7</v>
      </c>
      <c r="P351" s="5" t="n">
        <v>-1</v>
      </c>
      <c r="Q351" s="5" t="n">
        <v>0</v>
      </c>
      <c r="R351" s="5" t="n">
        <v>5</v>
      </c>
      <c r="S351" s="5" t="n">
        <v>4</v>
      </c>
      <c r="T351" s="5" t="s">
        <v>912</v>
      </c>
      <c r="U351" s="6"/>
      <c r="V351" s="6"/>
      <c r="W351" s="6"/>
      <c r="X351" s="6"/>
      <c r="Y351" s="7" t="str">
        <f aca="false">IF(COUNT(U351:X351)=4,(W351-X351)/2,"")</f>
        <v/>
      </c>
      <c r="Z351" s="7" t="str">
        <f aca="false">IF(COUNT(U351:X351)=4,(U351-V351)/2,"")</f>
        <v/>
      </c>
      <c r="AA351" s="7" t="str">
        <f aca="false">IF(COUNT(U351:X351)=4,MAX(1,MIN(10,ROUNDUP(5-Z351,0))),"")</f>
        <v/>
      </c>
      <c r="AB351" s="7" t="str">
        <f aca="false">IF(COUNT(U351:X351)=4,MAX(1,MIN(10,ROUNDUP(Y351+5,0))),"")</f>
        <v/>
      </c>
      <c r="AC351" s="6"/>
      <c r="AD351" s="6"/>
    </row>
    <row r="352" customFormat="false" ht="15" hidden="false" customHeight="true" outlineLevel="0" collapsed="false">
      <c r="A352" s="5" t="n">
        <v>351</v>
      </c>
      <c r="B352" s="5" t="s">
        <v>913</v>
      </c>
      <c r="C352" s="5" t="s">
        <v>145</v>
      </c>
      <c r="D352" s="5" t="s">
        <v>51</v>
      </c>
      <c r="E352" s="5" t="n">
        <v>299</v>
      </c>
      <c r="F352" s="5" t="s">
        <v>914</v>
      </c>
      <c r="G352" s="5" t="n">
        <v>4</v>
      </c>
      <c r="H352" s="5" t="s">
        <v>53</v>
      </c>
      <c r="I352" s="5" t="s">
        <v>54</v>
      </c>
      <c r="J352" s="5" t="s">
        <v>55</v>
      </c>
      <c r="K352" s="5" t="s">
        <v>55</v>
      </c>
      <c r="L352" s="5" t="n">
        <v>4</v>
      </c>
      <c r="M352" s="5" t="n">
        <v>3</v>
      </c>
      <c r="N352" s="5" t="n">
        <v>6</v>
      </c>
      <c r="O352" s="5" t="n">
        <v>4</v>
      </c>
      <c r="P352" s="5" t="n">
        <v>1</v>
      </c>
      <c r="Q352" s="5" t="n">
        <v>0.5</v>
      </c>
      <c r="R352" s="5" t="n">
        <v>5</v>
      </c>
      <c r="S352" s="5" t="n">
        <v>6</v>
      </c>
      <c r="T352" s="5" t="s">
        <v>915</v>
      </c>
      <c r="U352" s="6"/>
      <c r="V352" s="6"/>
      <c r="W352" s="6"/>
      <c r="X352" s="6"/>
      <c r="Y352" s="7" t="str">
        <f aca="false">IF(COUNT(U352:X352)=4,(W352-X352)/2,"")</f>
        <v/>
      </c>
      <c r="Z352" s="7" t="str">
        <f aca="false">IF(COUNT(U352:X352)=4,(U352-V352)/2,"")</f>
        <v/>
      </c>
      <c r="AA352" s="7" t="str">
        <f aca="false">IF(COUNT(U352:X352)=4,MAX(1,MIN(10,ROUNDUP(5-Z352,0))),"")</f>
        <v/>
      </c>
      <c r="AB352" s="7" t="str">
        <f aca="false">IF(COUNT(U352:X352)=4,MAX(1,MIN(10,ROUNDUP(Y352+5,0))),"")</f>
        <v/>
      </c>
      <c r="AC352" s="6"/>
      <c r="AD352" s="6"/>
    </row>
    <row r="353" customFormat="false" ht="15" hidden="false" customHeight="true" outlineLevel="0" collapsed="false">
      <c r="A353" s="5" t="n">
        <v>352</v>
      </c>
      <c r="B353" s="5" t="s">
        <v>916</v>
      </c>
      <c r="C353" s="5" t="s">
        <v>171</v>
      </c>
      <c r="D353" s="5" t="s">
        <v>172</v>
      </c>
      <c r="E353" s="5" t="n">
        <v>299</v>
      </c>
      <c r="F353" s="5" t="s">
        <v>917</v>
      </c>
      <c r="G353" s="5" t="n">
        <v>4</v>
      </c>
      <c r="H353" s="5" t="s">
        <v>53</v>
      </c>
      <c r="I353" s="5" t="s">
        <v>54</v>
      </c>
      <c r="J353" s="5" t="s">
        <v>181</v>
      </c>
      <c r="K353" s="5" t="s">
        <v>235</v>
      </c>
      <c r="L353" s="5" t="n">
        <v>4</v>
      </c>
      <c r="M353" s="5" t="n">
        <v>4</v>
      </c>
      <c r="N353" s="5" t="n">
        <v>7</v>
      </c>
      <c r="O353" s="5" t="n">
        <v>4</v>
      </c>
      <c r="P353" s="5" t="n">
        <v>1.5</v>
      </c>
      <c r="Q353" s="5" t="n">
        <v>0</v>
      </c>
      <c r="R353" s="5" t="n">
        <v>5</v>
      </c>
      <c r="S353" s="5" t="n">
        <v>7</v>
      </c>
      <c r="T353" s="5" t="s">
        <v>918</v>
      </c>
      <c r="U353" s="6"/>
      <c r="V353" s="6"/>
      <c r="W353" s="6"/>
      <c r="X353" s="6"/>
      <c r="Y353" s="7" t="str">
        <f aca="false">IF(COUNT(U353:X353)=4,(W353-X353)/2,"")</f>
        <v/>
      </c>
      <c r="Z353" s="7" t="str">
        <f aca="false">IF(COUNT(U353:X353)=4,(U353-V353)/2,"")</f>
        <v/>
      </c>
      <c r="AA353" s="7" t="str">
        <f aca="false">IF(COUNT(U353:X353)=4,MAX(1,MIN(10,ROUNDUP(5-Z353,0))),"")</f>
        <v/>
      </c>
      <c r="AB353" s="7" t="str">
        <f aca="false">IF(COUNT(U353:X353)=4,MAX(1,MIN(10,ROUNDUP(Y353+5,0))),"")</f>
        <v/>
      </c>
      <c r="AC353" s="6"/>
      <c r="AD353" s="6"/>
    </row>
    <row r="354" customFormat="false" ht="15" hidden="false" customHeight="true" outlineLevel="0" collapsed="false">
      <c r="A354" s="5" t="n">
        <v>353</v>
      </c>
      <c r="B354" s="5" t="s">
        <v>919</v>
      </c>
      <c r="C354" s="5" t="s">
        <v>171</v>
      </c>
      <c r="D354" s="5" t="s">
        <v>172</v>
      </c>
      <c r="E354" s="5" t="n">
        <v>297</v>
      </c>
      <c r="F354" s="5" t="s">
        <v>920</v>
      </c>
      <c r="G354" s="5" t="n">
        <v>4</v>
      </c>
      <c r="H354" s="5" t="s">
        <v>53</v>
      </c>
      <c r="I354" s="5" t="s">
        <v>54</v>
      </c>
      <c r="J354" s="5" t="s">
        <v>181</v>
      </c>
      <c r="K354" s="5" t="s">
        <v>179</v>
      </c>
      <c r="L354" s="5" t="n">
        <v>1</v>
      </c>
      <c r="M354" s="5" t="n">
        <v>9</v>
      </c>
      <c r="N354" s="5" t="n">
        <v>2</v>
      </c>
      <c r="O354" s="5" t="n">
        <v>6</v>
      </c>
      <c r="P354" s="5" t="n">
        <v>-2</v>
      </c>
      <c r="Q354" s="5" t="n">
        <v>-4</v>
      </c>
      <c r="R354" s="5" t="n">
        <v>9</v>
      </c>
      <c r="S354" s="5" t="n">
        <v>3</v>
      </c>
      <c r="T354" s="5" t="s">
        <v>921</v>
      </c>
      <c r="U354" s="6"/>
      <c r="V354" s="6"/>
      <c r="W354" s="6"/>
      <c r="X354" s="6"/>
      <c r="Y354" s="7" t="str">
        <f aca="false">IF(COUNT(U354:X354)=4,(W354-X354)/2,"")</f>
        <v/>
      </c>
      <c r="Z354" s="7" t="str">
        <f aca="false">IF(COUNT(U354:X354)=4,(U354-V354)/2,"")</f>
        <v/>
      </c>
      <c r="AA354" s="7" t="str">
        <f aca="false">IF(COUNT(U354:X354)=4,MAX(1,MIN(10,ROUNDUP(5-Z354,0))),"")</f>
        <v/>
      </c>
      <c r="AB354" s="7" t="str">
        <f aca="false">IF(COUNT(U354:X354)=4,MAX(1,MIN(10,ROUNDUP(Y354+5,0))),"")</f>
        <v/>
      </c>
      <c r="AC354" s="6"/>
      <c r="AD354" s="6"/>
    </row>
    <row r="355" customFormat="false" ht="15" hidden="false" customHeight="true" outlineLevel="0" collapsed="false">
      <c r="A355" s="5" t="n">
        <v>354</v>
      </c>
      <c r="B355" s="5" t="s">
        <v>922</v>
      </c>
      <c r="C355" s="5" t="s">
        <v>58</v>
      </c>
      <c r="D355" s="5" t="s">
        <v>59</v>
      </c>
      <c r="E355" s="5" t="n">
        <v>296</v>
      </c>
      <c r="F355" s="5" t="s">
        <v>922</v>
      </c>
      <c r="G355" s="5" t="n">
        <v>3</v>
      </c>
      <c r="H355" s="5" t="s">
        <v>53</v>
      </c>
      <c r="I355" s="5" t="s">
        <v>54</v>
      </c>
      <c r="J355" s="5" t="s">
        <v>117</v>
      </c>
      <c r="K355" s="5" t="s">
        <v>117</v>
      </c>
      <c r="L355" s="5" t="n">
        <v>3</v>
      </c>
      <c r="M355" s="5" t="n">
        <v>2</v>
      </c>
      <c r="N355" s="5" t="n">
        <v>7</v>
      </c>
      <c r="O355" s="5" t="n">
        <v>3</v>
      </c>
      <c r="P355" s="5" t="n">
        <v>2</v>
      </c>
      <c r="Q355" s="5" t="n">
        <v>0.5</v>
      </c>
      <c r="R355" s="5" t="n">
        <v>5</v>
      </c>
      <c r="S355" s="5" t="n">
        <v>7</v>
      </c>
      <c r="T355" s="5" t="s">
        <v>923</v>
      </c>
      <c r="U355" s="6"/>
      <c r="V355" s="6"/>
      <c r="W355" s="6"/>
      <c r="X355" s="6"/>
      <c r="Y355" s="7" t="str">
        <f aca="false">IF(COUNT(U355:X355)=4,(W355-X355)/2,"")</f>
        <v/>
      </c>
      <c r="Z355" s="7" t="str">
        <f aca="false">IF(COUNT(U355:X355)=4,(U355-V355)/2,"")</f>
        <v/>
      </c>
      <c r="AA355" s="7" t="str">
        <f aca="false">IF(COUNT(U355:X355)=4,MAX(1,MIN(10,ROUNDUP(5-Z355,0))),"")</f>
        <v/>
      </c>
      <c r="AB355" s="7" t="str">
        <f aca="false">IF(COUNT(U355:X355)=4,MAX(1,MIN(10,ROUNDUP(Y355+5,0))),"")</f>
        <v/>
      </c>
      <c r="AC355" s="6"/>
      <c r="AD355" s="6"/>
    </row>
    <row r="356" customFormat="false" ht="15" hidden="false" customHeight="true" outlineLevel="0" collapsed="false">
      <c r="A356" s="5" t="n">
        <v>355</v>
      </c>
      <c r="B356" s="5" t="s">
        <v>924</v>
      </c>
      <c r="C356" s="5" t="s">
        <v>171</v>
      </c>
      <c r="D356" s="5" t="s">
        <v>172</v>
      </c>
      <c r="E356" s="5" t="n">
        <v>296</v>
      </c>
      <c r="F356" s="5" t="s">
        <v>925</v>
      </c>
      <c r="G356" s="5" t="n">
        <v>4</v>
      </c>
      <c r="H356" s="5" t="s">
        <v>53</v>
      </c>
      <c r="I356" s="5" t="s">
        <v>54</v>
      </c>
      <c r="J356" s="5" t="s">
        <v>181</v>
      </c>
      <c r="K356" s="5" t="s">
        <v>179</v>
      </c>
      <c r="L356" s="5" t="n">
        <v>2</v>
      </c>
      <c r="M356" s="5" t="n">
        <v>6</v>
      </c>
      <c r="N356" s="5" t="n">
        <v>2</v>
      </c>
      <c r="O356" s="5" t="n">
        <v>6</v>
      </c>
      <c r="P356" s="5" t="n">
        <v>-2</v>
      </c>
      <c r="Q356" s="5" t="n">
        <v>-2</v>
      </c>
      <c r="R356" s="5" t="n">
        <v>7</v>
      </c>
      <c r="S356" s="5" t="n">
        <v>3</v>
      </c>
      <c r="T356" s="5" t="s">
        <v>926</v>
      </c>
      <c r="U356" s="6"/>
      <c r="V356" s="6"/>
      <c r="W356" s="6"/>
      <c r="X356" s="6"/>
      <c r="Y356" s="7" t="str">
        <f aca="false">IF(COUNT(U356:X356)=4,(W356-X356)/2,"")</f>
        <v/>
      </c>
      <c r="Z356" s="7" t="str">
        <f aca="false">IF(COUNT(U356:X356)=4,(U356-V356)/2,"")</f>
        <v/>
      </c>
      <c r="AA356" s="7" t="str">
        <f aca="false">IF(COUNT(U356:X356)=4,MAX(1,MIN(10,ROUNDUP(5-Z356,0))),"")</f>
        <v/>
      </c>
      <c r="AB356" s="7" t="str">
        <f aca="false">IF(COUNT(U356:X356)=4,MAX(1,MIN(10,ROUNDUP(Y356+5,0))),"")</f>
        <v/>
      </c>
      <c r="AC356" s="6"/>
      <c r="AD356" s="6"/>
    </row>
    <row r="357" customFormat="false" ht="15" hidden="false" customHeight="true" outlineLevel="0" collapsed="false">
      <c r="A357" s="5" t="n">
        <v>356</v>
      </c>
      <c r="B357" s="5" t="s">
        <v>927</v>
      </c>
      <c r="C357" s="5" t="s">
        <v>171</v>
      </c>
      <c r="D357" s="5" t="s">
        <v>172</v>
      </c>
      <c r="E357" s="5" t="n">
        <v>296</v>
      </c>
      <c r="F357" s="5" t="s">
        <v>928</v>
      </c>
      <c r="G357" s="5" t="n">
        <v>4</v>
      </c>
      <c r="H357" s="5" t="s">
        <v>53</v>
      </c>
      <c r="I357" s="5" t="s">
        <v>54</v>
      </c>
      <c r="J357" s="5" t="s">
        <v>181</v>
      </c>
      <c r="K357" s="5" t="s">
        <v>223</v>
      </c>
      <c r="L357" s="5" t="n">
        <v>3</v>
      </c>
      <c r="M357" s="5" t="n">
        <v>4</v>
      </c>
      <c r="N357" s="5" t="n">
        <v>6</v>
      </c>
      <c r="O357" s="5" t="n">
        <v>4</v>
      </c>
      <c r="P357" s="5" t="n">
        <v>1</v>
      </c>
      <c r="Q357" s="5" t="n">
        <v>-0.5</v>
      </c>
      <c r="R357" s="5" t="n">
        <v>6</v>
      </c>
      <c r="S357" s="5" t="n">
        <v>6</v>
      </c>
      <c r="T357" s="5" t="s">
        <v>929</v>
      </c>
      <c r="U357" s="6"/>
      <c r="V357" s="6"/>
      <c r="W357" s="6"/>
      <c r="X357" s="6"/>
      <c r="Y357" s="7" t="str">
        <f aca="false">IF(COUNT(U357:X357)=4,(W357-X357)/2,"")</f>
        <v/>
      </c>
      <c r="Z357" s="7" t="str">
        <f aca="false">IF(COUNT(U357:X357)=4,(U357-V357)/2,"")</f>
        <v/>
      </c>
      <c r="AA357" s="7" t="str">
        <f aca="false">IF(COUNT(U357:X357)=4,MAX(1,MIN(10,ROUNDUP(5-Z357,0))),"")</f>
        <v/>
      </c>
      <c r="AB357" s="7" t="str">
        <f aca="false">IF(COUNT(U357:X357)=4,MAX(1,MIN(10,ROUNDUP(Y357+5,0))),"")</f>
        <v/>
      </c>
      <c r="AC357" s="6"/>
      <c r="AD357" s="6"/>
    </row>
    <row r="358" customFormat="false" ht="15" hidden="false" customHeight="true" outlineLevel="0" collapsed="false">
      <c r="A358" s="5" t="n">
        <v>357</v>
      </c>
      <c r="B358" s="5" t="s">
        <v>930</v>
      </c>
      <c r="C358" s="5" t="s">
        <v>171</v>
      </c>
      <c r="D358" s="5" t="s">
        <v>172</v>
      </c>
      <c r="E358" s="5" t="n">
        <v>295</v>
      </c>
      <c r="F358" s="5" t="s">
        <v>931</v>
      </c>
      <c r="G358" s="5" t="n">
        <v>4</v>
      </c>
      <c r="H358" s="5" t="s">
        <v>53</v>
      </c>
      <c r="I358" s="5" t="s">
        <v>54</v>
      </c>
      <c r="J358" s="5" t="s">
        <v>181</v>
      </c>
      <c r="K358" s="5" t="s">
        <v>309</v>
      </c>
      <c r="L358" s="5" t="n">
        <v>2</v>
      </c>
      <c r="M358" s="5" t="n">
        <v>5</v>
      </c>
      <c r="N358" s="5" t="n">
        <v>5</v>
      </c>
      <c r="O358" s="5" t="n">
        <v>4</v>
      </c>
      <c r="P358" s="5" t="n">
        <v>0.5</v>
      </c>
      <c r="Q358" s="5" t="n">
        <v>-1.5</v>
      </c>
      <c r="R358" s="5" t="n">
        <v>7</v>
      </c>
      <c r="S358" s="5" t="n">
        <v>6</v>
      </c>
      <c r="T358" s="5" t="s">
        <v>932</v>
      </c>
      <c r="U358" s="6"/>
      <c r="V358" s="6"/>
      <c r="W358" s="6"/>
      <c r="X358" s="6"/>
      <c r="Y358" s="7" t="str">
        <f aca="false">IF(COUNT(U358:X358)=4,(W358-X358)/2,"")</f>
        <v/>
      </c>
      <c r="Z358" s="7" t="str">
        <f aca="false">IF(COUNT(U358:X358)=4,(U358-V358)/2,"")</f>
        <v/>
      </c>
      <c r="AA358" s="7" t="str">
        <f aca="false">IF(COUNT(U358:X358)=4,MAX(1,MIN(10,ROUNDUP(5-Z358,0))),"")</f>
        <v/>
      </c>
      <c r="AB358" s="7" t="str">
        <f aca="false">IF(COUNT(U358:X358)=4,MAX(1,MIN(10,ROUNDUP(Y358+5,0))),"")</f>
        <v/>
      </c>
      <c r="AC358" s="6"/>
      <c r="AD358" s="6"/>
    </row>
    <row r="359" customFormat="false" ht="15" hidden="false" customHeight="true" outlineLevel="0" collapsed="false">
      <c r="A359" s="5" t="n">
        <v>358</v>
      </c>
      <c r="B359" s="5" t="s">
        <v>933</v>
      </c>
      <c r="C359" s="5" t="s">
        <v>145</v>
      </c>
      <c r="D359" s="5" t="s">
        <v>51</v>
      </c>
      <c r="E359" s="5" t="n">
        <v>295</v>
      </c>
      <c r="F359" s="5" t="s">
        <v>934</v>
      </c>
      <c r="G359" s="5" t="n">
        <v>4</v>
      </c>
      <c r="H359" s="5" t="s">
        <v>53</v>
      </c>
      <c r="I359" s="5" t="s">
        <v>54</v>
      </c>
      <c r="J359" s="5" t="s">
        <v>181</v>
      </c>
      <c r="K359" s="5" t="s">
        <v>182</v>
      </c>
      <c r="L359" s="5" t="n">
        <v>2</v>
      </c>
      <c r="M359" s="5" t="n">
        <v>6</v>
      </c>
      <c r="N359" s="5" t="n">
        <v>7</v>
      </c>
      <c r="O359" s="5" t="n">
        <v>3</v>
      </c>
      <c r="P359" s="5" t="n">
        <v>2</v>
      </c>
      <c r="Q359" s="5" t="n">
        <v>-2</v>
      </c>
      <c r="R359" s="5" t="n">
        <v>7</v>
      </c>
      <c r="S359" s="5" t="n">
        <v>7</v>
      </c>
      <c r="T359" s="5" t="s">
        <v>187</v>
      </c>
      <c r="U359" s="6"/>
      <c r="V359" s="6"/>
      <c r="W359" s="6"/>
      <c r="X359" s="6"/>
      <c r="Y359" s="7" t="str">
        <f aca="false">IF(COUNT(U359:X359)=4,(W359-X359)/2,"")</f>
        <v/>
      </c>
      <c r="Z359" s="7" t="str">
        <f aca="false">IF(COUNT(U359:X359)=4,(U359-V359)/2,"")</f>
        <v/>
      </c>
      <c r="AA359" s="7" t="str">
        <f aca="false">IF(COUNT(U359:X359)=4,MAX(1,MIN(10,ROUNDUP(5-Z359,0))),"")</f>
        <v/>
      </c>
      <c r="AB359" s="7" t="str">
        <f aca="false">IF(COUNT(U359:X359)=4,MAX(1,MIN(10,ROUNDUP(Y359+5,0))),"")</f>
        <v/>
      </c>
      <c r="AC359" s="6"/>
      <c r="AD359" s="6"/>
    </row>
    <row r="360" customFormat="false" ht="15" hidden="false" customHeight="true" outlineLevel="0" collapsed="false">
      <c r="A360" s="5" t="n">
        <v>359</v>
      </c>
      <c r="B360" s="5" t="s">
        <v>175</v>
      </c>
      <c r="C360" s="5" t="s">
        <v>171</v>
      </c>
      <c r="D360" s="5" t="s">
        <v>172</v>
      </c>
      <c r="E360" s="5" t="n">
        <v>295</v>
      </c>
      <c r="F360" s="5" t="s">
        <v>935</v>
      </c>
      <c r="G360" s="5" t="n">
        <v>4</v>
      </c>
      <c r="H360" s="5" t="s">
        <v>53</v>
      </c>
      <c r="I360" s="5" t="s">
        <v>81</v>
      </c>
      <c r="J360" s="5" t="s">
        <v>174</v>
      </c>
      <c r="K360" s="5" t="s">
        <v>175</v>
      </c>
      <c r="L360" s="5" t="n">
        <v>7</v>
      </c>
      <c r="M360" s="5" t="n">
        <v>1</v>
      </c>
      <c r="N360" s="5" t="n">
        <v>5</v>
      </c>
      <c r="O360" s="5" t="n">
        <v>7</v>
      </c>
      <c r="P360" s="5" t="n">
        <v>-1</v>
      </c>
      <c r="Q360" s="5" t="n">
        <v>3</v>
      </c>
      <c r="R360" s="5" t="n">
        <v>2</v>
      </c>
      <c r="S360" s="5" t="n">
        <v>4</v>
      </c>
      <c r="T360" s="5" t="s">
        <v>328</v>
      </c>
      <c r="U360" s="6"/>
      <c r="V360" s="6"/>
      <c r="W360" s="6"/>
      <c r="X360" s="6"/>
      <c r="Y360" s="7" t="str">
        <f aca="false">IF(COUNT(U360:X360)=4,(W360-X360)/2,"")</f>
        <v/>
      </c>
      <c r="Z360" s="7" t="str">
        <f aca="false">IF(COUNT(U360:X360)=4,(U360-V360)/2,"")</f>
        <v/>
      </c>
      <c r="AA360" s="7" t="str">
        <f aca="false">IF(COUNT(U360:X360)=4,MAX(1,MIN(10,ROUNDUP(5-Z360,0))),"")</f>
        <v/>
      </c>
      <c r="AB360" s="7" t="str">
        <f aca="false">IF(COUNT(U360:X360)=4,MAX(1,MIN(10,ROUNDUP(Y360+5,0))),"")</f>
        <v/>
      </c>
      <c r="AC360" s="6"/>
      <c r="AD360" s="6"/>
    </row>
    <row r="361" customFormat="false" ht="15" hidden="false" customHeight="true" outlineLevel="0" collapsed="false">
      <c r="A361" s="5" t="n">
        <v>360</v>
      </c>
      <c r="B361" s="5" t="s">
        <v>16</v>
      </c>
      <c r="C361" s="5" t="s">
        <v>171</v>
      </c>
      <c r="D361" s="5" t="s">
        <v>172</v>
      </c>
      <c r="E361" s="5" t="n">
        <v>294</v>
      </c>
      <c r="F361" s="5" t="s">
        <v>936</v>
      </c>
      <c r="G361" s="5" t="n">
        <v>4</v>
      </c>
      <c r="H361" s="5" t="s">
        <v>53</v>
      </c>
      <c r="I361" s="5" t="s">
        <v>54</v>
      </c>
      <c r="J361" s="5" t="s">
        <v>181</v>
      </c>
      <c r="K361" s="5" t="s">
        <v>309</v>
      </c>
      <c r="L361" s="5" t="n">
        <v>2</v>
      </c>
      <c r="M361" s="5" t="n">
        <v>5</v>
      </c>
      <c r="N361" s="5" t="n">
        <v>5</v>
      </c>
      <c r="O361" s="5" t="n">
        <v>4</v>
      </c>
      <c r="P361" s="5" t="n">
        <v>0.5</v>
      </c>
      <c r="Q361" s="5" t="n">
        <v>-1.5</v>
      </c>
      <c r="R361" s="5" t="n">
        <v>7</v>
      </c>
      <c r="S361" s="5" t="n">
        <v>6</v>
      </c>
      <c r="T361" s="5" t="s">
        <v>937</v>
      </c>
      <c r="U361" s="6"/>
      <c r="V361" s="6"/>
      <c r="W361" s="6"/>
      <c r="X361" s="6"/>
      <c r="Y361" s="7" t="str">
        <f aca="false">IF(COUNT(U361:X361)=4,(W361-X361)/2,"")</f>
        <v/>
      </c>
      <c r="Z361" s="7" t="str">
        <f aca="false">IF(COUNT(U361:X361)=4,(U361-V361)/2,"")</f>
        <v/>
      </c>
      <c r="AA361" s="7" t="str">
        <f aca="false">IF(COUNT(U361:X361)=4,MAX(1,MIN(10,ROUNDUP(5-Z361,0))),"")</f>
        <v/>
      </c>
      <c r="AB361" s="7" t="str">
        <f aca="false">IF(COUNT(U361:X361)=4,MAX(1,MIN(10,ROUNDUP(Y361+5,0))),"")</f>
        <v/>
      </c>
      <c r="AC361" s="6"/>
      <c r="AD361" s="6"/>
    </row>
    <row r="362" customFormat="false" ht="15" hidden="false" customHeight="true" outlineLevel="0" collapsed="false">
      <c r="A362" s="5" t="n">
        <v>361</v>
      </c>
      <c r="B362" s="5" t="s">
        <v>938</v>
      </c>
      <c r="C362" s="5" t="s">
        <v>171</v>
      </c>
      <c r="D362" s="5" t="s">
        <v>172</v>
      </c>
      <c r="E362" s="5" t="n">
        <v>294</v>
      </c>
      <c r="F362" s="5" t="s">
        <v>939</v>
      </c>
      <c r="G362" s="5" t="n">
        <v>4</v>
      </c>
      <c r="H362" s="5" t="s">
        <v>53</v>
      </c>
      <c r="I362" s="5" t="s">
        <v>54</v>
      </c>
      <c r="J362" s="5" t="s">
        <v>181</v>
      </c>
      <c r="K362" s="5" t="s">
        <v>221</v>
      </c>
      <c r="L362" s="5" t="n">
        <v>2</v>
      </c>
      <c r="M362" s="5" t="n">
        <v>5</v>
      </c>
      <c r="N362" s="5" t="n">
        <v>6</v>
      </c>
      <c r="O362" s="5" t="n">
        <v>5</v>
      </c>
      <c r="P362" s="5" t="n">
        <v>0.5</v>
      </c>
      <c r="Q362" s="5" t="n">
        <v>-1.5</v>
      </c>
      <c r="R362" s="5" t="n">
        <v>7</v>
      </c>
      <c r="S362" s="5" t="n">
        <v>6</v>
      </c>
      <c r="T362" s="5" t="s">
        <v>940</v>
      </c>
      <c r="U362" s="6"/>
      <c r="V362" s="6"/>
      <c r="W362" s="6"/>
      <c r="X362" s="6"/>
      <c r="Y362" s="7" t="str">
        <f aca="false">IF(COUNT(U362:X362)=4,(W362-X362)/2,"")</f>
        <v/>
      </c>
      <c r="Z362" s="7" t="str">
        <f aca="false">IF(COUNT(U362:X362)=4,(U362-V362)/2,"")</f>
        <v/>
      </c>
      <c r="AA362" s="7" t="str">
        <f aca="false">IF(COUNT(U362:X362)=4,MAX(1,MIN(10,ROUNDUP(5-Z362,0))),"")</f>
        <v/>
      </c>
      <c r="AB362" s="7" t="str">
        <f aca="false">IF(COUNT(U362:X362)=4,MAX(1,MIN(10,ROUNDUP(Y362+5,0))),"")</f>
        <v/>
      </c>
      <c r="AC362" s="6"/>
      <c r="AD362" s="6"/>
    </row>
    <row r="363" customFormat="false" ht="15" hidden="false" customHeight="true" outlineLevel="0" collapsed="false">
      <c r="A363" s="5" t="n">
        <v>362</v>
      </c>
      <c r="B363" s="5" t="s">
        <v>941</v>
      </c>
      <c r="C363" s="5" t="s">
        <v>171</v>
      </c>
      <c r="D363" s="5" t="s">
        <v>172</v>
      </c>
      <c r="E363" s="5" t="n">
        <v>294</v>
      </c>
      <c r="F363" s="5" t="s">
        <v>942</v>
      </c>
      <c r="G363" s="5" t="n">
        <v>4</v>
      </c>
      <c r="H363" s="5" t="s">
        <v>53</v>
      </c>
      <c r="I363" s="5" t="s">
        <v>81</v>
      </c>
      <c r="J363" s="5" t="s">
        <v>174</v>
      </c>
      <c r="K363" s="5" t="s">
        <v>175</v>
      </c>
      <c r="L363" s="5" t="n">
        <v>8</v>
      </c>
      <c r="M363" s="5" t="n">
        <v>1</v>
      </c>
      <c r="N363" s="5" t="n">
        <v>3</v>
      </c>
      <c r="O363" s="5" t="n">
        <v>8</v>
      </c>
      <c r="P363" s="5" t="n">
        <v>-2.5</v>
      </c>
      <c r="Q363" s="5" t="n">
        <v>3.5</v>
      </c>
      <c r="R363" s="5" t="n">
        <v>2</v>
      </c>
      <c r="S363" s="5" t="n">
        <v>3</v>
      </c>
      <c r="T363" s="5" t="s">
        <v>639</v>
      </c>
      <c r="U363" s="6"/>
      <c r="V363" s="6"/>
      <c r="W363" s="6"/>
      <c r="X363" s="6"/>
      <c r="Y363" s="7" t="str">
        <f aca="false">IF(COUNT(U363:X363)=4,(W363-X363)/2,"")</f>
        <v/>
      </c>
      <c r="Z363" s="7" t="str">
        <f aca="false">IF(COUNT(U363:X363)=4,(U363-V363)/2,"")</f>
        <v/>
      </c>
      <c r="AA363" s="7" t="str">
        <f aca="false">IF(COUNT(U363:X363)=4,MAX(1,MIN(10,ROUNDUP(5-Z363,0))),"")</f>
        <v/>
      </c>
      <c r="AB363" s="7" t="str">
        <f aca="false">IF(COUNT(U363:X363)=4,MAX(1,MIN(10,ROUNDUP(Y363+5,0))),"")</f>
        <v/>
      </c>
      <c r="AC363" s="6"/>
      <c r="AD363" s="6"/>
    </row>
    <row r="364" customFormat="false" ht="15" hidden="false" customHeight="true" outlineLevel="0" collapsed="false">
      <c r="A364" s="5" t="n">
        <v>363</v>
      </c>
      <c r="B364" s="5" t="s">
        <v>943</v>
      </c>
      <c r="C364" s="5" t="s">
        <v>145</v>
      </c>
      <c r="D364" s="5" t="s">
        <v>51</v>
      </c>
      <c r="E364" s="5" t="n">
        <v>293</v>
      </c>
      <c r="F364" s="5" t="s">
        <v>944</v>
      </c>
      <c r="G364" s="5" t="n">
        <v>4</v>
      </c>
      <c r="H364" s="5" t="s">
        <v>53</v>
      </c>
      <c r="I364" s="5" t="s">
        <v>54</v>
      </c>
      <c r="J364" s="5" t="s">
        <v>55</v>
      </c>
      <c r="K364" s="5" t="s">
        <v>55</v>
      </c>
      <c r="L364" s="5" t="n">
        <v>4</v>
      </c>
      <c r="M364" s="5" t="n">
        <v>3</v>
      </c>
      <c r="N364" s="5" t="n">
        <v>4</v>
      </c>
      <c r="O364" s="5" t="n">
        <v>6</v>
      </c>
      <c r="P364" s="5" t="n">
        <v>-1</v>
      </c>
      <c r="Q364" s="5" t="n">
        <v>0.5</v>
      </c>
      <c r="R364" s="5" t="n">
        <v>5</v>
      </c>
      <c r="S364" s="5" t="n">
        <v>4</v>
      </c>
      <c r="T364" s="5" t="s">
        <v>945</v>
      </c>
      <c r="U364" s="6"/>
      <c r="V364" s="6"/>
      <c r="W364" s="6"/>
      <c r="X364" s="6"/>
      <c r="Y364" s="7" t="str">
        <f aca="false">IF(COUNT(U364:X364)=4,(W364-X364)/2,"")</f>
        <v/>
      </c>
      <c r="Z364" s="7" t="str">
        <f aca="false">IF(COUNT(U364:X364)=4,(U364-V364)/2,"")</f>
        <v/>
      </c>
      <c r="AA364" s="7" t="str">
        <f aca="false">IF(COUNT(U364:X364)=4,MAX(1,MIN(10,ROUNDUP(5-Z364,0))),"")</f>
        <v/>
      </c>
      <c r="AB364" s="7" t="str">
        <f aca="false">IF(COUNT(U364:X364)=4,MAX(1,MIN(10,ROUNDUP(Y364+5,0))),"")</f>
        <v/>
      </c>
      <c r="AC364" s="6"/>
      <c r="AD364" s="6"/>
    </row>
    <row r="365" customFormat="false" ht="15" hidden="false" customHeight="true" outlineLevel="0" collapsed="false">
      <c r="A365" s="5" t="n">
        <v>364</v>
      </c>
      <c r="B365" s="5" t="s">
        <v>946</v>
      </c>
      <c r="C365" s="5" t="s">
        <v>145</v>
      </c>
      <c r="D365" s="5" t="s">
        <v>51</v>
      </c>
      <c r="E365" s="5" t="n">
        <v>291</v>
      </c>
      <c r="F365" s="5" t="s">
        <v>947</v>
      </c>
      <c r="G365" s="5" t="n">
        <v>4</v>
      </c>
      <c r="H365" s="5" t="s">
        <v>53</v>
      </c>
      <c r="I365" s="5" t="s">
        <v>54</v>
      </c>
      <c r="J365" s="5" t="s">
        <v>55</v>
      </c>
      <c r="K365" s="5" t="s">
        <v>55</v>
      </c>
      <c r="L365" s="5" t="n">
        <v>5</v>
      </c>
      <c r="M365" s="5" t="n">
        <v>3</v>
      </c>
      <c r="N365" s="5" t="n">
        <v>6</v>
      </c>
      <c r="O365" s="5" t="n">
        <v>4</v>
      </c>
      <c r="P365" s="5" t="n">
        <v>1</v>
      </c>
      <c r="Q365" s="5" t="n">
        <v>1</v>
      </c>
      <c r="R365" s="5" t="n">
        <v>4</v>
      </c>
      <c r="S365" s="5" t="n">
        <v>6</v>
      </c>
      <c r="T365" s="5" t="s">
        <v>948</v>
      </c>
      <c r="U365" s="6"/>
      <c r="V365" s="6"/>
      <c r="W365" s="6"/>
      <c r="X365" s="6"/>
      <c r="Y365" s="7" t="str">
        <f aca="false">IF(COUNT(U365:X365)=4,(W365-X365)/2,"")</f>
        <v/>
      </c>
      <c r="Z365" s="7" t="str">
        <f aca="false">IF(COUNT(U365:X365)=4,(U365-V365)/2,"")</f>
        <v/>
      </c>
      <c r="AA365" s="7" t="str">
        <f aca="false">IF(COUNT(U365:X365)=4,MAX(1,MIN(10,ROUNDUP(5-Z365,0))),"")</f>
        <v/>
      </c>
      <c r="AB365" s="7" t="str">
        <f aca="false">IF(COUNT(U365:X365)=4,MAX(1,MIN(10,ROUNDUP(Y365+5,0))),"")</f>
        <v/>
      </c>
      <c r="AC365" s="6"/>
      <c r="AD365" s="6"/>
    </row>
    <row r="366" customFormat="false" ht="15" hidden="false" customHeight="true" outlineLevel="0" collapsed="false">
      <c r="A366" s="5" t="n">
        <v>365</v>
      </c>
      <c r="B366" s="5" t="s">
        <v>949</v>
      </c>
      <c r="C366" s="5" t="s">
        <v>171</v>
      </c>
      <c r="D366" s="5" t="s">
        <v>172</v>
      </c>
      <c r="E366" s="5" t="n">
        <v>291</v>
      </c>
      <c r="F366" s="5" t="s">
        <v>950</v>
      </c>
      <c r="G366" s="5" t="n">
        <v>4</v>
      </c>
      <c r="H366" s="5" t="s">
        <v>53</v>
      </c>
      <c r="I366" s="5" t="s">
        <v>54</v>
      </c>
      <c r="J366" s="5" t="s">
        <v>181</v>
      </c>
      <c r="K366" s="5" t="s">
        <v>223</v>
      </c>
      <c r="L366" s="5" t="n">
        <v>3</v>
      </c>
      <c r="M366" s="5" t="n">
        <v>4</v>
      </c>
      <c r="N366" s="5" t="n">
        <v>6</v>
      </c>
      <c r="O366" s="5" t="n">
        <v>4</v>
      </c>
      <c r="P366" s="5" t="n">
        <v>1</v>
      </c>
      <c r="Q366" s="5" t="n">
        <v>-0.5</v>
      </c>
      <c r="R366" s="5" t="n">
        <v>6</v>
      </c>
      <c r="S366" s="5" t="n">
        <v>6</v>
      </c>
      <c r="T366" s="5" t="s">
        <v>921</v>
      </c>
      <c r="U366" s="6"/>
      <c r="V366" s="6"/>
      <c r="W366" s="6"/>
      <c r="X366" s="6"/>
      <c r="Y366" s="7" t="str">
        <f aca="false">IF(COUNT(U366:X366)=4,(W366-X366)/2,"")</f>
        <v/>
      </c>
      <c r="Z366" s="7" t="str">
        <f aca="false">IF(COUNT(U366:X366)=4,(U366-V366)/2,"")</f>
        <v/>
      </c>
      <c r="AA366" s="7" t="str">
        <f aca="false">IF(COUNT(U366:X366)=4,MAX(1,MIN(10,ROUNDUP(5-Z366,0))),"")</f>
        <v/>
      </c>
      <c r="AB366" s="7" t="str">
        <f aca="false">IF(COUNT(U366:X366)=4,MAX(1,MIN(10,ROUNDUP(Y366+5,0))),"")</f>
        <v/>
      </c>
      <c r="AC366" s="6"/>
      <c r="AD366" s="6"/>
    </row>
    <row r="367" customFormat="false" ht="15" hidden="false" customHeight="true" outlineLevel="0" collapsed="false">
      <c r="A367" s="5" t="n">
        <v>366</v>
      </c>
      <c r="B367" s="5" t="s">
        <v>43</v>
      </c>
      <c r="C367" s="5" t="s">
        <v>145</v>
      </c>
      <c r="D367" s="5" t="s">
        <v>51</v>
      </c>
      <c r="E367" s="5" t="n">
        <v>291</v>
      </c>
      <c r="F367" s="5" t="s">
        <v>951</v>
      </c>
      <c r="G367" s="5" t="n">
        <v>4</v>
      </c>
      <c r="H367" s="5" t="s">
        <v>53</v>
      </c>
      <c r="I367" s="5" t="s">
        <v>54</v>
      </c>
      <c r="J367" s="5" t="s">
        <v>181</v>
      </c>
      <c r="K367" s="5" t="s">
        <v>443</v>
      </c>
      <c r="L367" s="5" t="n">
        <v>5</v>
      </c>
      <c r="M367" s="5" t="n">
        <v>3</v>
      </c>
      <c r="N367" s="5" t="n">
        <v>4</v>
      </c>
      <c r="O367" s="5" t="n">
        <v>8</v>
      </c>
      <c r="P367" s="5" t="n">
        <v>-2</v>
      </c>
      <c r="Q367" s="5" t="n">
        <v>1</v>
      </c>
      <c r="R367" s="5" t="n">
        <v>4</v>
      </c>
      <c r="S367" s="5" t="n">
        <v>3</v>
      </c>
      <c r="T367" s="5" t="s">
        <v>952</v>
      </c>
      <c r="U367" s="6"/>
      <c r="V367" s="6"/>
      <c r="W367" s="6"/>
      <c r="X367" s="6"/>
      <c r="Y367" s="7" t="str">
        <f aca="false">IF(COUNT(U367:X367)=4,(W367-X367)/2,"")</f>
        <v/>
      </c>
      <c r="Z367" s="7" t="str">
        <f aca="false">IF(COUNT(U367:X367)=4,(U367-V367)/2,"")</f>
        <v/>
      </c>
      <c r="AA367" s="7" t="str">
        <f aca="false">IF(COUNT(U367:X367)=4,MAX(1,MIN(10,ROUNDUP(5-Z367,0))),"")</f>
        <v/>
      </c>
      <c r="AB367" s="7" t="str">
        <f aca="false">IF(COUNT(U367:X367)=4,MAX(1,MIN(10,ROUNDUP(Y367+5,0))),"")</f>
        <v/>
      </c>
      <c r="AC367" s="6"/>
      <c r="AD367" s="6"/>
    </row>
    <row r="368" customFormat="false" ht="15" hidden="false" customHeight="true" outlineLevel="0" collapsed="false">
      <c r="A368" s="5" t="n">
        <v>367</v>
      </c>
      <c r="B368" s="5" t="s">
        <v>953</v>
      </c>
      <c r="C368" s="5" t="s">
        <v>171</v>
      </c>
      <c r="D368" s="5" t="s">
        <v>172</v>
      </c>
      <c r="E368" s="5" t="n">
        <v>290</v>
      </c>
      <c r="F368" s="5" t="s">
        <v>954</v>
      </c>
      <c r="G368" s="5" t="n">
        <v>4</v>
      </c>
      <c r="H368" s="5" t="s">
        <v>53</v>
      </c>
      <c r="I368" s="5" t="s">
        <v>54</v>
      </c>
      <c r="J368" s="5" t="s">
        <v>181</v>
      </c>
      <c r="K368" s="5" t="s">
        <v>413</v>
      </c>
      <c r="L368" s="5" t="n">
        <v>5</v>
      </c>
      <c r="M368" s="5" t="n">
        <v>3</v>
      </c>
      <c r="N368" s="5" t="n">
        <v>3</v>
      </c>
      <c r="O368" s="5" t="n">
        <v>8</v>
      </c>
      <c r="P368" s="5" t="n">
        <v>-2.5</v>
      </c>
      <c r="Q368" s="5" t="n">
        <v>1</v>
      </c>
      <c r="R368" s="5" t="n">
        <v>4</v>
      </c>
      <c r="S368" s="5" t="n">
        <v>3</v>
      </c>
      <c r="T368" s="5" t="s">
        <v>534</v>
      </c>
      <c r="U368" s="6"/>
      <c r="V368" s="6"/>
      <c r="W368" s="6"/>
      <c r="X368" s="6"/>
      <c r="Y368" s="7" t="str">
        <f aca="false">IF(COUNT(U368:X368)=4,(W368-X368)/2,"")</f>
        <v/>
      </c>
      <c r="Z368" s="7" t="str">
        <f aca="false">IF(COUNT(U368:X368)=4,(U368-V368)/2,"")</f>
        <v/>
      </c>
      <c r="AA368" s="7" t="str">
        <f aca="false">IF(COUNT(U368:X368)=4,MAX(1,MIN(10,ROUNDUP(5-Z368,0))),"")</f>
        <v/>
      </c>
      <c r="AB368" s="7" t="str">
        <f aca="false">IF(COUNT(U368:X368)=4,MAX(1,MIN(10,ROUNDUP(Y368+5,0))),"")</f>
        <v/>
      </c>
      <c r="AC368" s="6"/>
      <c r="AD368" s="6"/>
    </row>
    <row r="369" customFormat="false" ht="15" hidden="false" customHeight="true" outlineLevel="0" collapsed="false">
      <c r="A369" s="5" t="n">
        <v>368</v>
      </c>
      <c r="B369" s="5" t="s">
        <v>955</v>
      </c>
      <c r="C369" s="5" t="s">
        <v>127</v>
      </c>
      <c r="D369" s="5" t="s">
        <v>128</v>
      </c>
      <c r="E369" s="5" t="n">
        <v>288</v>
      </c>
      <c r="F369" s="5" t="s">
        <v>956</v>
      </c>
      <c r="G369" s="5" t="n">
        <v>4</v>
      </c>
      <c r="H369" s="5" t="s">
        <v>53</v>
      </c>
      <c r="I369" s="5" t="s">
        <v>54</v>
      </c>
      <c r="J369" s="5" t="s">
        <v>117</v>
      </c>
      <c r="K369" s="5" t="s">
        <v>117</v>
      </c>
      <c r="L369" s="5" t="n">
        <v>3</v>
      </c>
      <c r="M369" s="5" t="n">
        <v>1</v>
      </c>
      <c r="N369" s="5" t="n">
        <v>2</v>
      </c>
      <c r="O369" s="5" t="n">
        <v>7</v>
      </c>
      <c r="P369" s="5" t="n">
        <v>-2.5</v>
      </c>
      <c r="Q369" s="5" t="n">
        <v>1</v>
      </c>
      <c r="R369" s="5" t="n">
        <v>4</v>
      </c>
      <c r="S369" s="5" t="n">
        <v>3</v>
      </c>
      <c r="T369" s="5" t="s">
        <v>224</v>
      </c>
      <c r="U369" s="6"/>
      <c r="V369" s="6"/>
      <c r="W369" s="6"/>
      <c r="X369" s="6"/>
      <c r="Y369" s="7" t="str">
        <f aca="false">IF(COUNT(U369:X369)=4,(W369-X369)/2,"")</f>
        <v/>
      </c>
      <c r="Z369" s="7" t="str">
        <f aca="false">IF(COUNT(U369:X369)=4,(U369-V369)/2,"")</f>
        <v/>
      </c>
      <c r="AA369" s="7" t="str">
        <f aca="false">IF(COUNT(U369:X369)=4,MAX(1,MIN(10,ROUNDUP(5-Z369,0))),"")</f>
        <v/>
      </c>
      <c r="AB369" s="7" t="str">
        <f aca="false">IF(COUNT(U369:X369)=4,MAX(1,MIN(10,ROUNDUP(Y369+5,0))),"")</f>
        <v/>
      </c>
      <c r="AC369" s="6"/>
      <c r="AD369" s="6"/>
    </row>
    <row r="370" customFormat="false" ht="15" hidden="false" customHeight="true" outlineLevel="0" collapsed="false">
      <c r="A370" s="5" t="n">
        <v>369</v>
      </c>
      <c r="B370" s="5" t="s">
        <v>957</v>
      </c>
      <c r="C370" s="5" t="s">
        <v>203</v>
      </c>
      <c r="D370" s="5" t="s">
        <v>204</v>
      </c>
      <c r="E370" s="5" t="n">
        <v>288</v>
      </c>
      <c r="F370" s="5" t="s">
        <v>957</v>
      </c>
      <c r="G370" s="5" t="n">
        <v>4</v>
      </c>
      <c r="H370" s="5" t="s">
        <v>53</v>
      </c>
      <c r="I370" s="5" t="s">
        <v>54</v>
      </c>
      <c r="J370" s="5" t="s">
        <v>117</v>
      </c>
      <c r="K370" s="5" t="s">
        <v>117</v>
      </c>
      <c r="L370" s="5" t="n">
        <v>3</v>
      </c>
      <c r="M370" s="5" t="n">
        <v>1</v>
      </c>
      <c r="N370" s="5" t="n">
        <v>2</v>
      </c>
      <c r="O370" s="5" t="n">
        <v>8</v>
      </c>
      <c r="P370" s="5" t="n">
        <v>-3</v>
      </c>
      <c r="Q370" s="5" t="n">
        <v>1</v>
      </c>
      <c r="R370" s="5" t="n">
        <v>4</v>
      </c>
      <c r="S370" s="5" t="n">
        <v>2</v>
      </c>
      <c r="T370" s="5" t="s">
        <v>344</v>
      </c>
      <c r="U370" s="6"/>
      <c r="V370" s="6"/>
      <c r="W370" s="6"/>
      <c r="X370" s="6"/>
      <c r="Y370" s="7" t="str">
        <f aca="false">IF(COUNT(U370:X370)=4,(W370-X370)/2,"")</f>
        <v/>
      </c>
      <c r="Z370" s="7" t="str">
        <f aca="false">IF(COUNT(U370:X370)=4,(U370-V370)/2,"")</f>
        <v/>
      </c>
      <c r="AA370" s="7" t="str">
        <f aca="false">IF(COUNT(U370:X370)=4,MAX(1,MIN(10,ROUNDUP(5-Z370,0))),"")</f>
        <v/>
      </c>
      <c r="AB370" s="7" t="str">
        <f aca="false">IF(COUNT(U370:X370)=4,MAX(1,MIN(10,ROUNDUP(Y370+5,0))),"")</f>
        <v/>
      </c>
      <c r="AC370" s="6"/>
      <c r="AD370" s="6"/>
    </row>
    <row r="371" customFormat="false" ht="15" hidden="false" customHeight="true" outlineLevel="0" collapsed="false">
      <c r="A371" s="5" t="n">
        <v>370</v>
      </c>
      <c r="B371" s="5" t="s">
        <v>958</v>
      </c>
      <c r="C371" s="5" t="s">
        <v>171</v>
      </c>
      <c r="D371" s="5" t="s">
        <v>172</v>
      </c>
      <c r="E371" s="5" t="n">
        <v>287</v>
      </c>
      <c r="F371" s="5" t="s">
        <v>959</v>
      </c>
      <c r="G371" s="5" t="n">
        <v>4</v>
      </c>
      <c r="H371" s="5" t="s">
        <v>53</v>
      </c>
      <c r="I371" s="5" t="s">
        <v>54</v>
      </c>
      <c r="J371" s="5" t="s">
        <v>181</v>
      </c>
      <c r="K371" s="5" t="s">
        <v>443</v>
      </c>
      <c r="L371" s="5" t="n">
        <v>5</v>
      </c>
      <c r="M371" s="5" t="n">
        <v>3</v>
      </c>
      <c r="N371" s="5" t="n">
        <v>4</v>
      </c>
      <c r="O371" s="5" t="n">
        <v>8</v>
      </c>
      <c r="P371" s="5" t="n">
        <v>-2</v>
      </c>
      <c r="Q371" s="5" t="n">
        <v>1</v>
      </c>
      <c r="R371" s="5" t="n">
        <v>4</v>
      </c>
      <c r="S371" s="5" t="n">
        <v>3</v>
      </c>
      <c r="T371" s="5" t="s">
        <v>905</v>
      </c>
      <c r="U371" s="6"/>
      <c r="V371" s="6"/>
      <c r="W371" s="6"/>
      <c r="X371" s="6"/>
      <c r="Y371" s="7" t="str">
        <f aca="false">IF(COUNT(U371:X371)=4,(W371-X371)/2,"")</f>
        <v/>
      </c>
      <c r="Z371" s="7" t="str">
        <f aca="false">IF(COUNT(U371:X371)=4,(U371-V371)/2,"")</f>
        <v/>
      </c>
      <c r="AA371" s="7" t="str">
        <f aca="false">IF(COUNT(U371:X371)=4,MAX(1,MIN(10,ROUNDUP(5-Z371,0))),"")</f>
        <v/>
      </c>
      <c r="AB371" s="7" t="str">
        <f aca="false">IF(COUNT(U371:X371)=4,MAX(1,MIN(10,ROUNDUP(Y371+5,0))),"")</f>
        <v/>
      </c>
      <c r="AC371" s="6"/>
      <c r="AD371" s="6"/>
    </row>
    <row r="372" customFormat="false" ht="15" hidden="false" customHeight="true" outlineLevel="0" collapsed="false">
      <c r="A372" s="5" t="n">
        <v>371</v>
      </c>
      <c r="B372" s="5" t="s">
        <v>960</v>
      </c>
      <c r="C372" s="5" t="s">
        <v>171</v>
      </c>
      <c r="D372" s="5" t="s">
        <v>172</v>
      </c>
      <c r="E372" s="5" t="n">
        <v>286</v>
      </c>
      <c r="F372" s="5" t="s">
        <v>961</v>
      </c>
      <c r="G372" s="5" t="n">
        <v>4</v>
      </c>
      <c r="H372" s="5" t="s">
        <v>53</v>
      </c>
      <c r="I372" s="5" t="s">
        <v>54</v>
      </c>
      <c r="J372" s="5" t="s">
        <v>181</v>
      </c>
      <c r="K372" s="5" t="s">
        <v>235</v>
      </c>
      <c r="L372" s="5" t="n">
        <v>4</v>
      </c>
      <c r="M372" s="5" t="n">
        <v>4</v>
      </c>
      <c r="N372" s="5" t="n">
        <v>7</v>
      </c>
      <c r="O372" s="5" t="n">
        <v>4</v>
      </c>
      <c r="P372" s="5" t="n">
        <v>1.5</v>
      </c>
      <c r="Q372" s="5" t="n">
        <v>0</v>
      </c>
      <c r="R372" s="5" t="n">
        <v>5</v>
      </c>
      <c r="S372" s="5" t="n">
        <v>7</v>
      </c>
      <c r="T372" s="5" t="s">
        <v>962</v>
      </c>
      <c r="U372" s="6"/>
      <c r="V372" s="6"/>
      <c r="W372" s="6"/>
      <c r="X372" s="6"/>
      <c r="Y372" s="7" t="str">
        <f aca="false">IF(COUNT(U372:X372)=4,(W372-X372)/2,"")</f>
        <v/>
      </c>
      <c r="Z372" s="7" t="str">
        <f aca="false">IF(COUNT(U372:X372)=4,(U372-V372)/2,"")</f>
        <v/>
      </c>
      <c r="AA372" s="7" t="str">
        <f aca="false">IF(COUNT(U372:X372)=4,MAX(1,MIN(10,ROUNDUP(5-Z372,0))),"")</f>
        <v/>
      </c>
      <c r="AB372" s="7" t="str">
        <f aca="false">IF(COUNT(U372:X372)=4,MAX(1,MIN(10,ROUNDUP(Y372+5,0))),"")</f>
        <v/>
      </c>
      <c r="AC372" s="6"/>
      <c r="AD372" s="6"/>
    </row>
    <row r="373" customFormat="false" ht="15" hidden="false" customHeight="true" outlineLevel="0" collapsed="false">
      <c r="A373" s="5" t="n">
        <v>372</v>
      </c>
      <c r="B373" s="5" t="s">
        <v>963</v>
      </c>
      <c r="C373" s="5" t="s">
        <v>58</v>
      </c>
      <c r="D373" s="5" t="s">
        <v>59</v>
      </c>
      <c r="E373" s="5" t="n">
        <v>286</v>
      </c>
      <c r="F373" s="5" t="s">
        <v>963</v>
      </c>
      <c r="G373" s="5" t="n">
        <v>3</v>
      </c>
      <c r="H373" s="5" t="s">
        <v>53</v>
      </c>
      <c r="I373" s="5" t="s">
        <v>64</v>
      </c>
      <c r="J373" s="5"/>
      <c r="K373" s="5"/>
      <c r="L373" s="5" t="n">
        <v>8</v>
      </c>
      <c r="M373" s="5" t="n">
        <v>2</v>
      </c>
      <c r="N373" s="5" t="n">
        <v>3</v>
      </c>
      <c r="O373" s="5" t="n">
        <v>6</v>
      </c>
      <c r="P373" s="5" t="n">
        <v>-1.5</v>
      </c>
      <c r="Q373" s="5" t="n">
        <v>3</v>
      </c>
      <c r="R373" s="5" t="n">
        <v>2</v>
      </c>
      <c r="S373" s="5" t="n">
        <v>4</v>
      </c>
      <c r="T373" s="5" t="s">
        <v>964</v>
      </c>
      <c r="U373" s="6"/>
      <c r="V373" s="6"/>
      <c r="W373" s="6"/>
      <c r="X373" s="6"/>
      <c r="Y373" s="7" t="str">
        <f aca="false">IF(COUNT(U373:X373)=4,(W373-X373)/2,"")</f>
        <v/>
      </c>
      <c r="Z373" s="7" t="str">
        <f aca="false">IF(COUNT(U373:X373)=4,(U373-V373)/2,"")</f>
        <v/>
      </c>
      <c r="AA373" s="7" t="str">
        <f aca="false">IF(COUNT(U373:X373)=4,MAX(1,MIN(10,ROUNDUP(5-Z373,0))),"")</f>
        <v/>
      </c>
      <c r="AB373" s="7" t="str">
        <f aca="false">IF(COUNT(U373:X373)=4,MAX(1,MIN(10,ROUNDUP(Y373+5,0))),"")</f>
        <v/>
      </c>
      <c r="AC373" s="6"/>
      <c r="AD373" s="6"/>
    </row>
    <row r="374" customFormat="false" ht="15" hidden="false" customHeight="true" outlineLevel="0" collapsed="false">
      <c r="A374" s="5" t="n">
        <v>373</v>
      </c>
      <c r="B374" s="5" t="s">
        <v>965</v>
      </c>
      <c r="C374" s="5" t="s">
        <v>171</v>
      </c>
      <c r="D374" s="5" t="s">
        <v>172</v>
      </c>
      <c r="E374" s="5" t="n">
        <v>285</v>
      </c>
      <c r="F374" s="5" t="s">
        <v>966</v>
      </c>
      <c r="G374" s="5" t="n">
        <v>4</v>
      </c>
      <c r="H374" s="5" t="s">
        <v>53</v>
      </c>
      <c r="I374" s="5" t="s">
        <v>54</v>
      </c>
      <c r="J374" s="5" t="s">
        <v>181</v>
      </c>
      <c r="K374" s="5" t="s">
        <v>182</v>
      </c>
      <c r="L374" s="5" t="n">
        <v>0</v>
      </c>
      <c r="M374" s="5" t="n">
        <v>10</v>
      </c>
      <c r="N374" s="5" t="n">
        <v>7</v>
      </c>
      <c r="O374" s="5" t="n">
        <v>3</v>
      </c>
      <c r="P374" s="5" t="n">
        <v>2</v>
      </c>
      <c r="Q374" s="5" t="n">
        <v>-5</v>
      </c>
      <c r="R374" s="5" t="n">
        <v>10</v>
      </c>
      <c r="S374" s="5" t="n">
        <v>7</v>
      </c>
      <c r="T374" s="5" t="s">
        <v>967</v>
      </c>
      <c r="U374" s="6"/>
      <c r="V374" s="6"/>
      <c r="W374" s="6"/>
      <c r="X374" s="6"/>
      <c r="Y374" s="7" t="str">
        <f aca="false">IF(COUNT(U374:X374)=4,(W374-X374)/2,"")</f>
        <v/>
      </c>
      <c r="Z374" s="7" t="str">
        <f aca="false">IF(COUNT(U374:X374)=4,(U374-V374)/2,"")</f>
        <v/>
      </c>
      <c r="AA374" s="7" t="str">
        <f aca="false">IF(COUNT(U374:X374)=4,MAX(1,MIN(10,ROUNDUP(5-Z374,0))),"")</f>
        <v/>
      </c>
      <c r="AB374" s="7" t="str">
        <f aca="false">IF(COUNT(U374:X374)=4,MAX(1,MIN(10,ROUNDUP(Y374+5,0))),"")</f>
        <v/>
      </c>
      <c r="AC374" s="6"/>
      <c r="AD374" s="6"/>
    </row>
    <row r="375" customFormat="false" ht="15" hidden="false" customHeight="true" outlineLevel="0" collapsed="false">
      <c r="A375" s="5" t="n">
        <v>374</v>
      </c>
      <c r="B375" s="5" t="s">
        <v>968</v>
      </c>
      <c r="C375" s="5" t="s">
        <v>62</v>
      </c>
      <c r="D375" s="5" t="s">
        <v>63</v>
      </c>
      <c r="E375" s="5" t="n">
        <v>284</v>
      </c>
      <c r="F375" s="5" t="s">
        <v>968</v>
      </c>
      <c r="G375" s="5" t="n">
        <v>1</v>
      </c>
      <c r="H375" s="5" t="s">
        <v>47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 t="s">
        <v>969</v>
      </c>
      <c r="U375" s="6"/>
      <c r="V375" s="6"/>
      <c r="W375" s="6"/>
      <c r="X375" s="6"/>
      <c r="Y375" s="7" t="str">
        <f aca="false">IF(COUNT(U375:X375)=4,(W375-X375)/2,"")</f>
        <v/>
      </c>
      <c r="Z375" s="7" t="str">
        <f aca="false">IF(COUNT(U375:X375)=4,(U375-V375)/2,"")</f>
        <v/>
      </c>
      <c r="AA375" s="7" t="str">
        <f aca="false">IF(COUNT(U375:X375)=4,MAX(1,MIN(10,ROUNDUP(5-Z375,0))),"")</f>
        <v/>
      </c>
      <c r="AB375" s="7" t="str">
        <f aca="false">IF(COUNT(U375:X375)=4,MAX(1,MIN(10,ROUNDUP(Y375+5,0))),"")</f>
        <v/>
      </c>
      <c r="AC375" s="6"/>
      <c r="AD375" s="6"/>
    </row>
    <row r="376" customFormat="false" ht="15" hidden="false" customHeight="true" outlineLevel="0" collapsed="false">
      <c r="A376" s="5" t="n">
        <v>375</v>
      </c>
      <c r="B376" s="5" t="s">
        <v>970</v>
      </c>
      <c r="C376" s="5" t="s">
        <v>171</v>
      </c>
      <c r="D376" s="5" t="s">
        <v>172</v>
      </c>
      <c r="E376" s="5" t="n">
        <v>284</v>
      </c>
      <c r="F376" s="5" t="s">
        <v>971</v>
      </c>
      <c r="G376" s="5" t="n">
        <v>4</v>
      </c>
      <c r="H376" s="5" t="s">
        <v>53</v>
      </c>
      <c r="I376" s="5" t="s">
        <v>54</v>
      </c>
      <c r="J376" s="5" t="s">
        <v>181</v>
      </c>
      <c r="K376" s="5" t="s">
        <v>413</v>
      </c>
      <c r="L376" s="5" t="n">
        <v>7</v>
      </c>
      <c r="M376" s="5" t="n">
        <v>3</v>
      </c>
      <c r="N376" s="5" t="n">
        <v>3</v>
      </c>
      <c r="O376" s="5" t="n">
        <v>8</v>
      </c>
      <c r="P376" s="5" t="n">
        <v>-2.5</v>
      </c>
      <c r="Q376" s="5" t="n">
        <v>2</v>
      </c>
      <c r="R376" s="5" t="n">
        <v>3</v>
      </c>
      <c r="S376" s="5" t="n">
        <v>3</v>
      </c>
      <c r="T376" s="5" t="s">
        <v>972</v>
      </c>
      <c r="U376" s="6"/>
      <c r="V376" s="6"/>
      <c r="W376" s="6"/>
      <c r="X376" s="6"/>
      <c r="Y376" s="7" t="str">
        <f aca="false">IF(COUNT(U376:X376)=4,(W376-X376)/2,"")</f>
        <v/>
      </c>
      <c r="Z376" s="7" t="str">
        <f aca="false">IF(COUNT(U376:X376)=4,(U376-V376)/2,"")</f>
        <v/>
      </c>
      <c r="AA376" s="7" t="str">
        <f aca="false">IF(COUNT(U376:X376)=4,MAX(1,MIN(10,ROUNDUP(5-Z376,0))),"")</f>
        <v/>
      </c>
      <c r="AB376" s="7" t="str">
        <f aca="false">IF(COUNT(U376:X376)=4,MAX(1,MIN(10,ROUNDUP(Y376+5,0))),"")</f>
        <v/>
      </c>
      <c r="AC376" s="6"/>
      <c r="AD376" s="6"/>
    </row>
    <row r="377" customFormat="false" ht="15" hidden="false" customHeight="true" outlineLevel="0" collapsed="false">
      <c r="A377" s="5" t="n">
        <v>376</v>
      </c>
      <c r="B377" s="5" t="s">
        <v>973</v>
      </c>
      <c r="C377" s="5" t="s">
        <v>171</v>
      </c>
      <c r="D377" s="5" t="s">
        <v>172</v>
      </c>
      <c r="E377" s="5" t="n">
        <v>284</v>
      </c>
      <c r="F377" s="5" t="s">
        <v>973</v>
      </c>
      <c r="G377" s="5" t="n">
        <v>4</v>
      </c>
      <c r="H377" s="5" t="s">
        <v>53</v>
      </c>
      <c r="I377" s="5" t="s">
        <v>54</v>
      </c>
      <c r="J377" s="5" t="s">
        <v>181</v>
      </c>
      <c r="K377" s="5" t="s">
        <v>179</v>
      </c>
      <c r="L377" s="5" t="n">
        <v>2</v>
      </c>
      <c r="M377" s="5" t="n">
        <v>6</v>
      </c>
      <c r="N377" s="5" t="n">
        <v>2</v>
      </c>
      <c r="O377" s="5" t="n">
        <v>6</v>
      </c>
      <c r="P377" s="5" t="n">
        <v>-2</v>
      </c>
      <c r="Q377" s="5" t="n">
        <v>-2</v>
      </c>
      <c r="R377" s="5" t="n">
        <v>7</v>
      </c>
      <c r="S377" s="5" t="n">
        <v>3</v>
      </c>
      <c r="T377" s="5" t="s">
        <v>449</v>
      </c>
      <c r="U377" s="6"/>
      <c r="V377" s="6"/>
      <c r="W377" s="6"/>
      <c r="X377" s="6"/>
      <c r="Y377" s="7" t="str">
        <f aca="false">IF(COUNT(U377:X377)=4,(W377-X377)/2,"")</f>
        <v/>
      </c>
      <c r="Z377" s="7" t="str">
        <f aca="false">IF(COUNT(U377:X377)=4,(U377-V377)/2,"")</f>
        <v/>
      </c>
      <c r="AA377" s="7" t="str">
        <f aca="false">IF(COUNT(U377:X377)=4,MAX(1,MIN(10,ROUNDUP(5-Z377,0))),"")</f>
        <v/>
      </c>
      <c r="AB377" s="7" t="str">
        <f aca="false">IF(COUNT(U377:X377)=4,MAX(1,MIN(10,ROUNDUP(Y377+5,0))),"")</f>
        <v/>
      </c>
      <c r="AC377" s="6"/>
      <c r="AD377" s="6"/>
    </row>
    <row r="378" customFormat="false" ht="15" hidden="false" customHeight="true" outlineLevel="0" collapsed="false">
      <c r="A378" s="5" t="n">
        <v>377</v>
      </c>
      <c r="B378" s="5" t="s">
        <v>974</v>
      </c>
      <c r="C378" s="5" t="s">
        <v>171</v>
      </c>
      <c r="D378" s="5" t="s">
        <v>172</v>
      </c>
      <c r="E378" s="5" t="n">
        <v>283</v>
      </c>
      <c r="F378" s="5" t="s">
        <v>975</v>
      </c>
      <c r="G378" s="5" t="n">
        <v>4</v>
      </c>
      <c r="H378" s="5" t="s">
        <v>53</v>
      </c>
      <c r="I378" s="5" t="s">
        <v>54</v>
      </c>
      <c r="J378" s="5" t="s">
        <v>181</v>
      </c>
      <c r="K378" s="5" t="s">
        <v>309</v>
      </c>
      <c r="L378" s="5" t="n">
        <v>2</v>
      </c>
      <c r="M378" s="5" t="n">
        <v>5</v>
      </c>
      <c r="N378" s="5" t="n">
        <v>5</v>
      </c>
      <c r="O378" s="5" t="n">
        <v>4</v>
      </c>
      <c r="P378" s="5" t="n">
        <v>0.5</v>
      </c>
      <c r="Q378" s="5" t="n">
        <v>-1.5</v>
      </c>
      <c r="R378" s="5" t="n">
        <v>7</v>
      </c>
      <c r="S378" s="5" t="n">
        <v>6</v>
      </c>
      <c r="T378" s="5" t="s">
        <v>976</v>
      </c>
      <c r="U378" s="6"/>
      <c r="V378" s="6"/>
      <c r="W378" s="6"/>
      <c r="X378" s="6"/>
      <c r="Y378" s="7" t="str">
        <f aca="false">IF(COUNT(U378:X378)=4,(W378-X378)/2,"")</f>
        <v/>
      </c>
      <c r="Z378" s="7" t="str">
        <f aca="false">IF(COUNT(U378:X378)=4,(U378-V378)/2,"")</f>
        <v/>
      </c>
      <c r="AA378" s="7" t="str">
        <f aca="false">IF(COUNT(U378:X378)=4,MAX(1,MIN(10,ROUNDUP(5-Z378,0))),"")</f>
        <v/>
      </c>
      <c r="AB378" s="7" t="str">
        <f aca="false">IF(COUNT(U378:X378)=4,MAX(1,MIN(10,ROUNDUP(Y378+5,0))),"")</f>
        <v/>
      </c>
      <c r="AC378" s="6"/>
      <c r="AD378" s="6"/>
    </row>
    <row r="379" customFormat="false" ht="15" hidden="false" customHeight="true" outlineLevel="0" collapsed="false">
      <c r="A379" s="5" t="n">
        <v>378</v>
      </c>
      <c r="B379" s="5" t="s">
        <v>977</v>
      </c>
      <c r="C379" s="5" t="s">
        <v>58</v>
      </c>
      <c r="D379" s="5" t="s">
        <v>59</v>
      </c>
      <c r="E379" s="5" t="n">
        <v>282</v>
      </c>
      <c r="F379" s="5" t="s">
        <v>977</v>
      </c>
      <c r="G379" s="5" t="n">
        <v>1</v>
      </c>
      <c r="H379" s="5" t="s">
        <v>47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 t="s">
        <v>565</v>
      </c>
      <c r="U379" s="6"/>
      <c r="V379" s="6"/>
      <c r="W379" s="6"/>
      <c r="X379" s="6"/>
      <c r="Y379" s="7" t="str">
        <f aca="false">IF(COUNT(U379:X379)=4,(W379-X379)/2,"")</f>
        <v/>
      </c>
      <c r="Z379" s="7" t="str">
        <f aca="false">IF(COUNT(U379:X379)=4,(U379-V379)/2,"")</f>
        <v/>
      </c>
      <c r="AA379" s="7" t="str">
        <f aca="false">IF(COUNT(U379:X379)=4,MAX(1,MIN(10,ROUNDUP(5-Z379,0))),"")</f>
        <v/>
      </c>
      <c r="AB379" s="7" t="str">
        <f aca="false">IF(COUNT(U379:X379)=4,MAX(1,MIN(10,ROUNDUP(Y379+5,0))),"")</f>
        <v/>
      </c>
      <c r="AC379" s="6"/>
      <c r="AD379" s="6"/>
    </row>
    <row r="380" customFormat="false" ht="15" hidden="false" customHeight="true" outlineLevel="0" collapsed="false">
      <c r="A380" s="5" t="n">
        <v>379</v>
      </c>
      <c r="B380" s="5" t="s">
        <v>978</v>
      </c>
      <c r="C380" s="5" t="s">
        <v>203</v>
      </c>
      <c r="D380" s="5" t="s">
        <v>204</v>
      </c>
      <c r="E380" s="5" t="n">
        <v>281</v>
      </c>
      <c r="F380" s="5" t="s">
        <v>979</v>
      </c>
      <c r="G380" s="5" t="n">
        <v>4</v>
      </c>
      <c r="H380" s="5" t="s">
        <v>53</v>
      </c>
      <c r="I380" s="5" t="s">
        <v>54</v>
      </c>
      <c r="J380" s="5" t="s">
        <v>117</v>
      </c>
      <c r="K380" s="5" t="s">
        <v>117</v>
      </c>
      <c r="L380" s="5" t="n">
        <v>4</v>
      </c>
      <c r="M380" s="5" t="n">
        <v>2</v>
      </c>
      <c r="N380" s="5" t="n">
        <v>3</v>
      </c>
      <c r="O380" s="5" t="n">
        <v>7</v>
      </c>
      <c r="P380" s="5" t="n">
        <v>-2</v>
      </c>
      <c r="Q380" s="5" t="n">
        <v>1</v>
      </c>
      <c r="R380" s="5" t="n">
        <v>4</v>
      </c>
      <c r="S380" s="5" t="n">
        <v>3</v>
      </c>
      <c r="T380" s="5" t="s">
        <v>334</v>
      </c>
      <c r="U380" s="6"/>
      <c r="V380" s="6"/>
      <c r="W380" s="6"/>
      <c r="X380" s="6"/>
      <c r="Y380" s="7" t="str">
        <f aca="false">IF(COUNT(U380:X380)=4,(W380-X380)/2,"")</f>
        <v/>
      </c>
      <c r="Z380" s="7" t="str">
        <f aca="false">IF(COUNT(U380:X380)=4,(U380-V380)/2,"")</f>
        <v/>
      </c>
      <c r="AA380" s="7" t="str">
        <f aca="false">IF(COUNT(U380:X380)=4,MAX(1,MIN(10,ROUNDUP(5-Z380,0))),"")</f>
        <v/>
      </c>
      <c r="AB380" s="7" t="str">
        <f aca="false">IF(COUNT(U380:X380)=4,MAX(1,MIN(10,ROUNDUP(Y380+5,0))),"")</f>
        <v/>
      </c>
      <c r="AC380" s="6"/>
      <c r="AD380" s="6"/>
    </row>
    <row r="381" customFormat="false" ht="15" hidden="false" customHeight="true" outlineLevel="0" collapsed="false">
      <c r="A381" s="5" t="n">
        <v>380</v>
      </c>
      <c r="B381" s="5" t="s">
        <v>980</v>
      </c>
      <c r="C381" s="5" t="s">
        <v>203</v>
      </c>
      <c r="D381" s="5" t="s">
        <v>204</v>
      </c>
      <c r="E381" s="5" t="n">
        <v>281</v>
      </c>
      <c r="F381" s="5" t="s">
        <v>980</v>
      </c>
      <c r="G381" s="5" t="n">
        <v>4</v>
      </c>
      <c r="H381" s="5" t="s">
        <v>53</v>
      </c>
      <c r="I381" s="5" t="s">
        <v>54</v>
      </c>
      <c r="J381" s="5" t="s">
        <v>117</v>
      </c>
      <c r="K381" s="5" t="s">
        <v>117</v>
      </c>
      <c r="L381" s="5" t="n">
        <v>2</v>
      </c>
      <c r="M381" s="5" t="n">
        <v>6</v>
      </c>
      <c r="N381" s="5" t="n">
        <v>2</v>
      </c>
      <c r="O381" s="5" t="n">
        <v>7</v>
      </c>
      <c r="P381" s="5" t="n">
        <v>-2.5</v>
      </c>
      <c r="Q381" s="5" t="n">
        <v>-2</v>
      </c>
      <c r="R381" s="5" t="n">
        <v>7</v>
      </c>
      <c r="S381" s="5" t="n">
        <v>3</v>
      </c>
      <c r="T381" s="5" t="s">
        <v>981</v>
      </c>
      <c r="U381" s="6"/>
      <c r="V381" s="6"/>
      <c r="W381" s="6"/>
      <c r="X381" s="6"/>
      <c r="Y381" s="7" t="str">
        <f aca="false">IF(COUNT(U381:X381)=4,(W381-X381)/2,"")</f>
        <v/>
      </c>
      <c r="Z381" s="7" t="str">
        <f aca="false">IF(COUNT(U381:X381)=4,(U381-V381)/2,"")</f>
        <v/>
      </c>
      <c r="AA381" s="7" t="str">
        <f aca="false">IF(COUNT(U381:X381)=4,MAX(1,MIN(10,ROUNDUP(5-Z381,0))),"")</f>
        <v/>
      </c>
      <c r="AB381" s="7" t="str">
        <f aca="false">IF(COUNT(U381:X381)=4,MAX(1,MIN(10,ROUNDUP(Y381+5,0))),"")</f>
        <v/>
      </c>
      <c r="AC381" s="6"/>
      <c r="AD381" s="6"/>
    </row>
    <row r="382" customFormat="false" ht="15" hidden="false" customHeight="true" outlineLevel="0" collapsed="false">
      <c r="A382" s="5" t="n">
        <v>381</v>
      </c>
      <c r="B382" s="5" t="s">
        <v>982</v>
      </c>
      <c r="C382" s="5" t="s">
        <v>108</v>
      </c>
      <c r="D382" s="5" t="s">
        <v>109</v>
      </c>
      <c r="E382" s="5" t="n">
        <v>281</v>
      </c>
      <c r="F382" s="5" t="s">
        <v>982</v>
      </c>
      <c r="G382" s="5" t="n">
        <v>2</v>
      </c>
      <c r="H382" s="5" t="s">
        <v>47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 t="s">
        <v>983</v>
      </c>
      <c r="U382" s="6"/>
      <c r="V382" s="6"/>
      <c r="W382" s="6"/>
      <c r="X382" s="6"/>
      <c r="Y382" s="7" t="str">
        <f aca="false">IF(COUNT(U382:X382)=4,(W382-X382)/2,"")</f>
        <v/>
      </c>
      <c r="Z382" s="7" t="str">
        <f aca="false">IF(COUNT(U382:X382)=4,(U382-V382)/2,"")</f>
        <v/>
      </c>
      <c r="AA382" s="7" t="str">
        <f aca="false">IF(COUNT(U382:X382)=4,MAX(1,MIN(10,ROUNDUP(5-Z382,0))),"")</f>
        <v/>
      </c>
      <c r="AB382" s="7" t="str">
        <f aca="false">IF(COUNT(U382:X382)=4,MAX(1,MIN(10,ROUNDUP(Y382+5,0))),"")</f>
        <v/>
      </c>
      <c r="AC382" s="6"/>
      <c r="AD382" s="6"/>
    </row>
    <row r="383" customFormat="false" ht="15" hidden="false" customHeight="true" outlineLevel="0" collapsed="false">
      <c r="A383" s="5" t="n">
        <v>382</v>
      </c>
      <c r="B383" s="5" t="s">
        <v>984</v>
      </c>
      <c r="C383" s="5" t="s">
        <v>171</v>
      </c>
      <c r="D383" s="5" t="s">
        <v>172</v>
      </c>
      <c r="E383" s="5" t="n">
        <v>280</v>
      </c>
      <c r="F383" s="5" t="s">
        <v>984</v>
      </c>
      <c r="G383" s="5" t="n">
        <v>2</v>
      </c>
      <c r="H383" s="5" t="s">
        <v>47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 t="s">
        <v>985</v>
      </c>
      <c r="U383" s="6"/>
      <c r="V383" s="6"/>
      <c r="W383" s="6"/>
      <c r="X383" s="6"/>
      <c r="Y383" s="7" t="str">
        <f aca="false">IF(COUNT(U383:X383)=4,(W383-X383)/2,"")</f>
        <v/>
      </c>
      <c r="Z383" s="7" t="str">
        <f aca="false">IF(COUNT(U383:X383)=4,(U383-V383)/2,"")</f>
        <v/>
      </c>
      <c r="AA383" s="7" t="str">
        <f aca="false">IF(COUNT(U383:X383)=4,MAX(1,MIN(10,ROUNDUP(5-Z383,0))),"")</f>
        <v/>
      </c>
      <c r="AB383" s="7" t="str">
        <f aca="false">IF(COUNT(U383:X383)=4,MAX(1,MIN(10,ROUNDUP(Y383+5,0))),"")</f>
        <v/>
      </c>
      <c r="AC383" s="6"/>
      <c r="AD383" s="6"/>
    </row>
    <row r="384" customFormat="false" ht="15" hidden="false" customHeight="true" outlineLevel="0" collapsed="false">
      <c r="A384" s="5" t="n">
        <v>383</v>
      </c>
      <c r="B384" s="5" t="s">
        <v>986</v>
      </c>
      <c r="C384" s="5" t="s">
        <v>145</v>
      </c>
      <c r="D384" s="5" t="s">
        <v>51</v>
      </c>
      <c r="E384" s="5" t="n">
        <v>280</v>
      </c>
      <c r="F384" s="5" t="s">
        <v>987</v>
      </c>
      <c r="G384" s="5" t="n">
        <v>4</v>
      </c>
      <c r="H384" s="5" t="s">
        <v>53</v>
      </c>
      <c r="I384" s="5" t="s">
        <v>54</v>
      </c>
      <c r="J384" s="5" t="s">
        <v>55</v>
      </c>
      <c r="K384" s="5" t="s">
        <v>55</v>
      </c>
      <c r="L384" s="5" t="n">
        <v>4</v>
      </c>
      <c r="M384" s="5" t="n">
        <v>3</v>
      </c>
      <c r="N384" s="5" t="n">
        <v>9</v>
      </c>
      <c r="O384" s="5" t="n">
        <v>2</v>
      </c>
      <c r="P384" s="5" t="n">
        <v>3.5</v>
      </c>
      <c r="Q384" s="5" t="n">
        <v>0.5</v>
      </c>
      <c r="R384" s="5" t="n">
        <v>5</v>
      </c>
      <c r="S384" s="5" t="n">
        <v>9</v>
      </c>
      <c r="T384" s="5" t="s">
        <v>988</v>
      </c>
      <c r="U384" s="6"/>
      <c r="V384" s="6"/>
      <c r="W384" s="6"/>
      <c r="X384" s="6"/>
      <c r="Y384" s="7" t="str">
        <f aca="false">IF(COUNT(U384:X384)=4,(W384-X384)/2,"")</f>
        <v/>
      </c>
      <c r="Z384" s="7" t="str">
        <f aca="false">IF(COUNT(U384:X384)=4,(U384-V384)/2,"")</f>
        <v/>
      </c>
      <c r="AA384" s="7" t="str">
        <f aca="false">IF(COUNT(U384:X384)=4,MAX(1,MIN(10,ROUNDUP(5-Z384,0))),"")</f>
        <v/>
      </c>
      <c r="AB384" s="7" t="str">
        <f aca="false">IF(COUNT(U384:X384)=4,MAX(1,MIN(10,ROUNDUP(Y384+5,0))),"")</f>
        <v/>
      </c>
      <c r="AC384" s="6"/>
      <c r="AD384" s="6"/>
    </row>
    <row r="385" customFormat="false" ht="15" hidden="false" customHeight="true" outlineLevel="0" collapsed="false">
      <c r="A385" s="5" t="n">
        <v>384</v>
      </c>
      <c r="B385" s="5" t="s">
        <v>989</v>
      </c>
      <c r="C385" s="5" t="s">
        <v>145</v>
      </c>
      <c r="D385" s="5" t="s">
        <v>51</v>
      </c>
      <c r="E385" s="5" t="n">
        <v>278</v>
      </c>
      <c r="F385" s="5" t="s">
        <v>990</v>
      </c>
      <c r="G385" s="5" t="n">
        <v>4</v>
      </c>
      <c r="H385" s="5" t="s">
        <v>53</v>
      </c>
      <c r="I385" s="5" t="s">
        <v>54</v>
      </c>
      <c r="J385" s="5" t="s">
        <v>55</v>
      </c>
      <c r="K385" s="5" t="s">
        <v>55</v>
      </c>
      <c r="L385" s="5" t="n">
        <v>4</v>
      </c>
      <c r="M385" s="5" t="n">
        <v>4</v>
      </c>
      <c r="N385" s="5" t="n">
        <v>6</v>
      </c>
      <c r="O385" s="5" t="n">
        <v>4</v>
      </c>
      <c r="P385" s="5" t="n">
        <v>1</v>
      </c>
      <c r="Q385" s="5" t="n">
        <v>0</v>
      </c>
      <c r="R385" s="5" t="n">
        <v>5</v>
      </c>
      <c r="S385" s="5" t="n">
        <v>6</v>
      </c>
      <c r="T385" s="5" t="s">
        <v>991</v>
      </c>
      <c r="U385" s="6"/>
      <c r="V385" s="6"/>
      <c r="W385" s="6"/>
      <c r="X385" s="6"/>
      <c r="Y385" s="7" t="str">
        <f aca="false">IF(COUNT(U385:X385)=4,(W385-X385)/2,"")</f>
        <v/>
      </c>
      <c r="Z385" s="7" t="str">
        <f aca="false">IF(COUNT(U385:X385)=4,(U385-V385)/2,"")</f>
        <v/>
      </c>
      <c r="AA385" s="7" t="str">
        <f aca="false">IF(COUNT(U385:X385)=4,MAX(1,MIN(10,ROUNDUP(5-Z385,0))),"")</f>
        <v/>
      </c>
      <c r="AB385" s="7" t="str">
        <f aca="false">IF(COUNT(U385:X385)=4,MAX(1,MIN(10,ROUNDUP(Y385+5,0))),"")</f>
        <v/>
      </c>
      <c r="AC385" s="6"/>
      <c r="AD385" s="6"/>
    </row>
    <row r="386" customFormat="false" ht="15" hidden="false" customHeight="true" outlineLevel="0" collapsed="false">
      <c r="A386" s="5" t="n">
        <v>385</v>
      </c>
      <c r="B386" s="5" t="s">
        <v>992</v>
      </c>
      <c r="C386" s="5" t="s">
        <v>145</v>
      </c>
      <c r="D386" s="5" t="s">
        <v>51</v>
      </c>
      <c r="E386" s="5" t="n">
        <v>278</v>
      </c>
      <c r="F386" s="5" t="s">
        <v>993</v>
      </c>
      <c r="G386" s="5" t="n">
        <v>4</v>
      </c>
      <c r="H386" s="5" t="s">
        <v>53</v>
      </c>
      <c r="I386" s="5" t="s">
        <v>54</v>
      </c>
      <c r="J386" s="5" t="s">
        <v>55</v>
      </c>
      <c r="K386" s="5" t="s">
        <v>55</v>
      </c>
      <c r="L386" s="5" t="n">
        <v>4</v>
      </c>
      <c r="M386" s="5" t="n">
        <v>3</v>
      </c>
      <c r="N386" s="5" t="n">
        <v>3</v>
      </c>
      <c r="O386" s="5" t="n">
        <v>6</v>
      </c>
      <c r="P386" s="5" t="n">
        <v>-1.5</v>
      </c>
      <c r="Q386" s="5" t="n">
        <v>0.5</v>
      </c>
      <c r="R386" s="5" t="n">
        <v>5</v>
      </c>
      <c r="S386" s="5" t="n">
        <v>4</v>
      </c>
      <c r="T386" s="5" t="s">
        <v>302</v>
      </c>
      <c r="U386" s="6"/>
      <c r="V386" s="6"/>
      <c r="W386" s="6"/>
      <c r="X386" s="6"/>
      <c r="Y386" s="7" t="str">
        <f aca="false">IF(COUNT(U386:X386)=4,(W386-X386)/2,"")</f>
        <v/>
      </c>
      <c r="Z386" s="7" t="str">
        <f aca="false">IF(COUNT(U386:X386)=4,(U386-V386)/2,"")</f>
        <v/>
      </c>
      <c r="AA386" s="7" t="str">
        <f aca="false">IF(COUNT(U386:X386)=4,MAX(1,MIN(10,ROUNDUP(5-Z386,0))),"")</f>
        <v/>
      </c>
      <c r="AB386" s="7" t="str">
        <f aca="false">IF(COUNT(U386:X386)=4,MAX(1,MIN(10,ROUNDUP(Y386+5,0))),"")</f>
        <v/>
      </c>
      <c r="AC386" s="6"/>
      <c r="AD386" s="6"/>
    </row>
    <row r="387" customFormat="false" ht="15" hidden="false" customHeight="true" outlineLevel="0" collapsed="false">
      <c r="A387" s="5" t="n">
        <v>386</v>
      </c>
      <c r="B387" s="5" t="s">
        <v>994</v>
      </c>
      <c r="C387" s="5" t="s">
        <v>171</v>
      </c>
      <c r="D387" s="5" t="s">
        <v>172</v>
      </c>
      <c r="E387" s="5" t="n">
        <v>278</v>
      </c>
      <c r="F387" s="5" t="s">
        <v>995</v>
      </c>
      <c r="G387" s="5" t="n">
        <v>4</v>
      </c>
      <c r="H387" s="5" t="s">
        <v>53</v>
      </c>
      <c r="I387" s="5" t="s">
        <v>54</v>
      </c>
      <c r="J387" s="5" t="s">
        <v>181</v>
      </c>
      <c r="K387" s="5" t="s">
        <v>309</v>
      </c>
      <c r="L387" s="5" t="n">
        <v>2</v>
      </c>
      <c r="M387" s="5" t="n">
        <v>5</v>
      </c>
      <c r="N387" s="5" t="n">
        <v>5</v>
      </c>
      <c r="O387" s="5" t="n">
        <v>4</v>
      </c>
      <c r="P387" s="5" t="n">
        <v>0.5</v>
      </c>
      <c r="Q387" s="5" t="n">
        <v>-1.5</v>
      </c>
      <c r="R387" s="5" t="n">
        <v>7</v>
      </c>
      <c r="S387" s="5" t="n">
        <v>6</v>
      </c>
      <c r="T387" s="5" t="s">
        <v>996</v>
      </c>
      <c r="U387" s="6"/>
      <c r="V387" s="6"/>
      <c r="W387" s="6"/>
      <c r="X387" s="6"/>
      <c r="Y387" s="7" t="str">
        <f aca="false">IF(COUNT(U387:X387)=4,(W387-X387)/2,"")</f>
        <v/>
      </c>
      <c r="Z387" s="7" t="str">
        <f aca="false">IF(COUNT(U387:X387)=4,(U387-V387)/2,"")</f>
        <v/>
      </c>
      <c r="AA387" s="7" t="str">
        <f aca="false">IF(COUNT(U387:X387)=4,MAX(1,MIN(10,ROUNDUP(5-Z387,0))),"")</f>
        <v/>
      </c>
      <c r="AB387" s="7" t="str">
        <f aca="false">IF(COUNT(U387:X387)=4,MAX(1,MIN(10,ROUNDUP(Y387+5,0))),"")</f>
        <v/>
      </c>
      <c r="AC387" s="6"/>
      <c r="AD387" s="6"/>
    </row>
    <row r="388" customFormat="false" ht="15" hidden="false" customHeight="true" outlineLevel="0" collapsed="false">
      <c r="A388" s="5" t="n">
        <v>387</v>
      </c>
      <c r="B388" s="5" t="s">
        <v>997</v>
      </c>
      <c r="C388" s="5" t="s">
        <v>171</v>
      </c>
      <c r="D388" s="5" t="s">
        <v>172</v>
      </c>
      <c r="E388" s="5" t="n">
        <v>277</v>
      </c>
      <c r="F388" s="5" t="s">
        <v>998</v>
      </c>
      <c r="G388" s="5" t="n">
        <v>4</v>
      </c>
      <c r="H388" s="5" t="s">
        <v>53</v>
      </c>
      <c r="I388" s="5" t="s">
        <v>54</v>
      </c>
      <c r="J388" s="5" t="s">
        <v>181</v>
      </c>
      <c r="K388" s="5" t="s">
        <v>443</v>
      </c>
      <c r="L388" s="5" t="n">
        <v>5</v>
      </c>
      <c r="M388" s="5" t="n">
        <v>3</v>
      </c>
      <c r="N388" s="5" t="n">
        <v>4</v>
      </c>
      <c r="O388" s="5" t="n">
        <v>8</v>
      </c>
      <c r="P388" s="5" t="n">
        <v>-2</v>
      </c>
      <c r="Q388" s="5" t="n">
        <v>1</v>
      </c>
      <c r="R388" s="5" t="n">
        <v>4</v>
      </c>
      <c r="S388" s="5" t="n">
        <v>3</v>
      </c>
      <c r="T388" s="5" t="s">
        <v>999</v>
      </c>
      <c r="U388" s="6"/>
      <c r="V388" s="6"/>
      <c r="W388" s="6"/>
      <c r="X388" s="6"/>
      <c r="Y388" s="7" t="str">
        <f aca="false">IF(COUNT(U388:X388)=4,(W388-X388)/2,"")</f>
        <v/>
      </c>
      <c r="Z388" s="7" t="str">
        <f aca="false">IF(COUNT(U388:X388)=4,(U388-V388)/2,"")</f>
        <v/>
      </c>
      <c r="AA388" s="7" t="str">
        <f aca="false">IF(COUNT(U388:X388)=4,MAX(1,MIN(10,ROUNDUP(5-Z388,0))),"")</f>
        <v/>
      </c>
      <c r="AB388" s="7" t="str">
        <f aca="false">IF(COUNT(U388:X388)=4,MAX(1,MIN(10,ROUNDUP(Y388+5,0))),"")</f>
        <v/>
      </c>
      <c r="AC388" s="6"/>
      <c r="AD388" s="6"/>
    </row>
    <row r="389" customFormat="false" ht="15" hidden="false" customHeight="true" outlineLevel="0" collapsed="false">
      <c r="A389" s="5" t="n">
        <v>388</v>
      </c>
      <c r="B389" s="5" t="s">
        <v>1000</v>
      </c>
      <c r="C389" s="5" t="s">
        <v>67</v>
      </c>
      <c r="D389" s="5" t="s">
        <v>68</v>
      </c>
      <c r="E389" s="5" t="n">
        <v>277</v>
      </c>
      <c r="F389" s="5" t="s">
        <v>1001</v>
      </c>
      <c r="G389" s="5" t="n">
        <v>1</v>
      </c>
      <c r="H389" s="5" t="s">
        <v>47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 t="s">
        <v>1002</v>
      </c>
      <c r="U389" s="6"/>
      <c r="V389" s="6"/>
      <c r="W389" s="6"/>
      <c r="X389" s="6"/>
      <c r="Y389" s="7" t="str">
        <f aca="false">IF(COUNT(U389:X389)=4,(W389-X389)/2,"")</f>
        <v/>
      </c>
      <c r="Z389" s="7" t="str">
        <f aca="false">IF(COUNT(U389:X389)=4,(U389-V389)/2,"")</f>
        <v/>
      </c>
      <c r="AA389" s="7" t="str">
        <f aca="false">IF(COUNT(U389:X389)=4,MAX(1,MIN(10,ROUNDUP(5-Z389,0))),"")</f>
        <v/>
      </c>
      <c r="AB389" s="7" t="str">
        <f aca="false">IF(COUNT(U389:X389)=4,MAX(1,MIN(10,ROUNDUP(Y389+5,0))),"")</f>
        <v/>
      </c>
      <c r="AC389" s="6"/>
      <c r="AD389" s="6"/>
    </row>
    <row r="390" customFormat="false" ht="15" hidden="false" customHeight="true" outlineLevel="0" collapsed="false">
      <c r="A390" s="5" t="n">
        <v>389</v>
      </c>
      <c r="B390" s="5" t="s">
        <v>1003</v>
      </c>
      <c r="C390" s="5" t="s">
        <v>145</v>
      </c>
      <c r="D390" s="5" t="s">
        <v>51</v>
      </c>
      <c r="E390" s="5" t="n">
        <v>276</v>
      </c>
      <c r="F390" s="5" t="s">
        <v>1004</v>
      </c>
      <c r="G390" s="5" t="n">
        <v>4</v>
      </c>
      <c r="H390" s="5" t="s">
        <v>53</v>
      </c>
      <c r="I390" s="5" t="s">
        <v>54</v>
      </c>
      <c r="J390" s="5" t="s">
        <v>181</v>
      </c>
      <c r="K390" s="5" t="s">
        <v>413</v>
      </c>
      <c r="L390" s="5" t="n">
        <v>7</v>
      </c>
      <c r="M390" s="5" t="n">
        <v>5</v>
      </c>
      <c r="N390" s="5" t="n">
        <v>3</v>
      </c>
      <c r="O390" s="5" t="n">
        <v>8</v>
      </c>
      <c r="P390" s="5" t="n">
        <v>-2.5</v>
      </c>
      <c r="Q390" s="5" t="n">
        <v>1</v>
      </c>
      <c r="R390" s="5" t="n">
        <v>4</v>
      </c>
      <c r="S390" s="5" t="n">
        <v>3</v>
      </c>
      <c r="T390" s="5" t="s">
        <v>1005</v>
      </c>
      <c r="U390" s="6"/>
      <c r="V390" s="6"/>
      <c r="W390" s="6"/>
      <c r="X390" s="6"/>
      <c r="Y390" s="7" t="str">
        <f aca="false">IF(COUNT(U390:X390)=4,(W390-X390)/2,"")</f>
        <v/>
      </c>
      <c r="Z390" s="7" t="str">
        <f aca="false">IF(COUNT(U390:X390)=4,(U390-V390)/2,"")</f>
        <v/>
      </c>
      <c r="AA390" s="7" t="str">
        <f aca="false">IF(COUNT(U390:X390)=4,MAX(1,MIN(10,ROUNDUP(5-Z390,0))),"")</f>
        <v/>
      </c>
      <c r="AB390" s="7" t="str">
        <f aca="false">IF(COUNT(U390:X390)=4,MAX(1,MIN(10,ROUNDUP(Y390+5,0))),"")</f>
        <v/>
      </c>
      <c r="AC390" s="6"/>
      <c r="AD390" s="6"/>
    </row>
    <row r="391" customFormat="false" ht="15" hidden="false" customHeight="true" outlineLevel="0" collapsed="false">
      <c r="A391" s="5" t="n">
        <v>390</v>
      </c>
      <c r="B391" s="5" t="s">
        <v>1006</v>
      </c>
      <c r="C391" s="5" t="s">
        <v>145</v>
      </c>
      <c r="D391" s="5" t="s">
        <v>51</v>
      </c>
      <c r="E391" s="5" t="n">
        <v>276</v>
      </c>
      <c r="F391" s="5" t="s">
        <v>1007</v>
      </c>
      <c r="G391" s="5" t="n">
        <v>4</v>
      </c>
      <c r="H391" s="5" t="s">
        <v>53</v>
      </c>
      <c r="I391" s="5" t="s">
        <v>54</v>
      </c>
      <c r="J391" s="5" t="s">
        <v>55</v>
      </c>
      <c r="K391" s="5" t="s">
        <v>55</v>
      </c>
      <c r="L391" s="5" t="n">
        <v>5</v>
      </c>
      <c r="M391" s="5" t="n">
        <v>2</v>
      </c>
      <c r="N391" s="5" t="n">
        <v>3</v>
      </c>
      <c r="O391" s="5" t="n">
        <v>8</v>
      </c>
      <c r="P391" s="5" t="n">
        <v>-2.5</v>
      </c>
      <c r="Q391" s="5" t="n">
        <v>1.5</v>
      </c>
      <c r="R391" s="5" t="n">
        <v>4</v>
      </c>
      <c r="S391" s="5" t="n">
        <v>3</v>
      </c>
      <c r="T391" s="5" t="s">
        <v>245</v>
      </c>
      <c r="U391" s="6"/>
      <c r="V391" s="6"/>
      <c r="W391" s="6"/>
      <c r="X391" s="6"/>
      <c r="Y391" s="7" t="str">
        <f aca="false">IF(COUNT(U391:X391)=4,(W391-X391)/2,"")</f>
        <v/>
      </c>
      <c r="Z391" s="7" t="str">
        <f aca="false">IF(COUNT(U391:X391)=4,(U391-V391)/2,"")</f>
        <v/>
      </c>
      <c r="AA391" s="7" t="str">
        <f aca="false">IF(COUNT(U391:X391)=4,MAX(1,MIN(10,ROUNDUP(5-Z391,0))),"")</f>
        <v/>
      </c>
      <c r="AB391" s="7" t="str">
        <f aca="false">IF(COUNT(U391:X391)=4,MAX(1,MIN(10,ROUNDUP(Y391+5,0))),"")</f>
        <v/>
      </c>
      <c r="AC391" s="6"/>
      <c r="AD391" s="6"/>
    </row>
    <row r="392" customFormat="false" ht="15" hidden="false" customHeight="true" outlineLevel="0" collapsed="false">
      <c r="A392" s="5" t="n">
        <v>391</v>
      </c>
      <c r="B392" s="5" t="s">
        <v>1008</v>
      </c>
      <c r="C392" s="5" t="s">
        <v>145</v>
      </c>
      <c r="D392" s="5" t="s">
        <v>51</v>
      </c>
      <c r="E392" s="5" t="n">
        <v>276</v>
      </c>
      <c r="F392" s="5" t="s">
        <v>1009</v>
      </c>
      <c r="G392" s="5" t="n">
        <v>4</v>
      </c>
      <c r="H392" s="5" t="s">
        <v>53</v>
      </c>
      <c r="I392" s="5" t="s">
        <v>54</v>
      </c>
      <c r="J392" s="5" t="s">
        <v>181</v>
      </c>
      <c r="K392" s="5" t="s">
        <v>235</v>
      </c>
      <c r="L392" s="5" t="n">
        <v>4</v>
      </c>
      <c r="M392" s="5" t="n">
        <v>4</v>
      </c>
      <c r="N392" s="5" t="n">
        <v>7</v>
      </c>
      <c r="O392" s="5" t="n">
        <v>4</v>
      </c>
      <c r="P392" s="5" t="n">
        <v>1.5</v>
      </c>
      <c r="Q392" s="5" t="n">
        <v>0</v>
      </c>
      <c r="R392" s="5" t="n">
        <v>5</v>
      </c>
      <c r="S392" s="5" t="n">
        <v>7</v>
      </c>
      <c r="T392" s="5" t="s">
        <v>1010</v>
      </c>
      <c r="U392" s="6"/>
      <c r="V392" s="6"/>
      <c r="W392" s="6"/>
      <c r="X392" s="6"/>
      <c r="Y392" s="7" t="str">
        <f aca="false">IF(COUNT(U392:X392)=4,(W392-X392)/2,"")</f>
        <v/>
      </c>
      <c r="Z392" s="7" t="str">
        <f aca="false">IF(COUNT(U392:X392)=4,(U392-V392)/2,"")</f>
        <v/>
      </c>
      <c r="AA392" s="7" t="str">
        <f aca="false">IF(COUNT(U392:X392)=4,MAX(1,MIN(10,ROUNDUP(5-Z392,0))),"")</f>
        <v/>
      </c>
      <c r="AB392" s="7" t="str">
        <f aca="false">IF(COUNT(U392:X392)=4,MAX(1,MIN(10,ROUNDUP(Y392+5,0))),"")</f>
        <v/>
      </c>
      <c r="AC392" s="6"/>
      <c r="AD392" s="6"/>
    </row>
    <row r="393" customFormat="false" ht="15" hidden="false" customHeight="true" outlineLevel="0" collapsed="false">
      <c r="A393" s="5" t="n">
        <v>392</v>
      </c>
      <c r="B393" s="5" t="s">
        <v>1011</v>
      </c>
      <c r="C393" s="5" t="s">
        <v>171</v>
      </c>
      <c r="D393" s="5" t="s">
        <v>172</v>
      </c>
      <c r="E393" s="5" t="n">
        <v>275</v>
      </c>
      <c r="F393" s="5" t="s">
        <v>1012</v>
      </c>
      <c r="G393" s="5" t="n">
        <v>4</v>
      </c>
      <c r="H393" s="5" t="s">
        <v>53</v>
      </c>
      <c r="I393" s="5" t="s">
        <v>81</v>
      </c>
      <c r="J393" s="5" t="s">
        <v>174</v>
      </c>
      <c r="K393" s="5" t="s">
        <v>347</v>
      </c>
      <c r="L393" s="5" t="n">
        <v>5</v>
      </c>
      <c r="M393" s="5" t="n">
        <v>2</v>
      </c>
      <c r="N393" s="5" t="n">
        <v>9</v>
      </c>
      <c r="O393" s="5" t="n">
        <v>2</v>
      </c>
      <c r="P393" s="5" t="n">
        <v>3.5</v>
      </c>
      <c r="Q393" s="5" t="n">
        <v>1.5</v>
      </c>
      <c r="R393" s="5" t="n">
        <v>4</v>
      </c>
      <c r="S393" s="5" t="n">
        <v>9</v>
      </c>
      <c r="T393" s="5" t="s">
        <v>420</v>
      </c>
      <c r="U393" s="6"/>
      <c r="V393" s="6"/>
      <c r="W393" s="6"/>
      <c r="X393" s="6"/>
      <c r="Y393" s="7" t="str">
        <f aca="false">IF(COUNT(U393:X393)=4,(W393-X393)/2,"")</f>
        <v/>
      </c>
      <c r="Z393" s="7" t="str">
        <f aca="false">IF(COUNT(U393:X393)=4,(U393-V393)/2,"")</f>
        <v/>
      </c>
      <c r="AA393" s="7" t="str">
        <f aca="false">IF(COUNT(U393:X393)=4,MAX(1,MIN(10,ROUNDUP(5-Z393,0))),"")</f>
        <v/>
      </c>
      <c r="AB393" s="7" t="str">
        <f aca="false">IF(COUNT(U393:X393)=4,MAX(1,MIN(10,ROUNDUP(Y393+5,0))),"")</f>
        <v/>
      </c>
      <c r="AC393" s="6"/>
      <c r="AD393" s="6"/>
    </row>
    <row r="394" customFormat="false" ht="15" hidden="false" customHeight="true" outlineLevel="0" collapsed="false">
      <c r="A394" s="5" t="n">
        <v>393</v>
      </c>
      <c r="B394" s="5" t="s">
        <v>1013</v>
      </c>
      <c r="C394" s="5" t="s">
        <v>171</v>
      </c>
      <c r="D394" s="5" t="s">
        <v>172</v>
      </c>
      <c r="E394" s="5" t="n">
        <v>275</v>
      </c>
      <c r="F394" s="5" t="s">
        <v>1014</v>
      </c>
      <c r="G394" s="5" t="n">
        <v>4</v>
      </c>
      <c r="H394" s="5" t="s">
        <v>53</v>
      </c>
      <c r="I394" s="5" t="s">
        <v>54</v>
      </c>
      <c r="J394" s="5" t="s">
        <v>181</v>
      </c>
      <c r="K394" s="5" t="s">
        <v>309</v>
      </c>
      <c r="L394" s="5" t="n">
        <v>2</v>
      </c>
      <c r="M394" s="5" t="n">
        <v>5</v>
      </c>
      <c r="N394" s="5" t="n">
        <v>5</v>
      </c>
      <c r="O394" s="5" t="n">
        <v>4</v>
      </c>
      <c r="P394" s="5" t="n">
        <v>0.5</v>
      </c>
      <c r="Q394" s="5" t="n">
        <v>-1.5</v>
      </c>
      <c r="R394" s="5" t="n">
        <v>7</v>
      </c>
      <c r="S394" s="5" t="n">
        <v>6</v>
      </c>
      <c r="T394" s="5" t="s">
        <v>1015</v>
      </c>
      <c r="U394" s="6"/>
      <c r="V394" s="6"/>
      <c r="W394" s="6"/>
      <c r="X394" s="6"/>
      <c r="Y394" s="7" t="str">
        <f aca="false">IF(COUNT(U394:X394)=4,(W394-X394)/2,"")</f>
        <v/>
      </c>
      <c r="Z394" s="7" t="str">
        <f aca="false">IF(COUNT(U394:X394)=4,(U394-V394)/2,"")</f>
        <v/>
      </c>
      <c r="AA394" s="7" t="str">
        <f aca="false">IF(COUNT(U394:X394)=4,MAX(1,MIN(10,ROUNDUP(5-Z394,0))),"")</f>
        <v/>
      </c>
      <c r="AB394" s="7" t="str">
        <f aca="false">IF(COUNT(U394:X394)=4,MAX(1,MIN(10,ROUNDUP(Y394+5,0))),"")</f>
        <v/>
      </c>
      <c r="AC394" s="6"/>
      <c r="AD394" s="6"/>
    </row>
    <row r="395" customFormat="false" ht="15" hidden="false" customHeight="true" outlineLevel="0" collapsed="false">
      <c r="A395" s="5" t="n">
        <v>394</v>
      </c>
      <c r="B395" s="5" t="s">
        <v>1016</v>
      </c>
      <c r="C395" s="5" t="s">
        <v>108</v>
      </c>
      <c r="D395" s="5" t="s">
        <v>109</v>
      </c>
      <c r="E395" s="5" t="n">
        <v>275</v>
      </c>
      <c r="F395" s="5" t="s">
        <v>1016</v>
      </c>
      <c r="G395" s="5" t="n">
        <v>4</v>
      </c>
      <c r="H395" s="5" t="s">
        <v>53</v>
      </c>
      <c r="I395" s="5" t="s">
        <v>54</v>
      </c>
      <c r="J395" s="5" t="s">
        <v>117</v>
      </c>
      <c r="K395" s="5" t="s">
        <v>117</v>
      </c>
      <c r="L395" s="5" t="n">
        <v>3</v>
      </c>
      <c r="M395" s="5" t="n">
        <v>1</v>
      </c>
      <c r="N395" s="5" t="n">
        <v>1</v>
      </c>
      <c r="O395" s="5" t="n">
        <v>8</v>
      </c>
      <c r="P395" s="5" t="n">
        <v>-3.5</v>
      </c>
      <c r="Q395" s="5" t="n">
        <v>1</v>
      </c>
      <c r="R395" s="5" t="n">
        <v>4</v>
      </c>
      <c r="S395" s="5" t="n">
        <v>2</v>
      </c>
      <c r="T395" s="5" t="s">
        <v>1017</v>
      </c>
      <c r="U395" s="6"/>
      <c r="V395" s="6"/>
      <c r="W395" s="6"/>
      <c r="X395" s="6"/>
      <c r="Y395" s="7" t="str">
        <f aca="false">IF(COUNT(U395:X395)=4,(W395-X395)/2,"")</f>
        <v/>
      </c>
      <c r="Z395" s="7" t="str">
        <f aca="false">IF(COUNT(U395:X395)=4,(U395-V395)/2,"")</f>
        <v/>
      </c>
      <c r="AA395" s="7" t="str">
        <f aca="false">IF(COUNT(U395:X395)=4,MAX(1,MIN(10,ROUNDUP(5-Z395,0))),"")</f>
        <v/>
      </c>
      <c r="AB395" s="7" t="str">
        <f aca="false">IF(COUNT(U395:X395)=4,MAX(1,MIN(10,ROUNDUP(Y395+5,0))),"")</f>
        <v/>
      </c>
      <c r="AC395" s="6"/>
      <c r="AD395" s="6"/>
    </row>
    <row r="396" customFormat="false" ht="15" hidden="false" customHeight="true" outlineLevel="0" collapsed="false">
      <c r="A396" s="5" t="n">
        <v>395</v>
      </c>
      <c r="B396" s="5" t="s">
        <v>1018</v>
      </c>
      <c r="C396" s="5" t="s">
        <v>171</v>
      </c>
      <c r="D396" s="5" t="s">
        <v>172</v>
      </c>
      <c r="E396" s="5" t="n">
        <v>274</v>
      </c>
      <c r="F396" s="5" t="s">
        <v>1019</v>
      </c>
      <c r="G396" s="5" t="n">
        <v>4</v>
      </c>
      <c r="H396" s="5" t="s">
        <v>53</v>
      </c>
      <c r="I396" s="5" t="s">
        <v>54</v>
      </c>
      <c r="J396" s="5" t="s">
        <v>181</v>
      </c>
      <c r="K396" s="5" t="s">
        <v>333</v>
      </c>
      <c r="L396" s="5" t="n">
        <v>3</v>
      </c>
      <c r="M396" s="5" t="n">
        <v>4</v>
      </c>
      <c r="N396" s="5" t="n">
        <v>8</v>
      </c>
      <c r="O396" s="5" t="n">
        <v>2</v>
      </c>
      <c r="P396" s="5" t="n">
        <v>3</v>
      </c>
      <c r="Q396" s="5" t="n">
        <v>-0.5</v>
      </c>
      <c r="R396" s="5" t="n">
        <v>6</v>
      </c>
      <c r="S396" s="5" t="n">
        <v>8</v>
      </c>
      <c r="T396" s="5" t="s">
        <v>417</v>
      </c>
      <c r="U396" s="6"/>
      <c r="V396" s="6"/>
      <c r="W396" s="6"/>
      <c r="X396" s="6"/>
      <c r="Y396" s="7" t="str">
        <f aca="false">IF(COUNT(U396:X396)=4,(W396-X396)/2,"")</f>
        <v/>
      </c>
      <c r="Z396" s="7" t="str">
        <f aca="false">IF(COUNT(U396:X396)=4,(U396-V396)/2,"")</f>
        <v/>
      </c>
      <c r="AA396" s="7" t="str">
        <f aca="false">IF(COUNT(U396:X396)=4,MAX(1,MIN(10,ROUNDUP(5-Z396,0))),"")</f>
        <v/>
      </c>
      <c r="AB396" s="7" t="str">
        <f aca="false">IF(COUNT(U396:X396)=4,MAX(1,MIN(10,ROUNDUP(Y396+5,0))),"")</f>
        <v/>
      </c>
      <c r="AC396" s="6"/>
      <c r="AD396" s="6"/>
    </row>
    <row r="397" customFormat="false" ht="15" hidden="false" customHeight="true" outlineLevel="0" collapsed="false">
      <c r="A397" s="5" t="n">
        <v>396</v>
      </c>
      <c r="B397" s="5" t="s">
        <v>1020</v>
      </c>
      <c r="C397" s="5" t="s">
        <v>145</v>
      </c>
      <c r="D397" s="5" t="s">
        <v>51</v>
      </c>
      <c r="E397" s="5" t="n">
        <v>274</v>
      </c>
      <c r="F397" s="5" t="s">
        <v>1021</v>
      </c>
      <c r="G397" s="5" t="n">
        <v>4</v>
      </c>
      <c r="H397" s="5" t="s">
        <v>53</v>
      </c>
      <c r="I397" s="5" t="s">
        <v>54</v>
      </c>
      <c r="J397" s="5" t="s">
        <v>55</v>
      </c>
      <c r="K397" s="5" t="s">
        <v>55</v>
      </c>
      <c r="L397" s="5" t="n">
        <v>4</v>
      </c>
      <c r="M397" s="5" t="n">
        <v>6</v>
      </c>
      <c r="N397" s="5" t="n">
        <v>4</v>
      </c>
      <c r="O397" s="5" t="n">
        <v>6</v>
      </c>
      <c r="P397" s="5" t="n">
        <v>-1</v>
      </c>
      <c r="Q397" s="5" t="n">
        <v>-1</v>
      </c>
      <c r="R397" s="5" t="n">
        <v>6</v>
      </c>
      <c r="S397" s="5" t="n">
        <v>4</v>
      </c>
      <c r="T397" s="5" t="s">
        <v>1022</v>
      </c>
      <c r="U397" s="6"/>
      <c r="V397" s="6"/>
      <c r="W397" s="6"/>
      <c r="X397" s="6"/>
      <c r="Y397" s="7" t="str">
        <f aca="false">IF(COUNT(U397:X397)=4,(W397-X397)/2,"")</f>
        <v/>
      </c>
      <c r="Z397" s="7" t="str">
        <f aca="false">IF(COUNT(U397:X397)=4,(U397-V397)/2,"")</f>
        <v/>
      </c>
      <c r="AA397" s="7" t="str">
        <f aca="false">IF(COUNT(U397:X397)=4,MAX(1,MIN(10,ROUNDUP(5-Z397,0))),"")</f>
        <v/>
      </c>
      <c r="AB397" s="7" t="str">
        <f aca="false">IF(COUNT(U397:X397)=4,MAX(1,MIN(10,ROUNDUP(Y397+5,0))),"")</f>
        <v/>
      </c>
      <c r="AC397" s="6"/>
      <c r="AD397" s="6"/>
    </row>
    <row r="398" customFormat="false" ht="15" hidden="false" customHeight="true" outlineLevel="0" collapsed="false">
      <c r="A398" s="5" t="n">
        <v>397</v>
      </c>
      <c r="B398" s="5" t="s">
        <v>1023</v>
      </c>
      <c r="C398" s="5" t="s">
        <v>108</v>
      </c>
      <c r="D398" s="5" t="s">
        <v>109</v>
      </c>
      <c r="E398" s="5" t="n">
        <v>273</v>
      </c>
      <c r="F398" s="5" t="s">
        <v>1023</v>
      </c>
      <c r="G398" s="5" t="n">
        <v>2</v>
      </c>
      <c r="H398" s="5" t="s">
        <v>47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 t="s">
        <v>575</v>
      </c>
      <c r="U398" s="6"/>
      <c r="V398" s="6"/>
      <c r="W398" s="6"/>
      <c r="X398" s="6"/>
      <c r="Y398" s="7" t="str">
        <f aca="false">IF(COUNT(U398:X398)=4,(W398-X398)/2,"")</f>
        <v/>
      </c>
      <c r="Z398" s="7" t="str">
        <f aca="false">IF(COUNT(U398:X398)=4,(U398-V398)/2,"")</f>
        <v/>
      </c>
      <c r="AA398" s="7" t="str">
        <f aca="false">IF(COUNT(U398:X398)=4,MAX(1,MIN(10,ROUNDUP(5-Z398,0))),"")</f>
        <v/>
      </c>
      <c r="AB398" s="7" t="str">
        <f aca="false">IF(COUNT(U398:X398)=4,MAX(1,MIN(10,ROUNDUP(Y398+5,0))),"")</f>
        <v/>
      </c>
      <c r="AC398" s="6"/>
      <c r="AD398" s="6"/>
    </row>
    <row r="399" customFormat="false" ht="15" hidden="false" customHeight="true" outlineLevel="0" collapsed="false">
      <c r="A399" s="5" t="n">
        <v>398</v>
      </c>
      <c r="B399" s="5" t="s">
        <v>1024</v>
      </c>
      <c r="C399" s="5" t="s">
        <v>145</v>
      </c>
      <c r="D399" s="5" t="s">
        <v>51</v>
      </c>
      <c r="E399" s="5" t="n">
        <v>273</v>
      </c>
      <c r="F399" s="5" t="s">
        <v>1025</v>
      </c>
      <c r="G399" s="5" t="n">
        <v>4</v>
      </c>
      <c r="H399" s="5" t="s">
        <v>53</v>
      </c>
      <c r="I399" s="5" t="s">
        <v>54</v>
      </c>
      <c r="J399" s="5" t="s">
        <v>55</v>
      </c>
      <c r="K399" s="5" t="s">
        <v>55</v>
      </c>
      <c r="L399" s="5" t="n">
        <v>5</v>
      </c>
      <c r="M399" s="5" t="n">
        <v>2</v>
      </c>
      <c r="N399" s="5" t="n">
        <v>4</v>
      </c>
      <c r="O399" s="5" t="n">
        <v>8</v>
      </c>
      <c r="P399" s="5" t="n">
        <v>-2</v>
      </c>
      <c r="Q399" s="5" t="n">
        <v>1.5</v>
      </c>
      <c r="R399" s="5" t="n">
        <v>4</v>
      </c>
      <c r="S399" s="5" t="n">
        <v>3</v>
      </c>
      <c r="T399" s="5" t="s">
        <v>1026</v>
      </c>
      <c r="U399" s="6"/>
      <c r="V399" s="6"/>
      <c r="W399" s="6"/>
      <c r="X399" s="6"/>
      <c r="Y399" s="7" t="str">
        <f aca="false">IF(COUNT(U399:X399)=4,(W399-X399)/2,"")</f>
        <v/>
      </c>
      <c r="Z399" s="7" t="str">
        <f aca="false">IF(COUNT(U399:X399)=4,(U399-V399)/2,"")</f>
        <v/>
      </c>
      <c r="AA399" s="7" t="str">
        <f aca="false">IF(COUNT(U399:X399)=4,MAX(1,MIN(10,ROUNDUP(5-Z399,0))),"")</f>
        <v/>
      </c>
      <c r="AB399" s="7" t="str">
        <f aca="false">IF(COUNT(U399:X399)=4,MAX(1,MIN(10,ROUNDUP(Y399+5,0))),"")</f>
        <v/>
      </c>
      <c r="AC399" s="6"/>
      <c r="AD399" s="6"/>
    </row>
    <row r="400" customFormat="false" ht="15" hidden="false" customHeight="true" outlineLevel="0" collapsed="false">
      <c r="A400" s="5" t="n">
        <v>399</v>
      </c>
      <c r="B400" s="5" t="s">
        <v>1027</v>
      </c>
      <c r="C400" s="5" t="s">
        <v>145</v>
      </c>
      <c r="D400" s="5" t="s">
        <v>51</v>
      </c>
      <c r="E400" s="5" t="n">
        <v>273</v>
      </c>
      <c r="F400" s="5" t="s">
        <v>1028</v>
      </c>
      <c r="G400" s="5" t="n">
        <v>4</v>
      </c>
      <c r="H400" s="5" t="s">
        <v>53</v>
      </c>
      <c r="I400" s="5" t="s">
        <v>54</v>
      </c>
      <c r="J400" s="5" t="s">
        <v>55</v>
      </c>
      <c r="K400" s="5" t="s">
        <v>55</v>
      </c>
      <c r="L400" s="5" t="n">
        <v>4</v>
      </c>
      <c r="M400" s="5" t="n">
        <v>4</v>
      </c>
      <c r="N400" s="5" t="n">
        <v>3</v>
      </c>
      <c r="O400" s="5" t="n">
        <v>6</v>
      </c>
      <c r="P400" s="5" t="n">
        <v>-1.5</v>
      </c>
      <c r="Q400" s="5" t="n">
        <v>0</v>
      </c>
      <c r="R400" s="5" t="n">
        <v>5</v>
      </c>
      <c r="S400" s="5" t="n">
        <v>4</v>
      </c>
      <c r="T400" s="5" t="s">
        <v>1029</v>
      </c>
      <c r="U400" s="6"/>
      <c r="V400" s="6"/>
      <c r="W400" s="6"/>
      <c r="X400" s="6"/>
      <c r="Y400" s="7" t="str">
        <f aca="false">IF(COUNT(U400:X400)=4,(W400-X400)/2,"")</f>
        <v/>
      </c>
      <c r="Z400" s="7" t="str">
        <f aca="false">IF(COUNT(U400:X400)=4,(U400-V400)/2,"")</f>
        <v/>
      </c>
      <c r="AA400" s="7" t="str">
        <f aca="false">IF(COUNT(U400:X400)=4,MAX(1,MIN(10,ROUNDUP(5-Z400,0))),"")</f>
        <v/>
      </c>
      <c r="AB400" s="7" t="str">
        <f aca="false">IF(COUNT(U400:X400)=4,MAX(1,MIN(10,ROUNDUP(Y400+5,0))),"")</f>
        <v/>
      </c>
      <c r="AC400" s="6"/>
      <c r="AD400" s="6"/>
    </row>
    <row r="401" customFormat="false" ht="15" hidden="false" customHeight="true" outlineLevel="0" collapsed="false">
      <c r="A401" s="5" t="n">
        <v>400</v>
      </c>
      <c r="B401" s="5" t="s">
        <v>1030</v>
      </c>
      <c r="C401" s="5" t="s">
        <v>171</v>
      </c>
      <c r="D401" s="5" t="s">
        <v>172</v>
      </c>
      <c r="E401" s="5" t="n">
        <v>272</v>
      </c>
      <c r="F401" s="5" t="s">
        <v>1031</v>
      </c>
      <c r="G401" s="5" t="n">
        <v>4</v>
      </c>
      <c r="H401" s="5" t="s">
        <v>53</v>
      </c>
      <c r="I401" s="5" t="s">
        <v>81</v>
      </c>
      <c r="J401" s="5" t="s">
        <v>174</v>
      </c>
      <c r="K401" s="5" t="s">
        <v>309</v>
      </c>
      <c r="L401" s="5" t="n">
        <v>6</v>
      </c>
      <c r="M401" s="5" t="n">
        <v>2</v>
      </c>
      <c r="N401" s="5" t="n">
        <v>3</v>
      </c>
      <c r="O401" s="5" t="n">
        <v>8</v>
      </c>
      <c r="P401" s="5" t="n">
        <v>-2.5</v>
      </c>
      <c r="Q401" s="5" t="n">
        <v>2</v>
      </c>
      <c r="R401" s="5" t="n">
        <v>3</v>
      </c>
      <c r="S401" s="5" t="n">
        <v>3</v>
      </c>
      <c r="T401" s="5" t="s">
        <v>1032</v>
      </c>
      <c r="U401" s="6"/>
      <c r="V401" s="6"/>
      <c r="W401" s="6"/>
      <c r="X401" s="6"/>
      <c r="Y401" s="7" t="str">
        <f aca="false">IF(COUNT(U401:X401)=4,(W401-X401)/2,"")</f>
        <v/>
      </c>
      <c r="Z401" s="7" t="str">
        <f aca="false">IF(COUNT(U401:X401)=4,(U401-V401)/2,"")</f>
        <v/>
      </c>
      <c r="AA401" s="7" t="str">
        <f aca="false">IF(COUNT(U401:X401)=4,MAX(1,MIN(10,ROUNDUP(5-Z401,0))),"")</f>
        <v/>
      </c>
      <c r="AB401" s="7" t="str">
        <f aca="false">IF(COUNT(U401:X401)=4,MAX(1,MIN(10,ROUNDUP(Y401+5,0))),"")</f>
        <v/>
      </c>
      <c r="AC401" s="6"/>
      <c r="AD401" s="6"/>
    </row>
    <row r="402" customFormat="false" ht="15" hidden="false" customHeight="true" outlineLevel="0" collapsed="false">
      <c r="A402" s="5" t="n">
        <v>401</v>
      </c>
      <c r="B402" s="5" t="s">
        <v>1033</v>
      </c>
      <c r="C402" s="5" t="s">
        <v>171</v>
      </c>
      <c r="D402" s="5" t="s">
        <v>172</v>
      </c>
      <c r="E402" s="5" t="n">
        <v>272</v>
      </c>
      <c r="F402" s="5" t="s">
        <v>1034</v>
      </c>
      <c r="G402" s="5" t="n">
        <v>4</v>
      </c>
      <c r="H402" s="5" t="s">
        <v>53</v>
      </c>
      <c r="I402" s="5" t="s">
        <v>54</v>
      </c>
      <c r="J402" s="5" t="s">
        <v>181</v>
      </c>
      <c r="K402" s="5" t="s">
        <v>235</v>
      </c>
      <c r="L402" s="5" t="n">
        <v>5</v>
      </c>
      <c r="M402" s="5" t="n">
        <v>4</v>
      </c>
      <c r="N402" s="5" t="n">
        <v>7</v>
      </c>
      <c r="O402" s="5" t="n">
        <v>4</v>
      </c>
      <c r="P402" s="5" t="n">
        <v>1.5</v>
      </c>
      <c r="Q402" s="5" t="n">
        <v>0.5</v>
      </c>
      <c r="R402" s="5" t="n">
        <v>5</v>
      </c>
      <c r="S402" s="5" t="n">
        <v>7</v>
      </c>
      <c r="T402" s="5" t="s">
        <v>114</v>
      </c>
      <c r="U402" s="6"/>
      <c r="V402" s="6"/>
      <c r="W402" s="6"/>
      <c r="X402" s="6"/>
      <c r="Y402" s="7" t="str">
        <f aca="false">IF(COUNT(U402:X402)=4,(W402-X402)/2,"")</f>
        <v/>
      </c>
      <c r="Z402" s="7" t="str">
        <f aca="false">IF(COUNT(U402:X402)=4,(U402-V402)/2,"")</f>
        <v/>
      </c>
      <c r="AA402" s="7" t="str">
        <f aca="false">IF(COUNT(U402:X402)=4,MAX(1,MIN(10,ROUNDUP(5-Z402,0))),"")</f>
        <v/>
      </c>
      <c r="AB402" s="7" t="str">
        <f aca="false">IF(COUNT(U402:X402)=4,MAX(1,MIN(10,ROUNDUP(Y402+5,0))),"")</f>
        <v/>
      </c>
      <c r="AC402" s="6"/>
      <c r="AD402" s="6"/>
    </row>
    <row r="403" customFormat="false" ht="15" hidden="false" customHeight="true" outlineLevel="0" collapsed="false">
      <c r="A403" s="5" t="n">
        <v>402</v>
      </c>
      <c r="B403" s="5" t="s">
        <v>1035</v>
      </c>
      <c r="C403" s="5" t="s">
        <v>171</v>
      </c>
      <c r="D403" s="5" t="s">
        <v>172</v>
      </c>
      <c r="E403" s="5" t="n">
        <v>272</v>
      </c>
      <c r="F403" s="5" t="s">
        <v>1036</v>
      </c>
      <c r="G403" s="5" t="n">
        <v>4</v>
      </c>
      <c r="H403" s="5" t="s">
        <v>53</v>
      </c>
      <c r="I403" s="5" t="s">
        <v>54</v>
      </c>
      <c r="J403" s="5" t="s">
        <v>181</v>
      </c>
      <c r="K403" s="5" t="s">
        <v>413</v>
      </c>
      <c r="L403" s="5" t="n">
        <v>5</v>
      </c>
      <c r="M403" s="5" t="n">
        <v>3</v>
      </c>
      <c r="N403" s="5" t="n">
        <v>3</v>
      </c>
      <c r="O403" s="5" t="n">
        <v>8</v>
      </c>
      <c r="P403" s="5" t="n">
        <v>-2.5</v>
      </c>
      <c r="Q403" s="5" t="n">
        <v>1</v>
      </c>
      <c r="R403" s="5" t="n">
        <v>4</v>
      </c>
      <c r="S403" s="5" t="n">
        <v>3</v>
      </c>
      <c r="T403" s="5" t="s">
        <v>1037</v>
      </c>
      <c r="U403" s="6"/>
      <c r="V403" s="6"/>
      <c r="W403" s="6"/>
      <c r="X403" s="6"/>
      <c r="Y403" s="7" t="str">
        <f aca="false">IF(COUNT(U403:X403)=4,(W403-X403)/2,"")</f>
        <v/>
      </c>
      <c r="Z403" s="7" t="str">
        <f aca="false">IF(COUNT(U403:X403)=4,(U403-V403)/2,"")</f>
        <v/>
      </c>
      <c r="AA403" s="7" t="str">
        <f aca="false">IF(COUNT(U403:X403)=4,MAX(1,MIN(10,ROUNDUP(5-Z403,0))),"")</f>
        <v/>
      </c>
      <c r="AB403" s="7" t="str">
        <f aca="false">IF(COUNT(U403:X403)=4,MAX(1,MIN(10,ROUNDUP(Y403+5,0))),"")</f>
        <v/>
      </c>
      <c r="AC403" s="6"/>
      <c r="AD403" s="6"/>
    </row>
    <row r="404" customFormat="false" ht="15" hidden="false" customHeight="true" outlineLevel="0" collapsed="false">
      <c r="A404" s="5" t="n">
        <v>403</v>
      </c>
      <c r="B404" s="5" t="s">
        <v>1038</v>
      </c>
      <c r="C404" s="5" t="s">
        <v>171</v>
      </c>
      <c r="D404" s="5" t="s">
        <v>172</v>
      </c>
      <c r="E404" s="5" t="n">
        <v>272</v>
      </c>
      <c r="F404" s="5" t="s">
        <v>1039</v>
      </c>
      <c r="G404" s="5" t="n">
        <v>4</v>
      </c>
      <c r="H404" s="5" t="s">
        <v>53</v>
      </c>
      <c r="I404" s="5" t="s">
        <v>54</v>
      </c>
      <c r="J404" s="5" t="s">
        <v>181</v>
      </c>
      <c r="K404" s="5" t="s">
        <v>413</v>
      </c>
      <c r="L404" s="5" t="n">
        <v>5</v>
      </c>
      <c r="M404" s="5" t="n">
        <v>3</v>
      </c>
      <c r="N404" s="5" t="n">
        <v>3</v>
      </c>
      <c r="O404" s="5" t="n">
        <v>8</v>
      </c>
      <c r="P404" s="5" t="n">
        <v>-2.5</v>
      </c>
      <c r="Q404" s="5" t="n">
        <v>1</v>
      </c>
      <c r="R404" s="5" t="n">
        <v>4</v>
      </c>
      <c r="S404" s="5" t="n">
        <v>3</v>
      </c>
      <c r="T404" s="5" t="s">
        <v>1040</v>
      </c>
      <c r="U404" s="6"/>
      <c r="V404" s="6"/>
      <c r="W404" s="6"/>
      <c r="X404" s="6"/>
      <c r="Y404" s="7" t="str">
        <f aca="false">IF(COUNT(U404:X404)=4,(W404-X404)/2,"")</f>
        <v/>
      </c>
      <c r="Z404" s="7" t="str">
        <f aca="false">IF(COUNT(U404:X404)=4,(U404-V404)/2,"")</f>
        <v/>
      </c>
      <c r="AA404" s="7" t="str">
        <f aca="false">IF(COUNT(U404:X404)=4,MAX(1,MIN(10,ROUNDUP(5-Z404,0))),"")</f>
        <v/>
      </c>
      <c r="AB404" s="7" t="str">
        <f aca="false">IF(COUNT(U404:X404)=4,MAX(1,MIN(10,ROUNDUP(Y404+5,0))),"")</f>
        <v/>
      </c>
      <c r="AC404" s="6"/>
      <c r="AD404" s="6"/>
    </row>
    <row r="405" customFormat="false" ht="15" hidden="false" customHeight="true" outlineLevel="0" collapsed="false">
      <c r="A405" s="5" t="n">
        <v>404</v>
      </c>
      <c r="B405" s="5" t="s">
        <v>1041</v>
      </c>
      <c r="C405" s="5" t="s">
        <v>171</v>
      </c>
      <c r="D405" s="5" t="s">
        <v>172</v>
      </c>
      <c r="E405" s="5" t="n">
        <v>271</v>
      </c>
      <c r="F405" s="5" t="s">
        <v>1042</v>
      </c>
      <c r="G405" s="5" t="n">
        <v>4</v>
      </c>
      <c r="H405" s="5" t="s">
        <v>53</v>
      </c>
      <c r="I405" s="5" t="s">
        <v>54</v>
      </c>
      <c r="J405" s="5" t="s">
        <v>181</v>
      </c>
      <c r="K405" s="5" t="s">
        <v>182</v>
      </c>
      <c r="L405" s="5" t="n">
        <v>0</v>
      </c>
      <c r="M405" s="5" t="n">
        <v>10</v>
      </c>
      <c r="N405" s="5" t="n">
        <v>7</v>
      </c>
      <c r="O405" s="5" t="n">
        <v>3</v>
      </c>
      <c r="P405" s="5" t="n">
        <v>2</v>
      </c>
      <c r="Q405" s="5" t="n">
        <v>-5</v>
      </c>
      <c r="R405" s="5" t="n">
        <v>10</v>
      </c>
      <c r="S405" s="5" t="n">
        <v>7</v>
      </c>
      <c r="T405" s="5" t="s">
        <v>1043</v>
      </c>
      <c r="U405" s="6"/>
      <c r="V405" s="6"/>
      <c r="W405" s="6"/>
      <c r="X405" s="6"/>
      <c r="Y405" s="7" t="str">
        <f aca="false">IF(COUNT(U405:X405)=4,(W405-X405)/2,"")</f>
        <v/>
      </c>
      <c r="Z405" s="7" t="str">
        <f aca="false">IF(COUNT(U405:X405)=4,(U405-V405)/2,"")</f>
        <v/>
      </c>
      <c r="AA405" s="7" t="str">
        <f aca="false">IF(COUNT(U405:X405)=4,MAX(1,MIN(10,ROUNDUP(5-Z405,0))),"")</f>
        <v/>
      </c>
      <c r="AB405" s="7" t="str">
        <f aca="false">IF(COUNT(U405:X405)=4,MAX(1,MIN(10,ROUNDUP(Y405+5,0))),"")</f>
        <v/>
      </c>
      <c r="AC405" s="6"/>
      <c r="AD405" s="6"/>
    </row>
    <row r="406" customFormat="false" ht="15" hidden="false" customHeight="true" outlineLevel="0" collapsed="false">
      <c r="A406" s="5" t="n">
        <v>405</v>
      </c>
      <c r="B406" s="5" t="s">
        <v>1044</v>
      </c>
      <c r="C406" s="5" t="s">
        <v>171</v>
      </c>
      <c r="D406" s="5" t="s">
        <v>172</v>
      </c>
      <c r="E406" s="5" t="n">
        <v>271</v>
      </c>
      <c r="F406" s="5" t="s">
        <v>1045</v>
      </c>
      <c r="G406" s="5" t="n">
        <v>4</v>
      </c>
      <c r="H406" s="5" t="s">
        <v>53</v>
      </c>
      <c r="I406" s="5" t="s">
        <v>54</v>
      </c>
      <c r="J406" s="5" t="s">
        <v>181</v>
      </c>
      <c r="K406" s="5" t="s">
        <v>673</v>
      </c>
      <c r="L406" s="5" t="n">
        <v>4</v>
      </c>
      <c r="M406" s="5" t="n">
        <v>4</v>
      </c>
      <c r="N406" s="5" t="n">
        <v>5</v>
      </c>
      <c r="O406" s="5" t="n">
        <v>6</v>
      </c>
      <c r="P406" s="5" t="n">
        <v>-0.5</v>
      </c>
      <c r="Q406" s="5" t="n">
        <v>0</v>
      </c>
      <c r="R406" s="5" t="n">
        <v>5</v>
      </c>
      <c r="S406" s="5" t="n">
        <v>5</v>
      </c>
      <c r="T406" s="5" t="s">
        <v>607</v>
      </c>
      <c r="U406" s="6"/>
      <c r="V406" s="6"/>
      <c r="W406" s="6"/>
      <c r="X406" s="6"/>
      <c r="Y406" s="7" t="str">
        <f aca="false">IF(COUNT(U406:X406)=4,(W406-X406)/2,"")</f>
        <v/>
      </c>
      <c r="Z406" s="7" t="str">
        <f aca="false">IF(COUNT(U406:X406)=4,(U406-V406)/2,"")</f>
        <v/>
      </c>
      <c r="AA406" s="7" t="str">
        <f aca="false">IF(COUNT(U406:X406)=4,MAX(1,MIN(10,ROUNDUP(5-Z406,0))),"")</f>
        <v/>
      </c>
      <c r="AB406" s="7" t="str">
        <f aca="false">IF(COUNT(U406:X406)=4,MAX(1,MIN(10,ROUNDUP(Y406+5,0))),"")</f>
        <v/>
      </c>
      <c r="AC406" s="6"/>
      <c r="AD406" s="6"/>
    </row>
    <row r="407" customFormat="false" ht="15" hidden="false" customHeight="true" outlineLevel="0" collapsed="false">
      <c r="A407" s="5" t="n">
        <v>406</v>
      </c>
      <c r="B407" s="5" t="s">
        <v>1046</v>
      </c>
      <c r="C407" s="5" t="s">
        <v>171</v>
      </c>
      <c r="D407" s="5" t="s">
        <v>172</v>
      </c>
      <c r="E407" s="5" t="n">
        <v>271</v>
      </c>
      <c r="F407" s="5" t="s">
        <v>1047</v>
      </c>
      <c r="G407" s="5" t="n">
        <v>4</v>
      </c>
      <c r="H407" s="5" t="s">
        <v>53</v>
      </c>
      <c r="I407" s="5" t="s">
        <v>54</v>
      </c>
      <c r="J407" s="5" t="s">
        <v>181</v>
      </c>
      <c r="K407" s="5" t="s">
        <v>551</v>
      </c>
      <c r="L407" s="5" t="n">
        <v>2</v>
      </c>
      <c r="M407" s="5" t="n">
        <v>5</v>
      </c>
      <c r="N407" s="5" t="n">
        <v>8</v>
      </c>
      <c r="O407" s="5" t="n">
        <v>2</v>
      </c>
      <c r="P407" s="5" t="n">
        <v>3</v>
      </c>
      <c r="Q407" s="5" t="n">
        <v>-1.5</v>
      </c>
      <c r="R407" s="5" t="n">
        <v>7</v>
      </c>
      <c r="S407" s="5" t="n">
        <v>8</v>
      </c>
      <c r="T407" s="5" t="s">
        <v>1048</v>
      </c>
      <c r="U407" s="6"/>
      <c r="V407" s="6"/>
      <c r="W407" s="6"/>
      <c r="X407" s="6"/>
      <c r="Y407" s="7" t="str">
        <f aca="false">IF(COUNT(U407:X407)=4,(W407-X407)/2,"")</f>
        <v/>
      </c>
      <c r="Z407" s="7" t="str">
        <f aca="false">IF(COUNT(U407:X407)=4,(U407-V407)/2,"")</f>
        <v/>
      </c>
      <c r="AA407" s="7" t="str">
        <f aca="false">IF(COUNT(U407:X407)=4,MAX(1,MIN(10,ROUNDUP(5-Z407,0))),"")</f>
        <v/>
      </c>
      <c r="AB407" s="7" t="str">
        <f aca="false">IF(COUNT(U407:X407)=4,MAX(1,MIN(10,ROUNDUP(Y407+5,0))),"")</f>
        <v/>
      </c>
      <c r="AC407" s="6"/>
      <c r="AD407" s="6"/>
    </row>
    <row r="408" customFormat="false" ht="15" hidden="false" customHeight="true" outlineLevel="0" collapsed="false">
      <c r="A408" s="5" t="n">
        <v>407</v>
      </c>
      <c r="B408" s="5" t="s">
        <v>1049</v>
      </c>
      <c r="C408" s="5" t="s">
        <v>145</v>
      </c>
      <c r="D408" s="5" t="s">
        <v>51</v>
      </c>
      <c r="E408" s="5" t="n">
        <v>271</v>
      </c>
      <c r="F408" s="5" t="s">
        <v>1050</v>
      </c>
      <c r="G408" s="5" t="n">
        <v>4</v>
      </c>
      <c r="H408" s="5" t="s">
        <v>53</v>
      </c>
      <c r="I408" s="5" t="s">
        <v>54</v>
      </c>
      <c r="J408" s="5" t="s">
        <v>55</v>
      </c>
      <c r="K408" s="5" t="s">
        <v>55</v>
      </c>
      <c r="L408" s="5" t="n">
        <v>5</v>
      </c>
      <c r="M408" s="5" t="n">
        <v>2</v>
      </c>
      <c r="N408" s="5" t="n">
        <v>8</v>
      </c>
      <c r="O408" s="5" t="n">
        <v>2</v>
      </c>
      <c r="P408" s="5" t="n">
        <v>3</v>
      </c>
      <c r="Q408" s="5" t="n">
        <v>1.5</v>
      </c>
      <c r="R408" s="5" t="n">
        <v>4</v>
      </c>
      <c r="S408" s="5" t="n">
        <v>8</v>
      </c>
      <c r="T408" s="5" t="s">
        <v>1051</v>
      </c>
      <c r="U408" s="6"/>
      <c r="V408" s="6"/>
      <c r="W408" s="6"/>
      <c r="X408" s="6"/>
      <c r="Y408" s="7" t="str">
        <f aca="false">IF(COUNT(U408:X408)=4,(W408-X408)/2,"")</f>
        <v/>
      </c>
      <c r="Z408" s="7" t="str">
        <f aca="false">IF(COUNT(U408:X408)=4,(U408-V408)/2,"")</f>
        <v/>
      </c>
      <c r="AA408" s="7" t="str">
        <f aca="false">IF(COUNT(U408:X408)=4,MAX(1,MIN(10,ROUNDUP(5-Z408,0))),"")</f>
        <v/>
      </c>
      <c r="AB408" s="7" t="str">
        <f aca="false">IF(COUNT(U408:X408)=4,MAX(1,MIN(10,ROUNDUP(Y408+5,0))),"")</f>
        <v/>
      </c>
      <c r="AC408" s="6"/>
      <c r="AD408" s="6"/>
    </row>
    <row r="409" customFormat="false" ht="15" hidden="false" customHeight="true" outlineLevel="0" collapsed="false">
      <c r="A409" s="5" t="n">
        <v>408</v>
      </c>
      <c r="B409" s="5" t="s">
        <v>1052</v>
      </c>
      <c r="C409" s="5" t="s">
        <v>79</v>
      </c>
      <c r="D409" s="5" t="s">
        <v>80</v>
      </c>
      <c r="E409" s="5" t="n">
        <v>270</v>
      </c>
      <c r="F409" s="5" t="s">
        <v>1052</v>
      </c>
      <c r="G409" s="5" t="n">
        <v>3</v>
      </c>
      <c r="H409" s="5" t="s">
        <v>53</v>
      </c>
      <c r="I409" s="5" t="s">
        <v>81</v>
      </c>
      <c r="J409" s="5" t="s">
        <v>79</v>
      </c>
      <c r="K409" s="5" t="s">
        <v>82</v>
      </c>
      <c r="L409" s="5" t="n">
        <v>7</v>
      </c>
      <c r="M409" s="5" t="n">
        <v>2</v>
      </c>
      <c r="N409" s="5" t="n">
        <v>3</v>
      </c>
      <c r="O409" s="5" t="n">
        <v>7</v>
      </c>
      <c r="P409" s="5" t="n">
        <v>-2</v>
      </c>
      <c r="Q409" s="5" t="n">
        <v>2.5</v>
      </c>
      <c r="R409" s="5" t="n">
        <v>3</v>
      </c>
      <c r="S409" s="5" t="n">
        <v>3</v>
      </c>
      <c r="T409" s="5" t="s">
        <v>1053</v>
      </c>
      <c r="U409" s="6"/>
      <c r="V409" s="6"/>
      <c r="W409" s="6"/>
      <c r="X409" s="6"/>
      <c r="Y409" s="7" t="str">
        <f aca="false">IF(COUNT(U409:X409)=4,(W409-X409)/2,"")</f>
        <v/>
      </c>
      <c r="Z409" s="7" t="str">
        <f aca="false">IF(COUNT(U409:X409)=4,(U409-V409)/2,"")</f>
        <v/>
      </c>
      <c r="AA409" s="7" t="str">
        <f aca="false">IF(COUNT(U409:X409)=4,MAX(1,MIN(10,ROUNDUP(5-Z409,0))),"")</f>
        <v/>
      </c>
      <c r="AB409" s="7" t="str">
        <f aca="false">IF(COUNT(U409:X409)=4,MAX(1,MIN(10,ROUNDUP(Y409+5,0))),"")</f>
        <v/>
      </c>
      <c r="AC409" s="6"/>
      <c r="AD409" s="6"/>
    </row>
    <row r="410" customFormat="false" ht="15" hidden="false" customHeight="true" outlineLevel="0" collapsed="false">
      <c r="A410" s="5" t="n">
        <v>409</v>
      </c>
      <c r="B410" s="5" t="s">
        <v>1054</v>
      </c>
      <c r="C410" s="5" t="s">
        <v>203</v>
      </c>
      <c r="D410" s="5" t="s">
        <v>204</v>
      </c>
      <c r="E410" s="5" t="n">
        <v>269</v>
      </c>
      <c r="F410" s="5" t="s">
        <v>1055</v>
      </c>
      <c r="G410" s="5" t="n">
        <v>4</v>
      </c>
      <c r="H410" s="5" t="s">
        <v>53</v>
      </c>
      <c r="I410" s="5" t="s">
        <v>54</v>
      </c>
      <c r="J410" s="5" t="s">
        <v>117</v>
      </c>
      <c r="K410" s="5" t="s">
        <v>117</v>
      </c>
      <c r="L410" s="5" t="n">
        <v>6</v>
      </c>
      <c r="M410" s="5" t="n">
        <v>1</v>
      </c>
      <c r="N410" s="5" t="n">
        <v>2</v>
      </c>
      <c r="O410" s="5" t="n">
        <v>7</v>
      </c>
      <c r="P410" s="5" t="n">
        <v>-2.5</v>
      </c>
      <c r="Q410" s="5" t="n">
        <v>2.5</v>
      </c>
      <c r="R410" s="5" t="n">
        <v>3</v>
      </c>
      <c r="S410" s="5" t="n">
        <v>3</v>
      </c>
      <c r="T410" s="5" t="s">
        <v>1056</v>
      </c>
      <c r="U410" s="6"/>
      <c r="V410" s="6"/>
      <c r="W410" s="6"/>
      <c r="X410" s="6"/>
      <c r="Y410" s="7" t="str">
        <f aca="false">IF(COUNT(U410:X410)=4,(W410-X410)/2,"")</f>
        <v/>
      </c>
      <c r="Z410" s="7" t="str">
        <f aca="false">IF(COUNT(U410:X410)=4,(U410-V410)/2,"")</f>
        <v/>
      </c>
      <c r="AA410" s="7" t="str">
        <f aca="false">IF(COUNT(U410:X410)=4,MAX(1,MIN(10,ROUNDUP(5-Z410,0))),"")</f>
        <v/>
      </c>
      <c r="AB410" s="7" t="str">
        <f aca="false">IF(COUNT(U410:X410)=4,MAX(1,MIN(10,ROUNDUP(Y410+5,0))),"")</f>
        <v/>
      </c>
      <c r="AC410" s="6"/>
      <c r="AD410" s="6"/>
    </row>
    <row r="411" customFormat="false" ht="15" hidden="false" customHeight="true" outlineLevel="0" collapsed="false">
      <c r="A411" s="5" t="n">
        <v>410</v>
      </c>
      <c r="B411" s="5" t="s">
        <v>1057</v>
      </c>
      <c r="C411" s="5" t="s">
        <v>171</v>
      </c>
      <c r="D411" s="5" t="s">
        <v>172</v>
      </c>
      <c r="E411" s="5" t="n">
        <v>269</v>
      </c>
      <c r="F411" s="5" t="s">
        <v>1057</v>
      </c>
      <c r="G411" s="5" t="n">
        <v>4</v>
      </c>
      <c r="H411" s="5" t="s">
        <v>53</v>
      </c>
      <c r="I411" s="5" t="s">
        <v>54</v>
      </c>
      <c r="J411" s="5" t="s">
        <v>181</v>
      </c>
      <c r="K411" s="5" t="s">
        <v>443</v>
      </c>
      <c r="L411" s="5" t="n">
        <v>5</v>
      </c>
      <c r="M411" s="5" t="n">
        <v>3</v>
      </c>
      <c r="N411" s="5" t="n">
        <v>4</v>
      </c>
      <c r="O411" s="5" t="n">
        <v>8</v>
      </c>
      <c r="P411" s="5" t="n">
        <v>-2</v>
      </c>
      <c r="Q411" s="5" t="n">
        <v>1</v>
      </c>
      <c r="R411" s="5" t="n">
        <v>4</v>
      </c>
      <c r="S411" s="5" t="n">
        <v>3</v>
      </c>
      <c r="T411" s="5" t="s">
        <v>1058</v>
      </c>
      <c r="U411" s="6"/>
      <c r="V411" s="6"/>
      <c r="W411" s="6"/>
      <c r="X411" s="6"/>
      <c r="Y411" s="7" t="str">
        <f aca="false">IF(COUNT(U411:X411)=4,(W411-X411)/2,"")</f>
        <v/>
      </c>
      <c r="Z411" s="7" t="str">
        <f aca="false">IF(COUNT(U411:X411)=4,(U411-V411)/2,"")</f>
        <v/>
      </c>
      <c r="AA411" s="7" t="str">
        <f aca="false">IF(COUNT(U411:X411)=4,MAX(1,MIN(10,ROUNDUP(5-Z411,0))),"")</f>
        <v/>
      </c>
      <c r="AB411" s="7" t="str">
        <f aca="false">IF(COUNT(U411:X411)=4,MAX(1,MIN(10,ROUNDUP(Y411+5,0))),"")</f>
        <v/>
      </c>
      <c r="AC411" s="6"/>
      <c r="AD411" s="6"/>
    </row>
    <row r="412" customFormat="false" ht="15" hidden="false" customHeight="true" outlineLevel="0" collapsed="false">
      <c r="A412" s="5" t="n">
        <v>411</v>
      </c>
      <c r="B412" s="5" t="s">
        <v>1059</v>
      </c>
      <c r="C412" s="5" t="s">
        <v>203</v>
      </c>
      <c r="D412" s="5" t="s">
        <v>204</v>
      </c>
      <c r="E412" s="5" t="n">
        <v>269</v>
      </c>
      <c r="F412" s="5" t="s">
        <v>1060</v>
      </c>
      <c r="G412" s="5" t="n">
        <v>4</v>
      </c>
      <c r="H412" s="5" t="s">
        <v>53</v>
      </c>
      <c r="I412" s="5" t="s">
        <v>54</v>
      </c>
      <c r="J412" s="5" t="s">
        <v>117</v>
      </c>
      <c r="K412" s="5" t="s">
        <v>117</v>
      </c>
      <c r="L412" s="5" t="n">
        <v>3</v>
      </c>
      <c r="M412" s="5" t="n">
        <v>2</v>
      </c>
      <c r="N412" s="5" t="n">
        <v>2</v>
      </c>
      <c r="O412" s="5" t="n">
        <v>8</v>
      </c>
      <c r="P412" s="5" t="n">
        <v>-3</v>
      </c>
      <c r="Q412" s="5" t="n">
        <v>0.5</v>
      </c>
      <c r="R412" s="5" t="n">
        <v>5</v>
      </c>
      <c r="S412" s="5" t="n">
        <v>2</v>
      </c>
      <c r="T412" s="5" t="s">
        <v>362</v>
      </c>
      <c r="U412" s="6"/>
      <c r="V412" s="6"/>
      <c r="W412" s="6"/>
      <c r="X412" s="6"/>
      <c r="Y412" s="7" t="str">
        <f aca="false">IF(COUNT(U412:X412)=4,(W412-X412)/2,"")</f>
        <v/>
      </c>
      <c r="Z412" s="7" t="str">
        <f aca="false">IF(COUNT(U412:X412)=4,(U412-V412)/2,"")</f>
        <v/>
      </c>
      <c r="AA412" s="7" t="str">
        <f aca="false">IF(COUNT(U412:X412)=4,MAX(1,MIN(10,ROUNDUP(5-Z412,0))),"")</f>
        <v/>
      </c>
      <c r="AB412" s="7" t="str">
        <f aca="false">IF(COUNT(U412:X412)=4,MAX(1,MIN(10,ROUNDUP(Y412+5,0))),"")</f>
        <v/>
      </c>
      <c r="AC412" s="6"/>
      <c r="AD412" s="6"/>
    </row>
    <row r="413" customFormat="false" ht="15" hidden="false" customHeight="true" outlineLevel="0" collapsed="false">
      <c r="A413" s="5" t="n">
        <v>412</v>
      </c>
      <c r="B413" s="5" t="s">
        <v>1061</v>
      </c>
      <c r="C413" s="5" t="s">
        <v>171</v>
      </c>
      <c r="D413" s="5" t="s">
        <v>172</v>
      </c>
      <c r="E413" s="5" t="n">
        <v>269</v>
      </c>
      <c r="F413" s="5" t="s">
        <v>1062</v>
      </c>
      <c r="G413" s="5" t="n">
        <v>4</v>
      </c>
      <c r="H413" s="5" t="s">
        <v>53</v>
      </c>
      <c r="I413" s="5" t="s">
        <v>54</v>
      </c>
      <c r="J413" s="5" t="s">
        <v>181</v>
      </c>
      <c r="K413" s="5" t="s">
        <v>279</v>
      </c>
      <c r="L413" s="5" t="n">
        <v>4</v>
      </c>
      <c r="M413" s="5" t="n">
        <v>4</v>
      </c>
      <c r="N413" s="5" t="n">
        <v>5</v>
      </c>
      <c r="O413" s="5" t="n">
        <v>7</v>
      </c>
      <c r="P413" s="5" t="n">
        <v>-1</v>
      </c>
      <c r="Q413" s="5" t="n">
        <v>0</v>
      </c>
      <c r="R413" s="5" t="n">
        <v>5</v>
      </c>
      <c r="S413" s="5" t="n">
        <v>4</v>
      </c>
      <c r="T413" s="5" t="s">
        <v>1063</v>
      </c>
      <c r="U413" s="6"/>
      <c r="V413" s="6"/>
      <c r="W413" s="6"/>
      <c r="X413" s="6"/>
      <c r="Y413" s="7" t="str">
        <f aca="false">IF(COUNT(U413:X413)=4,(W413-X413)/2,"")</f>
        <v/>
      </c>
      <c r="Z413" s="7" t="str">
        <f aca="false">IF(COUNT(U413:X413)=4,(U413-V413)/2,"")</f>
        <v/>
      </c>
      <c r="AA413" s="7" t="str">
        <f aca="false">IF(COUNT(U413:X413)=4,MAX(1,MIN(10,ROUNDUP(5-Z413,0))),"")</f>
        <v/>
      </c>
      <c r="AB413" s="7" t="str">
        <f aca="false">IF(COUNT(U413:X413)=4,MAX(1,MIN(10,ROUNDUP(Y413+5,0))),"")</f>
        <v/>
      </c>
      <c r="AC413" s="6"/>
      <c r="AD413" s="6"/>
    </row>
    <row r="414" customFormat="false" ht="15" hidden="false" customHeight="true" outlineLevel="0" collapsed="false">
      <c r="A414" s="5" t="n">
        <v>413</v>
      </c>
      <c r="B414" s="5" t="s">
        <v>1064</v>
      </c>
      <c r="C414" s="5" t="s">
        <v>203</v>
      </c>
      <c r="D414" s="5" t="s">
        <v>204</v>
      </c>
      <c r="E414" s="5" t="n">
        <v>268</v>
      </c>
      <c r="F414" s="5" t="s">
        <v>1065</v>
      </c>
      <c r="G414" s="5" t="n">
        <v>4</v>
      </c>
      <c r="H414" s="5" t="s">
        <v>53</v>
      </c>
      <c r="I414" s="5" t="s">
        <v>54</v>
      </c>
      <c r="J414" s="5" t="s">
        <v>117</v>
      </c>
      <c r="K414" s="5" t="s">
        <v>117</v>
      </c>
      <c r="L414" s="5" t="n">
        <v>6</v>
      </c>
      <c r="M414" s="5" t="n">
        <v>1</v>
      </c>
      <c r="N414" s="5" t="n">
        <v>1</v>
      </c>
      <c r="O414" s="5" t="n">
        <v>8</v>
      </c>
      <c r="P414" s="5" t="n">
        <v>-3.5</v>
      </c>
      <c r="Q414" s="5" t="n">
        <v>2.5</v>
      </c>
      <c r="R414" s="5" t="n">
        <v>3</v>
      </c>
      <c r="S414" s="5" t="n">
        <v>2</v>
      </c>
      <c r="T414" s="5" t="s">
        <v>1066</v>
      </c>
      <c r="U414" s="6"/>
      <c r="V414" s="6"/>
      <c r="W414" s="6"/>
      <c r="X414" s="6"/>
      <c r="Y414" s="7" t="str">
        <f aca="false">IF(COUNT(U414:X414)=4,(W414-X414)/2,"")</f>
        <v/>
      </c>
      <c r="Z414" s="7" t="str">
        <f aca="false">IF(COUNT(U414:X414)=4,(U414-V414)/2,"")</f>
        <v/>
      </c>
      <c r="AA414" s="7" t="str">
        <f aca="false">IF(COUNT(U414:X414)=4,MAX(1,MIN(10,ROUNDUP(5-Z414,0))),"")</f>
        <v/>
      </c>
      <c r="AB414" s="7" t="str">
        <f aca="false">IF(COUNT(U414:X414)=4,MAX(1,MIN(10,ROUNDUP(Y414+5,0))),"")</f>
        <v/>
      </c>
      <c r="AC414" s="6"/>
      <c r="AD414" s="6"/>
    </row>
    <row r="415" customFormat="false" ht="15" hidden="false" customHeight="true" outlineLevel="0" collapsed="false">
      <c r="A415" s="5" t="n">
        <v>414</v>
      </c>
      <c r="B415" s="5" t="s">
        <v>1067</v>
      </c>
      <c r="C415" s="5" t="s">
        <v>171</v>
      </c>
      <c r="D415" s="5" t="s">
        <v>172</v>
      </c>
      <c r="E415" s="5" t="n">
        <v>268</v>
      </c>
      <c r="F415" s="5" t="s">
        <v>1068</v>
      </c>
      <c r="G415" s="5" t="n">
        <v>4</v>
      </c>
      <c r="H415" s="5" t="s">
        <v>53</v>
      </c>
      <c r="I415" s="5" t="s">
        <v>54</v>
      </c>
      <c r="J415" s="5" t="s">
        <v>181</v>
      </c>
      <c r="K415" s="5" t="s">
        <v>673</v>
      </c>
      <c r="L415" s="5" t="n">
        <v>4</v>
      </c>
      <c r="M415" s="5" t="n">
        <v>4</v>
      </c>
      <c r="N415" s="5" t="n">
        <v>7</v>
      </c>
      <c r="O415" s="5" t="n">
        <v>5</v>
      </c>
      <c r="P415" s="5" t="n">
        <v>1</v>
      </c>
      <c r="Q415" s="5" t="n">
        <v>0</v>
      </c>
      <c r="R415" s="5" t="n">
        <v>5</v>
      </c>
      <c r="S415" s="5" t="n">
        <v>6</v>
      </c>
      <c r="T415" s="5" t="s">
        <v>1069</v>
      </c>
      <c r="U415" s="6"/>
      <c r="V415" s="6"/>
      <c r="W415" s="6"/>
      <c r="X415" s="6"/>
      <c r="Y415" s="7" t="str">
        <f aca="false">IF(COUNT(U415:X415)=4,(W415-X415)/2,"")</f>
        <v/>
      </c>
      <c r="Z415" s="7" t="str">
        <f aca="false">IF(COUNT(U415:X415)=4,(U415-V415)/2,"")</f>
        <v/>
      </c>
      <c r="AA415" s="7" t="str">
        <f aca="false">IF(COUNT(U415:X415)=4,MAX(1,MIN(10,ROUNDUP(5-Z415,0))),"")</f>
        <v/>
      </c>
      <c r="AB415" s="7" t="str">
        <f aca="false">IF(COUNT(U415:X415)=4,MAX(1,MIN(10,ROUNDUP(Y415+5,0))),"")</f>
        <v/>
      </c>
      <c r="AC415" s="6"/>
      <c r="AD415" s="6"/>
    </row>
    <row r="416" customFormat="false" ht="15" hidden="false" customHeight="true" outlineLevel="0" collapsed="false">
      <c r="A416" s="5" t="n">
        <v>415</v>
      </c>
      <c r="B416" s="5" t="s">
        <v>1070</v>
      </c>
      <c r="C416" s="5" t="s">
        <v>171</v>
      </c>
      <c r="D416" s="5" t="s">
        <v>172</v>
      </c>
      <c r="E416" s="5" t="n">
        <v>268</v>
      </c>
      <c r="F416" s="5" t="s">
        <v>1071</v>
      </c>
      <c r="G416" s="5" t="n">
        <v>4</v>
      </c>
      <c r="H416" s="5" t="s">
        <v>53</v>
      </c>
      <c r="I416" s="5" t="s">
        <v>54</v>
      </c>
      <c r="J416" s="5" t="s">
        <v>181</v>
      </c>
      <c r="K416" s="5" t="s">
        <v>673</v>
      </c>
      <c r="L416" s="5" t="n">
        <v>4</v>
      </c>
      <c r="M416" s="5" t="n">
        <v>4</v>
      </c>
      <c r="N416" s="5" t="n">
        <v>5</v>
      </c>
      <c r="O416" s="5" t="n">
        <v>6</v>
      </c>
      <c r="P416" s="5" t="n">
        <v>-0.5</v>
      </c>
      <c r="Q416" s="5" t="n">
        <v>0</v>
      </c>
      <c r="R416" s="5" t="n">
        <v>5</v>
      </c>
      <c r="S416" s="5" t="n">
        <v>5</v>
      </c>
      <c r="T416" s="5" t="s">
        <v>1072</v>
      </c>
      <c r="U416" s="6"/>
      <c r="V416" s="6"/>
      <c r="W416" s="6"/>
      <c r="X416" s="6"/>
      <c r="Y416" s="7" t="str">
        <f aca="false">IF(COUNT(U416:X416)=4,(W416-X416)/2,"")</f>
        <v/>
      </c>
      <c r="Z416" s="7" t="str">
        <f aca="false">IF(COUNT(U416:X416)=4,(U416-V416)/2,"")</f>
        <v/>
      </c>
      <c r="AA416" s="7" t="str">
        <f aca="false">IF(COUNT(U416:X416)=4,MAX(1,MIN(10,ROUNDUP(5-Z416,0))),"")</f>
        <v/>
      </c>
      <c r="AB416" s="7" t="str">
        <f aca="false">IF(COUNT(U416:X416)=4,MAX(1,MIN(10,ROUNDUP(Y416+5,0))),"")</f>
        <v/>
      </c>
      <c r="AC416" s="6"/>
      <c r="AD416" s="6"/>
    </row>
    <row r="417" customFormat="false" ht="15" hidden="false" customHeight="true" outlineLevel="0" collapsed="false">
      <c r="A417" s="5" t="n">
        <v>416</v>
      </c>
      <c r="B417" s="5" t="s">
        <v>1073</v>
      </c>
      <c r="C417" s="5" t="s">
        <v>108</v>
      </c>
      <c r="D417" s="5" t="s">
        <v>109</v>
      </c>
      <c r="E417" s="5" t="n">
        <v>267</v>
      </c>
      <c r="F417" s="5" t="s">
        <v>1073</v>
      </c>
      <c r="G417" s="5" t="n">
        <v>4</v>
      </c>
      <c r="H417" s="5" t="s">
        <v>53</v>
      </c>
      <c r="I417" s="5" t="s">
        <v>54</v>
      </c>
      <c r="J417" s="5" t="s">
        <v>117</v>
      </c>
      <c r="K417" s="5" t="s">
        <v>117</v>
      </c>
      <c r="L417" s="5" t="n">
        <v>5</v>
      </c>
      <c r="M417" s="5" t="n">
        <v>1</v>
      </c>
      <c r="N417" s="5" t="n">
        <v>1</v>
      </c>
      <c r="O417" s="5" t="n">
        <v>9</v>
      </c>
      <c r="P417" s="5" t="n">
        <v>-4</v>
      </c>
      <c r="Q417" s="5" t="n">
        <v>2</v>
      </c>
      <c r="R417" s="5" t="n">
        <v>3</v>
      </c>
      <c r="S417" s="5" t="n">
        <v>1</v>
      </c>
      <c r="T417" s="5" t="s">
        <v>1074</v>
      </c>
      <c r="U417" s="6"/>
      <c r="V417" s="6"/>
      <c r="W417" s="6"/>
      <c r="X417" s="6"/>
      <c r="Y417" s="7" t="str">
        <f aca="false">IF(COUNT(U417:X417)=4,(W417-X417)/2,"")</f>
        <v/>
      </c>
      <c r="Z417" s="7" t="str">
        <f aca="false">IF(COUNT(U417:X417)=4,(U417-V417)/2,"")</f>
        <v/>
      </c>
      <c r="AA417" s="7" t="str">
        <f aca="false">IF(COUNT(U417:X417)=4,MAX(1,MIN(10,ROUNDUP(5-Z417,0))),"")</f>
        <v/>
      </c>
      <c r="AB417" s="7" t="str">
        <f aca="false">IF(COUNT(U417:X417)=4,MAX(1,MIN(10,ROUNDUP(Y417+5,0))),"")</f>
        <v/>
      </c>
      <c r="AC417" s="6"/>
      <c r="AD417" s="6"/>
    </row>
    <row r="418" customFormat="false" ht="15" hidden="false" customHeight="true" outlineLevel="0" collapsed="false">
      <c r="A418" s="5" t="n">
        <v>417</v>
      </c>
      <c r="B418" s="5" t="s">
        <v>1075</v>
      </c>
      <c r="C418" s="5" t="s">
        <v>171</v>
      </c>
      <c r="D418" s="5" t="s">
        <v>172</v>
      </c>
      <c r="E418" s="5" t="n">
        <v>266</v>
      </c>
      <c r="F418" s="5" t="s">
        <v>1076</v>
      </c>
      <c r="G418" s="5" t="n">
        <v>4</v>
      </c>
      <c r="H418" s="5" t="s">
        <v>53</v>
      </c>
      <c r="I418" s="5" t="s">
        <v>54</v>
      </c>
      <c r="J418" s="5" t="s">
        <v>181</v>
      </c>
      <c r="K418" s="5" t="s">
        <v>443</v>
      </c>
      <c r="L418" s="5" t="n">
        <v>5</v>
      </c>
      <c r="M418" s="5" t="n">
        <v>3</v>
      </c>
      <c r="N418" s="5" t="n">
        <v>4</v>
      </c>
      <c r="O418" s="5" t="n">
        <v>8</v>
      </c>
      <c r="P418" s="5" t="n">
        <v>-2</v>
      </c>
      <c r="Q418" s="5" t="n">
        <v>1</v>
      </c>
      <c r="R418" s="5" t="n">
        <v>4</v>
      </c>
      <c r="S418" s="5" t="n">
        <v>3</v>
      </c>
      <c r="T418" s="5" t="s">
        <v>766</v>
      </c>
      <c r="U418" s="6"/>
      <c r="V418" s="6"/>
      <c r="W418" s="6"/>
      <c r="X418" s="6"/>
      <c r="Y418" s="7" t="str">
        <f aca="false">IF(COUNT(U418:X418)=4,(W418-X418)/2,"")</f>
        <v/>
      </c>
      <c r="Z418" s="7" t="str">
        <f aca="false">IF(COUNT(U418:X418)=4,(U418-V418)/2,"")</f>
        <v/>
      </c>
      <c r="AA418" s="7" t="str">
        <f aca="false">IF(COUNT(U418:X418)=4,MAX(1,MIN(10,ROUNDUP(5-Z418,0))),"")</f>
        <v/>
      </c>
      <c r="AB418" s="7" t="str">
        <f aca="false">IF(COUNT(U418:X418)=4,MAX(1,MIN(10,ROUNDUP(Y418+5,0))),"")</f>
        <v/>
      </c>
      <c r="AC418" s="6"/>
      <c r="AD418" s="6"/>
    </row>
    <row r="419" customFormat="false" ht="15" hidden="false" customHeight="true" outlineLevel="0" collapsed="false">
      <c r="A419" s="5" t="n">
        <v>418</v>
      </c>
      <c r="B419" s="5" t="s">
        <v>1077</v>
      </c>
      <c r="C419" s="5" t="s">
        <v>203</v>
      </c>
      <c r="D419" s="5" t="s">
        <v>204</v>
      </c>
      <c r="E419" s="5" t="n">
        <v>263</v>
      </c>
      <c r="F419" s="5" t="s">
        <v>1077</v>
      </c>
      <c r="G419" s="5" t="n">
        <v>4</v>
      </c>
      <c r="H419" s="5" t="s">
        <v>53</v>
      </c>
      <c r="I419" s="5" t="s">
        <v>54</v>
      </c>
      <c r="J419" s="5" t="s">
        <v>117</v>
      </c>
      <c r="K419" s="5" t="s">
        <v>117</v>
      </c>
      <c r="L419" s="5" t="n">
        <v>4</v>
      </c>
      <c r="M419" s="5" t="n">
        <v>2</v>
      </c>
      <c r="N419" s="5" t="n">
        <v>1</v>
      </c>
      <c r="O419" s="5" t="n">
        <v>8</v>
      </c>
      <c r="P419" s="5" t="n">
        <v>-3.5</v>
      </c>
      <c r="Q419" s="5" t="n">
        <v>1</v>
      </c>
      <c r="R419" s="5" t="n">
        <v>4</v>
      </c>
      <c r="S419" s="5" t="n">
        <v>2</v>
      </c>
      <c r="T419" s="5" t="s">
        <v>252</v>
      </c>
      <c r="U419" s="6"/>
      <c r="V419" s="6"/>
      <c r="W419" s="6"/>
      <c r="X419" s="6"/>
      <c r="Y419" s="7" t="str">
        <f aca="false">IF(COUNT(U419:X419)=4,(W419-X419)/2,"")</f>
        <v/>
      </c>
      <c r="Z419" s="7" t="str">
        <f aca="false">IF(COUNT(U419:X419)=4,(U419-V419)/2,"")</f>
        <v/>
      </c>
      <c r="AA419" s="7" t="str">
        <f aca="false">IF(COUNT(U419:X419)=4,MAX(1,MIN(10,ROUNDUP(5-Z419,0))),"")</f>
        <v/>
      </c>
      <c r="AB419" s="7" t="str">
        <f aca="false">IF(COUNT(U419:X419)=4,MAX(1,MIN(10,ROUNDUP(Y419+5,0))),"")</f>
        <v/>
      </c>
      <c r="AC419" s="6"/>
      <c r="AD419" s="6"/>
    </row>
    <row r="420" customFormat="false" ht="15" hidden="false" customHeight="true" outlineLevel="0" collapsed="false">
      <c r="A420" s="5" t="n">
        <v>419</v>
      </c>
      <c r="B420" s="5" t="s">
        <v>1078</v>
      </c>
      <c r="C420" s="5" t="s">
        <v>171</v>
      </c>
      <c r="D420" s="5" t="s">
        <v>172</v>
      </c>
      <c r="E420" s="5" t="n">
        <v>262</v>
      </c>
      <c r="F420" s="5" t="s">
        <v>1079</v>
      </c>
      <c r="G420" s="5" t="n">
        <v>4</v>
      </c>
      <c r="H420" s="5" t="s">
        <v>53</v>
      </c>
      <c r="I420" s="5" t="s">
        <v>54</v>
      </c>
      <c r="J420" s="5" t="s">
        <v>181</v>
      </c>
      <c r="K420" s="5" t="s">
        <v>551</v>
      </c>
      <c r="L420" s="5" t="n">
        <v>2</v>
      </c>
      <c r="M420" s="5" t="n">
        <v>5</v>
      </c>
      <c r="N420" s="5" t="n">
        <v>8</v>
      </c>
      <c r="O420" s="5" t="n">
        <v>2</v>
      </c>
      <c r="P420" s="5" t="n">
        <v>3</v>
      </c>
      <c r="Q420" s="5" t="n">
        <v>-1.5</v>
      </c>
      <c r="R420" s="5" t="n">
        <v>7</v>
      </c>
      <c r="S420" s="5" t="n">
        <v>8</v>
      </c>
      <c r="T420" s="5" t="s">
        <v>224</v>
      </c>
      <c r="U420" s="6"/>
      <c r="V420" s="6"/>
      <c r="W420" s="6"/>
      <c r="X420" s="6"/>
      <c r="Y420" s="7" t="str">
        <f aca="false">IF(COUNT(U420:X420)=4,(W420-X420)/2,"")</f>
        <v/>
      </c>
      <c r="Z420" s="7" t="str">
        <f aca="false">IF(COUNT(U420:X420)=4,(U420-V420)/2,"")</f>
        <v/>
      </c>
      <c r="AA420" s="7" t="str">
        <f aca="false">IF(COUNT(U420:X420)=4,MAX(1,MIN(10,ROUNDUP(5-Z420,0))),"")</f>
        <v/>
      </c>
      <c r="AB420" s="7" t="str">
        <f aca="false">IF(COUNT(U420:X420)=4,MAX(1,MIN(10,ROUNDUP(Y420+5,0))),"")</f>
        <v/>
      </c>
      <c r="AC420" s="6"/>
      <c r="AD420" s="6"/>
    </row>
    <row r="421" customFormat="false" ht="15" hidden="false" customHeight="true" outlineLevel="0" collapsed="false">
      <c r="A421" s="5" t="n">
        <v>420</v>
      </c>
      <c r="B421" s="5" t="s">
        <v>1080</v>
      </c>
      <c r="C421" s="5" t="s">
        <v>145</v>
      </c>
      <c r="D421" s="5" t="s">
        <v>51</v>
      </c>
      <c r="E421" s="5" t="n">
        <v>262</v>
      </c>
      <c r="F421" s="5" t="s">
        <v>1081</v>
      </c>
      <c r="G421" s="5" t="n">
        <v>4</v>
      </c>
      <c r="H421" s="5" t="s">
        <v>53</v>
      </c>
      <c r="I421" s="5" t="s">
        <v>54</v>
      </c>
      <c r="J421" s="5" t="s">
        <v>181</v>
      </c>
      <c r="K421" s="5" t="s">
        <v>235</v>
      </c>
      <c r="L421" s="5" t="n">
        <v>4</v>
      </c>
      <c r="M421" s="5" t="n">
        <v>4</v>
      </c>
      <c r="N421" s="5" t="n">
        <v>7</v>
      </c>
      <c r="O421" s="5" t="n">
        <v>4</v>
      </c>
      <c r="P421" s="5" t="n">
        <v>1.5</v>
      </c>
      <c r="Q421" s="5" t="n">
        <v>0</v>
      </c>
      <c r="R421" s="5" t="n">
        <v>5</v>
      </c>
      <c r="S421" s="5" t="n">
        <v>7</v>
      </c>
      <c r="T421" s="5" t="s">
        <v>565</v>
      </c>
      <c r="U421" s="6"/>
      <c r="V421" s="6"/>
      <c r="W421" s="6"/>
      <c r="X421" s="6"/>
      <c r="Y421" s="7" t="str">
        <f aca="false">IF(COUNT(U421:X421)=4,(W421-X421)/2,"")</f>
        <v/>
      </c>
      <c r="Z421" s="7" t="str">
        <f aca="false">IF(COUNT(U421:X421)=4,(U421-V421)/2,"")</f>
        <v/>
      </c>
      <c r="AA421" s="7" t="str">
        <f aca="false">IF(COUNT(U421:X421)=4,MAX(1,MIN(10,ROUNDUP(5-Z421,0))),"")</f>
        <v/>
      </c>
      <c r="AB421" s="7" t="str">
        <f aca="false">IF(COUNT(U421:X421)=4,MAX(1,MIN(10,ROUNDUP(Y421+5,0))),"")</f>
        <v/>
      </c>
      <c r="AC421" s="6"/>
      <c r="AD421" s="6"/>
    </row>
    <row r="422" customFormat="false" ht="15" hidden="false" customHeight="true" outlineLevel="0" collapsed="false">
      <c r="A422" s="5" t="n">
        <v>421</v>
      </c>
      <c r="B422" s="5" t="s">
        <v>1082</v>
      </c>
      <c r="C422" s="5" t="s">
        <v>171</v>
      </c>
      <c r="D422" s="5" t="s">
        <v>172</v>
      </c>
      <c r="E422" s="5" t="n">
        <v>262</v>
      </c>
      <c r="F422" s="5" t="s">
        <v>1083</v>
      </c>
      <c r="G422" s="5" t="n">
        <v>4</v>
      </c>
      <c r="H422" s="5" t="s">
        <v>53</v>
      </c>
      <c r="I422" s="5" t="s">
        <v>54</v>
      </c>
      <c r="J422" s="5" t="s">
        <v>181</v>
      </c>
      <c r="K422" s="5" t="s">
        <v>443</v>
      </c>
      <c r="L422" s="5" t="n">
        <v>5</v>
      </c>
      <c r="M422" s="5" t="n">
        <v>3</v>
      </c>
      <c r="N422" s="5" t="n">
        <v>4</v>
      </c>
      <c r="O422" s="5" t="n">
        <v>8</v>
      </c>
      <c r="P422" s="5" t="n">
        <v>-2</v>
      </c>
      <c r="Q422" s="5" t="n">
        <v>1</v>
      </c>
      <c r="R422" s="5" t="n">
        <v>4</v>
      </c>
      <c r="S422" s="5" t="n">
        <v>3</v>
      </c>
      <c r="T422" s="5" t="s">
        <v>1084</v>
      </c>
      <c r="U422" s="6"/>
      <c r="V422" s="6"/>
      <c r="W422" s="6"/>
      <c r="X422" s="6"/>
      <c r="Y422" s="7" t="str">
        <f aca="false">IF(COUNT(U422:X422)=4,(W422-X422)/2,"")</f>
        <v/>
      </c>
      <c r="Z422" s="7" t="str">
        <f aca="false">IF(COUNT(U422:X422)=4,(U422-V422)/2,"")</f>
        <v/>
      </c>
      <c r="AA422" s="7" t="str">
        <f aca="false">IF(COUNT(U422:X422)=4,MAX(1,MIN(10,ROUNDUP(5-Z422,0))),"")</f>
        <v/>
      </c>
      <c r="AB422" s="7" t="str">
        <f aca="false">IF(COUNT(U422:X422)=4,MAX(1,MIN(10,ROUNDUP(Y422+5,0))),"")</f>
        <v/>
      </c>
      <c r="AC422" s="6"/>
      <c r="AD422" s="6"/>
    </row>
    <row r="423" customFormat="false" ht="15" hidden="false" customHeight="true" outlineLevel="0" collapsed="false">
      <c r="A423" s="5" t="n">
        <v>422</v>
      </c>
      <c r="B423" s="5" t="s">
        <v>1085</v>
      </c>
      <c r="C423" s="5" t="s">
        <v>203</v>
      </c>
      <c r="D423" s="5" t="s">
        <v>204</v>
      </c>
      <c r="E423" s="5" t="n">
        <v>262</v>
      </c>
      <c r="F423" s="5" t="s">
        <v>1086</v>
      </c>
      <c r="G423" s="5" t="n">
        <v>4</v>
      </c>
      <c r="H423" s="5" t="s">
        <v>53</v>
      </c>
      <c r="I423" s="5" t="s">
        <v>54</v>
      </c>
      <c r="J423" s="5" t="s">
        <v>117</v>
      </c>
      <c r="K423" s="5" t="s">
        <v>117</v>
      </c>
      <c r="L423" s="5" t="n">
        <v>3</v>
      </c>
      <c r="M423" s="5" t="n">
        <v>3</v>
      </c>
      <c r="N423" s="5" t="n">
        <v>8</v>
      </c>
      <c r="O423" s="5" t="n">
        <v>2</v>
      </c>
      <c r="P423" s="5" t="n">
        <v>3</v>
      </c>
      <c r="Q423" s="5" t="n">
        <v>0</v>
      </c>
      <c r="R423" s="5" t="n">
        <v>5</v>
      </c>
      <c r="S423" s="5" t="n">
        <v>8</v>
      </c>
      <c r="T423" s="5" t="s">
        <v>491</v>
      </c>
      <c r="U423" s="6"/>
      <c r="V423" s="6"/>
      <c r="W423" s="6"/>
      <c r="X423" s="6"/>
      <c r="Y423" s="7" t="str">
        <f aca="false">IF(COUNT(U423:X423)=4,(W423-X423)/2,"")</f>
        <v/>
      </c>
      <c r="Z423" s="7" t="str">
        <f aca="false">IF(COUNT(U423:X423)=4,(U423-V423)/2,"")</f>
        <v/>
      </c>
      <c r="AA423" s="7" t="str">
        <f aca="false">IF(COUNT(U423:X423)=4,MAX(1,MIN(10,ROUNDUP(5-Z423,0))),"")</f>
        <v/>
      </c>
      <c r="AB423" s="7" t="str">
        <f aca="false">IF(COUNT(U423:X423)=4,MAX(1,MIN(10,ROUNDUP(Y423+5,0))),"")</f>
        <v/>
      </c>
      <c r="AC423" s="6"/>
      <c r="AD423" s="6"/>
    </row>
    <row r="424" customFormat="false" ht="15" hidden="false" customHeight="true" outlineLevel="0" collapsed="false">
      <c r="A424" s="5" t="n">
        <v>423</v>
      </c>
      <c r="B424" s="5" t="s">
        <v>1087</v>
      </c>
      <c r="C424" s="5" t="s">
        <v>171</v>
      </c>
      <c r="D424" s="5" t="s">
        <v>172</v>
      </c>
      <c r="E424" s="5" t="n">
        <v>262</v>
      </c>
      <c r="F424" s="5" t="s">
        <v>1088</v>
      </c>
      <c r="G424" s="5" t="n">
        <v>4</v>
      </c>
      <c r="H424" s="5" t="s">
        <v>53</v>
      </c>
      <c r="I424" s="5" t="s">
        <v>54</v>
      </c>
      <c r="J424" s="5" t="s">
        <v>181</v>
      </c>
      <c r="K424" s="5" t="s">
        <v>223</v>
      </c>
      <c r="L424" s="5" t="n">
        <v>3</v>
      </c>
      <c r="M424" s="5" t="n">
        <v>4</v>
      </c>
      <c r="N424" s="5" t="n">
        <v>6</v>
      </c>
      <c r="O424" s="5" t="n">
        <v>4</v>
      </c>
      <c r="P424" s="5" t="n">
        <v>1</v>
      </c>
      <c r="Q424" s="5" t="n">
        <v>-0.5</v>
      </c>
      <c r="R424" s="5" t="n">
        <v>6</v>
      </c>
      <c r="S424" s="5" t="n">
        <v>6</v>
      </c>
      <c r="T424" s="5" t="s">
        <v>1089</v>
      </c>
      <c r="U424" s="6"/>
      <c r="V424" s="6"/>
      <c r="W424" s="6"/>
      <c r="X424" s="6"/>
      <c r="Y424" s="7" t="str">
        <f aca="false">IF(COUNT(U424:X424)=4,(W424-X424)/2,"")</f>
        <v/>
      </c>
      <c r="Z424" s="7" t="str">
        <f aca="false">IF(COUNT(U424:X424)=4,(U424-V424)/2,"")</f>
        <v/>
      </c>
      <c r="AA424" s="7" t="str">
        <f aca="false">IF(COUNT(U424:X424)=4,MAX(1,MIN(10,ROUNDUP(5-Z424,0))),"")</f>
        <v/>
      </c>
      <c r="AB424" s="7" t="str">
        <f aca="false">IF(COUNT(U424:X424)=4,MAX(1,MIN(10,ROUNDUP(Y424+5,0))),"")</f>
        <v/>
      </c>
      <c r="AC424" s="6"/>
      <c r="AD424" s="6"/>
    </row>
    <row r="425" customFormat="false" ht="15" hidden="false" customHeight="true" outlineLevel="0" collapsed="false">
      <c r="A425" s="5" t="n">
        <v>424</v>
      </c>
      <c r="B425" s="5" t="s">
        <v>1090</v>
      </c>
      <c r="C425" s="5" t="s">
        <v>108</v>
      </c>
      <c r="D425" s="5" t="s">
        <v>109</v>
      </c>
      <c r="E425" s="5" t="n">
        <v>261</v>
      </c>
      <c r="F425" s="5" t="s">
        <v>1090</v>
      </c>
      <c r="G425" s="5" t="n">
        <v>4</v>
      </c>
      <c r="H425" s="5" t="s">
        <v>53</v>
      </c>
      <c r="I425" s="5" t="s">
        <v>54</v>
      </c>
      <c r="J425" s="5" t="s">
        <v>117</v>
      </c>
      <c r="K425" s="5" t="s">
        <v>117</v>
      </c>
      <c r="L425" s="5" t="n">
        <v>3</v>
      </c>
      <c r="M425" s="5" t="n">
        <v>1</v>
      </c>
      <c r="N425" s="5" t="n">
        <v>1</v>
      </c>
      <c r="O425" s="5" t="n">
        <v>8</v>
      </c>
      <c r="P425" s="5" t="n">
        <v>-3.5</v>
      </c>
      <c r="Q425" s="5" t="n">
        <v>1</v>
      </c>
      <c r="R425" s="5" t="n">
        <v>4</v>
      </c>
      <c r="S425" s="5" t="n">
        <v>2</v>
      </c>
      <c r="T425" s="5" t="s">
        <v>1091</v>
      </c>
      <c r="U425" s="6"/>
      <c r="V425" s="6"/>
      <c r="W425" s="6"/>
      <c r="X425" s="6"/>
      <c r="Y425" s="7" t="str">
        <f aca="false">IF(COUNT(U425:X425)=4,(W425-X425)/2,"")</f>
        <v/>
      </c>
      <c r="Z425" s="7" t="str">
        <f aca="false">IF(COUNT(U425:X425)=4,(U425-V425)/2,"")</f>
        <v/>
      </c>
      <c r="AA425" s="7" t="str">
        <f aca="false">IF(COUNT(U425:X425)=4,MAX(1,MIN(10,ROUNDUP(5-Z425,0))),"")</f>
        <v/>
      </c>
      <c r="AB425" s="7" t="str">
        <f aca="false">IF(COUNT(U425:X425)=4,MAX(1,MIN(10,ROUNDUP(Y425+5,0))),"")</f>
        <v/>
      </c>
      <c r="AC425" s="6"/>
      <c r="AD425" s="6"/>
    </row>
    <row r="426" customFormat="false" ht="15" hidden="false" customHeight="true" outlineLevel="0" collapsed="false">
      <c r="A426" s="5" t="n">
        <v>425</v>
      </c>
      <c r="B426" s="5" t="s">
        <v>1092</v>
      </c>
      <c r="C426" s="5" t="s">
        <v>145</v>
      </c>
      <c r="D426" s="5" t="s">
        <v>51</v>
      </c>
      <c r="E426" s="5" t="n">
        <v>260</v>
      </c>
      <c r="F426" s="5" t="s">
        <v>1093</v>
      </c>
      <c r="G426" s="5" t="n">
        <v>4</v>
      </c>
      <c r="H426" s="5" t="s">
        <v>53</v>
      </c>
      <c r="I426" s="5" t="s">
        <v>54</v>
      </c>
      <c r="J426" s="5" t="s">
        <v>55</v>
      </c>
      <c r="K426" s="5" t="s">
        <v>55</v>
      </c>
      <c r="L426" s="5" t="n">
        <v>4</v>
      </c>
      <c r="M426" s="5" t="n">
        <v>3</v>
      </c>
      <c r="N426" s="5" t="n">
        <v>3</v>
      </c>
      <c r="O426" s="5" t="n">
        <v>6</v>
      </c>
      <c r="P426" s="5" t="n">
        <v>-1.5</v>
      </c>
      <c r="Q426" s="5" t="n">
        <v>0.5</v>
      </c>
      <c r="R426" s="5" t="n">
        <v>5</v>
      </c>
      <c r="S426" s="5" t="n">
        <v>4</v>
      </c>
      <c r="T426" s="5" t="s">
        <v>1040</v>
      </c>
      <c r="U426" s="6"/>
      <c r="V426" s="6"/>
      <c r="W426" s="6"/>
      <c r="X426" s="6"/>
      <c r="Y426" s="7" t="str">
        <f aca="false">IF(COUNT(U426:X426)=4,(W426-X426)/2,"")</f>
        <v/>
      </c>
      <c r="Z426" s="7" t="str">
        <f aca="false">IF(COUNT(U426:X426)=4,(U426-V426)/2,"")</f>
        <v/>
      </c>
      <c r="AA426" s="7" t="str">
        <f aca="false">IF(COUNT(U426:X426)=4,MAX(1,MIN(10,ROUNDUP(5-Z426,0))),"")</f>
        <v/>
      </c>
      <c r="AB426" s="7" t="str">
        <f aca="false">IF(COUNT(U426:X426)=4,MAX(1,MIN(10,ROUNDUP(Y426+5,0))),"")</f>
        <v/>
      </c>
      <c r="AC426" s="6"/>
      <c r="AD426" s="6"/>
    </row>
    <row r="427" customFormat="false" ht="15" hidden="false" customHeight="true" outlineLevel="0" collapsed="false">
      <c r="A427" s="5" t="n">
        <v>426</v>
      </c>
      <c r="B427" s="5" t="s">
        <v>1094</v>
      </c>
      <c r="C427" s="5" t="s">
        <v>203</v>
      </c>
      <c r="D427" s="5" t="s">
        <v>204</v>
      </c>
      <c r="E427" s="5" t="n">
        <v>260</v>
      </c>
      <c r="F427" s="5" t="s">
        <v>1095</v>
      </c>
      <c r="G427" s="5" t="n">
        <v>4</v>
      </c>
      <c r="H427" s="5" t="s">
        <v>53</v>
      </c>
      <c r="I427" s="5" t="s">
        <v>54</v>
      </c>
      <c r="J427" s="5" t="s">
        <v>117</v>
      </c>
      <c r="K427" s="5" t="s">
        <v>117</v>
      </c>
      <c r="L427" s="5" t="n">
        <v>3</v>
      </c>
      <c r="M427" s="5" t="n">
        <v>2</v>
      </c>
      <c r="N427" s="5" t="n">
        <v>1</v>
      </c>
      <c r="O427" s="5" t="n">
        <v>8</v>
      </c>
      <c r="P427" s="5" t="n">
        <v>-3.5</v>
      </c>
      <c r="Q427" s="5" t="n">
        <v>0.5</v>
      </c>
      <c r="R427" s="5" t="n">
        <v>5</v>
      </c>
      <c r="S427" s="5" t="n">
        <v>2</v>
      </c>
      <c r="T427" s="5" t="s">
        <v>193</v>
      </c>
      <c r="U427" s="6"/>
      <c r="V427" s="6"/>
      <c r="W427" s="6"/>
      <c r="X427" s="6"/>
      <c r="Y427" s="7" t="str">
        <f aca="false">IF(COUNT(U427:X427)=4,(W427-X427)/2,"")</f>
        <v/>
      </c>
      <c r="Z427" s="7" t="str">
        <f aca="false">IF(COUNT(U427:X427)=4,(U427-V427)/2,"")</f>
        <v/>
      </c>
      <c r="AA427" s="7" t="str">
        <f aca="false">IF(COUNT(U427:X427)=4,MAX(1,MIN(10,ROUNDUP(5-Z427,0))),"")</f>
        <v/>
      </c>
      <c r="AB427" s="7" t="str">
        <f aca="false">IF(COUNT(U427:X427)=4,MAX(1,MIN(10,ROUNDUP(Y427+5,0))),"")</f>
        <v/>
      </c>
      <c r="AC427" s="6"/>
      <c r="AD427" s="6"/>
    </row>
    <row r="428" customFormat="false" ht="15" hidden="false" customHeight="true" outlineLevel="0" collapsed="false">
      <c r="A428" s="5" t="n">
        <v>427</v>
      </c>
      <c r="B428" s="5" t="s">
        <v>1096</v>
      </c>
      <c r="C428" s="5" t="s">
        <v>171</v>
      </c>
      <c r="D428" s="5" t="s">
        <v>172</v>
      </c>
      <c r="E428" s="5" t="n">
        <v>259</v>
      </c>
      <c r="F428" s="5" t="s">
        <v>1097</v>
      </c>
      <c r="G428" s="5" t="n">
        <v>4</v>
      </c>
      <c r="H428" s="5" t="s">
        <v>53</v>
      </c>
      <c r="I428" s="5" t="s">
        <v>54</v>
      </c>
      <c r="J428" s="5" t="s">
        <v>181</v>
      </c>
      <c r="K428" s="5" t="s">
        <v>443</v>
      </c>
      <c r="L428" s="5" t="n">
        <v>5</v>
      </c>
      <c r="M428" s="5" t="n">
        <v>3</v>
      </c>
      <c r="N428" s="5" t="n">
        <v>4</v>
      </c>
      <c r="O428" s="5" t="n">
        <v>8</v>
      </c>
      <c r="P428" s="5" t="n">
        <v>-2</v>
      </c>
      <c r="Q428" s="5" t="n">
        <v>1</v>
      </c>
      <c r="R428" s="5" t="n">
        <v>4</v>
      </c>
      <c r="S428" s="5" t="n">
        <v>3</v>
      </c>
      <c r="T428" s="5" t="s">
        <v>1098</v>
      </c>
      <c r="U428" s="6"/>
      <c r="V428" s="6"/>
      <c r="W428" s="6"/>
      <c r="X428" s="6"/>
      <c r="Y428" s="7" t="str">
        <f aca="false">IF(COUNT(U428:X428)=4,(W428-X428)/2,"")</f>
        <v/>
      </c>
      <c r="Z428" s="7" t="str">
        <f aca="false">IF(COUNT(U428:X428)=4,(U428-V428)/2,"")</f>
        <v/>
      </c>
      <c r="AA428" s="7" t="str">
        <f aca="false">IF(COUNT(U428:X428)=4,MAX(1,MIN(10,ROUNDUP(5-Z428,0))),"")</f>
        <v/>
      </c>
      <c r="AB428" s="7" t="str">
        <f aca="false">IF(COUNT(U428:X428)=4,MAX(1,MIN(10,ROUNDUP(Y428+5,0))),"")</f>
        <v/>
      </c>
      <c r="AC428" s="6"/>
      <c r="AD428" s="6"/>
    </row>
    <row r="429" customFormat="false" ht="15" hidden="false" customHeight="true" outlineLevel="0" collapsed="false">
      <c r="A429" s="5" t="n">
        <v>428</v>
      </c>
      <c r="B429" s="5" t="s">
        <v>1099</v>
      </c>
      <c r="C429" s="5" t="s">
        <v>58</v>
      </c>
      <c r="D429" s="5" t="s">
        <v>59</v>
      </c>
      <c r="E429" s="5" t="n">
        <v>258</v>
      </c>
      <c r="F429" s="5" t="s">
        <v>1099</v>
      </c>
      <c r="G429" s="5" t="n">
        <v>3</v>
      </c>
      <c r="H429" s="5" t="s">
        <v>53</v>
      </c>
      <c r="I429" s="5" t="s">
        <v>54</v>
      </c>
      <c r="J429" s="5" t="s">
        <v>117</v>
      </c>
      <c r="K429" s="5" t="s">
        <v>117</v>
      </c>
      <c r="L429" s="5" t="n">
        <v>3</v>
      </c>
      <c r="M429" s="5" t="n">
        <v>1</v>
      </c>
      <c r="N429" s="5" t="n">
        <v>7</v>
      </c>
      <c r="O429" s="5" t="n">
        <v>3</v>
      </c>
      <c r="P429" s="5" t="n">
        <v>2</v>
      </c>
      <c r="Q429" s="5" t="n">
        <v>1</v>
      </c>
      <c r="R429" s="5" t="n">
        <v>4</v>
      </c>
      <c r="S429" s="5" t="n">
        <v>7</v>
      </c>
      <c r="T429" s="5" t="s">
        <v>1100</v>
      </c>
      <c r="U429" s="6"/>
      <c r="V429" s="6"/>
      <c r="W429" s="6"/>
      <c r="X429" s="6"/>
      <c r="Y429" s="7" t="str">
        <f aca="false">IF(COUNT(U429:X429)=4,(W429-X429)/2,"")</f>
        <v/>
      </c>
      <c r="Z429" s="7" t="str">
        <f aca="false">IF(COUNT(U429:X429)=4,(U429-V429)/2,"")</f>
        <v/>
      </c>
      <c r="AA429" s="7" t="str">
        <f aca="false">IF(COUNT(U429:X429)=4,MAX(1,MIN(10,ROUNDUP(5-Z429,0))),"")</f>
        <v/>
      </c>
      <c r="AB429" s="7" t="str">
        <f aca="false">IF(COUNT(U429:X429)=4,MAX(1,MIN(10,ROUNDUP(Y429+5,0))),"")</f>
        <v/>
      </c>
      <c r="AC429" s="6"/>
      <c r="AD429" s="6"/>
    </row>
    <row r="430" customFormat="false" ht="15" hidden="false" customHeight="true" outlineLevel="0" collapsed="false">
      <c r="A430" s="5" t="n">
        <v>429</v>
      </c>
      <c r="B430" s="5" t="s">
        <v>1101</v>
      </c>
      <c r="C430" s="5" t="s">
        <v>145</v>
      </c>
      <c r="D430" s="5" t="s">
        <v>51</v>
      </c>
      <c r="E430" s="5" t="n">
        <v>258</v>
      </c>
      <c r="F430" s="5" t="s">
        <v>1101</v>
      </c>
      <c r="G430" s="5" t="n">
        <v>2</v>
      </c>
      <c r="H430" s="5" t="s">
        <v>47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 t="s">
        <v>1102</v>
      </c>
      <c r="U430" s="6"/>
      <c r="V430" s="6"/>
      <c r="W430" s="6"/>
      <c r="X430" s="6"/>
      <c r="Y430" s="7" t="str">
        <f aca="false">IF(COUNT(U430:X430)=4,(W430-X430)/2,"")</f>
        <v/>
      </c>
      <c r="Z430" s="7" t="str">
        <f aca="false">IF(COUNT(U430:X430)=4,(U430-V430)/2,"")</f>
        <v/>
      </c>
      <c r="AA430" s="7" t="str">
        <f aca="false">IF(COUNT(U430:X430)=4,MAX(1,MIN(10,ROUNDUP(5-Z430,0))),"")</f>
        <v/>
      </c>
      <c r="AB430" s="7" t="str">
        <f aca="false">IF(COUNT(U430:X430)=4,MAX(1,MIN(10,ROUNDUP(Y430+5,0))),"")</f>
        <v/>
      </c>
      <c r="AC430" s="6"/>
      <c r="AD430" s="6"/>
    </row>
    <row r="431" customFormat="false" ht="15" hidden="false" customHeight="true" outlineLevel="0" collapsed="false">
      <c r="A431" s="5" t="n">
        <v>430</v>
      </c>
      <c r="B431" s="5" t="s">
        <v>1103</v>
      </c>
      <c r="C431" s="5" t="s">
        <v>171</v>
      </c>
      <c r="D431" s="5" t="s">
        <v>172</v>
      </c>
      <c r="E431" s="5" t="n">
        <v>258</v>
      </c>
      <c r="F431" s="5" t="s">
        <v>1104</v>
      </c>
      <c r="G431" s="5" t="n">
        <v>4</v>
      </c>
      <c r="H431" s="5" t="s">
        <v>53</v>
      </c>
      <c r="I431" s="5" t="s">
        <v>54</v>
      </c>
      <c r="J431" s="5" t="s">
        <v>181</v>
      </c>
      <c r="K431" s="5" t="s">
        <v>235</v>
      </c>
      <c r="L431" s="5" t="n">
        <v>4</v>
      </c>
      <c r="M431" s="5" t="n">
        <v>4</v>
      </c>
      <c r="N431" s="5" t="n">
        <v>7</v>
      </c>
      <c r="O431" s="5" t="n">
        <v>4</v>
      </c>
      <c r="P431" s="5" t="n">
        <v>1.5</v>
      </c>
      <c r="Q431" s="5" t="n">
        <v>0</v>
      </c>
      <c r="R431" s="5" t="n">
        <v>5</v>
      </c>
      <c r="S431" s="5" t="n">
        <v>7</v>
      </c>
      <c r="T431" s="5" t="s">
        <v>1105</v>
      </c>
      <c r="U431" s="6"/>
      <c r="V431" s="6"/>
      <c r="W431" s="6"/>
      <c r="X431" s="6"/>
      <c r="Y431" s="7" t="str">
        <f aca="false">IF(COUNT(U431:X431)=4,(W431-X431)/2,"")</f>
        <v/>
      </c>
      <c r="Z431" s="7" t="str">
        <f aca="false">IF(COUNT(U431:X431)=4,(U431-V431)/2,"")</f>
        <v/>
      </c>
      <c r="AA431" s="7" t="str">
        <f aca="false">IF(COUNT(U431:X431)=4,MAX(1,MIN(10,ROUNDUP(5-Z431,0))),"")</f>
        <v/>
      </c>
      <c r="AB431" s="7" t="str">
        <f aca="false">IF(COUNT(U431:X431)=4,MAX(1,MIN(10,ROUNDUP(Y431+5,0))),"")</f>
        <v/>
      </c>
      <c r="AC431" s="6"/>
      <c r="AD431" s="6"/>
    </row>
    <row r="432" customFormat="false" ht="15" hidden="false" customHeight="true" outlineLevel="0" collapsed="false">
      <c r="A432" s="5" t="n">
        <v>431</v>
      </c>
      <c r="B432" s="5" t="s">
        <v>1106</v>
      </c>
      <c r="C432" s="5" t="s">
        <v>145</v>
      </c>
      <c r="D432" s="5" t="s">
        <v>51</v>
      </c>
      <c r="E432" s="5" t="n">
        <v>258</v>
      </c>
      <c r="F432" s="5" t="s">
        <v>1107</v>
      </c>
      <c r="G432" s="5" t="n">
        <v>4</v>
      </c>
      <c r="H432" s="5" t="s">
        <v>53</v>
      </c>
      <c r="I432" s="5" t="s">
        <v>54</v>
      </c>
      <c r="J432" s="5" t="s">
        <v>55</v>
      </c>
      <c r="K432" s="5" t="s">
        <v>55</v>
      </c>
      <c r="L432" s="5" t="n">
        <v>5</v>
      </c>
      <c r="M432" s="5" t="n">
        <v>2</v>
      </c>
      <c r="N432" s="5" t="n">
        <v>3</v>
      </c>
      <c r="O432" s="5" t="n">
        <v>8</v>
      </c>
      <c r="P432" s="5" t="n">
        <v>-2.5</v>
      </c>
      <c r="Q432" s="5" t="n">
        <v>1.5</v>
      </c>
      <c r="R432" s="5" t="n">
        <v>4</v>
      </c>
      <c r="S432" s="5" t="n">
        <v>3</v>
      </c>
      <c r="T432" s="5" t="s">
        <v>1108</v>
      </c>
      <c r="U432" s="6"/>
      <c r="V432" s="6"/>
      <c r="W432" s="6"/>
      <c r="X432" s="6"/>
      <c r="Y432" s="7" t="str">
        <f aca="false">IF(COUNT(U432:X432)=4,(W432-X432)/2,"")</f>
        <v/>
      </c>
      <c r="Z432" s="7" t="str">
        <f aca="false">IF(COUNT(U432:X432)=4,(U432-V432)/2,"")</f>
        <v/>
      </c>
      <c r="AA432" s="7" t="str">
        <f aca="false">IF(COUNT(U432:X432)=4,MAX(1,MIN(10,ROUNDUP(5-Z432,0))),"")</f>
        <v/>
      </c>
      <c r="AB432" s="7" t="str">
        <f aca="false">IF(COUNT(U432:X432)=4,MAX(1,MIN(10,ROUNDUP(Y432+5,0))),"")</f>
        <v/>
      </c>
      <c r="AC432" s="6"/>
      <c r="AD432" s="6"/>
    </row>
    <row r="433" customFormat="false" ht="15" hidden="false" customHeight="true" outlineLevel="0" collapsed="false">
      <c r="A433" s="5" t="n">
        <v>432</v>
      </c>
      <c r="B433" s="5" t="s">
        <v>1109</v>
      </c>
      <c r="C433" s="5" t="s">
        <v>203</v>
      </c>
      <c r="D433" s="5" t="s">
        <v>204</v>
      </c>
      <c r="E433" s="5" t="n">
        <v>258</v>
      </c>
      <c r="F433" s="5" t="s">
        <v>1109</v>
      </c>
      <c r="G433" s="5" t="n">
        <v>4</v>
      </c>
      <c r="H433" s="5" t="s">
        <v>53</v>
      </c>
      <c r="I433" s="5" t="s">
        <v>54</v>
      </c>
      <c r="J433" s="5" t="s">
        <v>117</v>
      </c>
      <c r="K433" s="5" t="s">
        <v>117</v>
      </c>
      <c r="L433" s="5" t="n">
        <v>3</v>
      </c>
      <c r="M433" s="5" t="n">
        <v>1</v>
      </c>
      <c r="N433" s="5" t="n">
        <v>2</v>
      </c>
      <c r="O433" s="5" t="n">
        <v>8</v>
      </c>
      <c r="P433" s="5" t="n">
        <v>-3</v>
      </c>
      <c r="Q433" s="5" t="n">
        <v>1</v>
      </c>
      <c r="R433" s="5" t="n">
        <v>4</v>
      </c>
      <c r="S433" s="5" t="n">
        <v>2</v>
      </c>
      <c r="T433" s="5" t="s">
        <v>69</v>
      </c>
      <c r="U433" s="6"/>
      <c r="V433" s="6"/>
      <c r="W433" s="6"/>
      <c r="X433" s="6"/>
      <c r="Y433" s="7" t="str">
        <f aca="false">IF(COUNT(U433:X433)=4,(W433-X433)/2,"")</f>
        <v/>
      </c>
      <c r="Z433" s="7" t="str">
        <f aca="false">IF(COUNT(U433:X433)=4,(U433-V433)/2,"")</f>
        <v/>
      </c>
      <c r="AA433" s="7" t="str">
        <f aca="false">IF(COUNT(U433:X433)=4,MAX(1,MIN(10,ROUNDUP(5-Z433,0))),"")</f>
        <v/>
      </c>
      <c r="AB433" s="7" t="str">
        <f aca="false">IF(COUNT(U433:X433)=4,MAX(1,MIN(10,ROUNDUP(Y433+5,0))),"")</f>
        <v/>
      </c>
      <c r="AC433" s="6"/>
      <c r="AD433" s="6"/>
    </row>
    <row r="434" customFormat="false" ht="15" hidden="false" customHeight="true" outlineLevel="0" collapsed="false">
      <c r="A434" s="5" t="n">
        <v>433</v>
      </c>
      <c r="B434" s="5" t="s">
        <v>1110</v>
      </c>
      <c r="C434" s="5" t="s">
        <v>171</v>
      </c>
      <c r="D434" s="5" t="s">
        <v>172</v>
      </c>
      <c r="E434" s="5" t="n">
        <v>258</v>
      </c>
      <c r="F434" s="5" t="s">
        <v>1111</v>
      </c>
      <c r="G434" s="5" t="n">
        <v>4</v>
      </c>
      <c r="H434" s="5" t="s">
        <v>53</v>
      </c>
      <c r="I434" s="5" t="s">
        <v>54</v>
      </c>
      <c r="J434" s="5" t="s">
        <v>181</v>
      </c>
      <c r="K434" s="5" t="s">
        <v>443</v>
      </c>
      <c r="L434" s="5" t="n">
        <v>5</v>
      </c>
      <c r="M434" s="5" t="n">
        <v>3</v>
      </c>
      <c r="N434" s="5" t="n">
        <v>4</v>
      </c>
      <c r="O434" s="5" t="n">
        <v>8</v>
      </c>
      <c r="P434" s="5" t="n">
        <v>-2</v>
      </c>
      <c r="Q434" s="5" t="n">
        <v>1</v>
      </c>
      <c r="R434" s="5" t="n">
        <v>4</v>
      </c>
      <c r="S434" s="5" t="n">
        <v>3</v>
      </c>
      <c r="T434" s="5" t="s">
        <v>60</v>
      </c>
      <c r="U434" s="6"/>
      <c r="V434" s="6"/>
      <c r="W434" s="6"/>
      <c r="X434" s="6"/>
      <c r="Y434" s="7" t="str">
        <f aca="false">IF(COUNT(U434:X434)=4,(W434-X434)/2,"")</f>
        <v/>
      </c>
      <c r="Z434" s="7" t="str">
        <f aca="false">IF(COUNT(U434:X434)=4,(U434-V434)/2,"")</f>
        <v/>
      </c>
      <c r="AA434" s="7" t="str">
        <f aca="false">IF(COUNT(U434:X434)=4,MAX(1,MIN(10,ROUNDUP(5-Z434,0))),"")</f>
        <v/>
      </c>
      <c r="AB434" s="7" t="str">
        <f aca="false">IF(COUNT(U434:X434)=4,MAX(1,MIN(10,ROUNDUP(Y434+5,0))),"")</f>
        <v/>
      </c>
      <c r="AC434" s="6"/>
      <c r="AD434" s="6"/>
    </row>
    <row r="435" customFormat="false" ht="15" hidden="false" customHeight="true" outlineLevel="0" collapsed="false">
      <c r="A435" s="5" t="n">
        <v>434</v>
      </c>
      <c r="B435" s="5" t="s">
        <v>1112</v>
      </c>
      <c r="C435" s="5" t="s">
        <v>203</v>
      </c>
      <c r="D435" s="5" t="s">
        <v>204</v>
      </c>
      <c r="E435" s="5" t="n">
        <v>256</v>
      </c>
      <c r="F435" s="5" t="s">
        <v>1113</v>
      </c>
      <c r="G435" s="5" t="n">
        <v>4</v>
      </c>
      <c r="H435" s="5" t="s">
        <v>53</v>
      </c>
      <c r="I435" s="5" t="s">
        <v>54</v>
      </c>
      <c r="J435" s="5" t="s">
        <v>117</v>
      </c>
      <c r="K435" s="5" t="s">
        <v>117</v>
      </c>
      <c r="L435" s="5" t="n">
        <v>5</v>
      </c>
      <c r="M435" s="5" t="n">
        <v>3</v>
      </c>
      <c r="N435" s="5" t="n">
        <v>7</v>
      </c>
      <c r="O435" s="5" t="n">
        <v>3</v>
      </c>
      <c r="P435" s="5" t="n">
        <v>2</v>
      </c>
      <c r="Q435" s="5" t="n">
        <v>1</v>
      </c>
      <c r="R435" s="5" t="n">
        <v>4</v>
      </c>
      <c r="S435" s="5" t="n">
        <v>7</v>
      </c>
      <c r="T435" s="5" t="s">
        <v>1114</v>
      </c>
      <c r="U435" s="6"/>
      <c r="V435" s="6"/>
      <c r="W435" s="6"/>
      <c r="X435" s="6"/>
      <c r="Y435" s="7" t="str">
        <f aca="false">IF(COUNT(U435:X435)=4,(W435-X435)/2,"")</f>
        <v/>
      </c>
      <c r="Z435" s="7" t="str">
        <f aca="false">IF(COUNT(U435:X435)=4,(U435-V435)/2,"")</f>
        <v/>
      </c>
      <c r="AA435" s="7" t="str">
        <f aca="false">IF(COUNT(U435:X435)=4,MAX(1,MIN(10,ROUNDUP(5-Z435,0))),"")</f>
        <v/>
      </c>
      <c r="AB435" s="7" t="str">
        <f aca="false">IF(COUNT(U435:X435)=4,MAX(1,MIN(10,ROUNDUP(Y435+5,0))),"")</f>
        <v/>
      </c>
      <c r="AC435" s="6"/>
      <c r="AD435" s="6"/>
    </row>
    <row r="436" customFormat="false" ht="15" hidden="false" customHeight="true" outlineLevel="0" collapsed="false">
      <c r="A436" s="5" t="n">
        <v>435</v>
      </c>
      <c r="B436" s="5" t="s">
        <v>1115</v>
      </c>
      <c r="C436" s="5" t="s">
        <v>171</v>
      </c>
      <c r="D436" s="5" t="s">
        <v>172</v>
      </c>
      <c r="E436" s="5" t="n">
        <v>255</v>
      </c>
      <c r="F436" s="5" t="s">
        <v>1116</v>
      </c>
      <c r="G436" s="5" t="n">
        <v>4</v>
      </c>
      <c r="H436" s="5" t="s">
        <v>53</v>
      </c>
      <c r="I436" s="5" t="s">
        <v>54</v>
      </c>
      <c r="J436" s="5" t="s">
        <v>181</v>
      </c>
      <c r="K436" s="5" t="s">
        <v>333</v>
      </c>
      <c r="L436" s="5" t="n">
        <v>2</v>
      </c>
      <c r="M436" s="5" t="n">
        <v>4</v>
      </c>
      <c r="N436" s="5" t="n">
        <v>8</v>
      </c>
      <c r="O436" s="5" t="n">
        <v>2</v>
      </c>
      <c r="P436" s="5" t="n">
        <v>3</v>
      </c>
      <c r="Q436" s="5" t="n">
        <v>-1</v>
      </c>
      <c r="R436" s="5" t="n">
        <v>6</v>
      </c>
      <c r="S436" s="5" t="n">
        <v>8</v>
      </c>
      <c r="T436" s="5" t="s">
        <v>257</v>
      </c>
      <c r="U436" s="6"/>
      <c r="V436" s="6"/>
      <c r="W436" s="6"/>
      <c r="X436" s="6"/>
      <c r="Y436" s="7" t="str">
        <f aca="false">IF(COUNT(U436:X436)=4,(W436-X436)/2,"")</f>
        <v/>
      </c>
      <c r="Z436" s="7" t="str">
        <f aca="false">IF(COUNT(U436:X436)=4,(U436-V436)/2,"")</f>
        <v/>
      </c>
      <c r="AA436" s="7" t="str">
        <f aca="false">IF(COUNT(U436:X436)=4,MAX(1,MIN(10,ROUNDUP(5-Z436,0))),"")</f>
        <v/>
      </c>
      <c r="AB436" s="7" t="str">
        <f aca="false">IF(COUNT(U436:X436)=4,MAX(1,MIN(10,ROUNDUP(Y436+5,0))),"")</f>
        <v/>
      </c>
      <c r="AC436" s="6"/>
      <c r="AD436" s="6"/>
    </row>
    <row r="437" customFormat="false" ht="15" hidden="false" customHeight="true" outlineLevel="0" collapsed="false">
      <c r="A437" s="5" t="n">
        <v>436</v>
      </c>
      <c r="B437" s="5" t="s">
        <v>1117</v>
      </c>
      <c r="C437" s="5" t="s">
        <v>145</v>
      </c>
      <c r="D437" s="5" t="s">
        <v>51</v>
      </c>
      <c r="E437" s="5" t="n">
        <v>254</v>
      </c>
      <c r="F437" s="5" t="s">
        <v>1118</v>
      </c>
      <c r="G437" s="5" t="n">
        <v>4</v>
      </c>
      <c r="H437" s="5" t="s">
        <v>53</v>
      </c>
      <c r="I437" s="5" t="s">
        <v>54</v>
      </c>
      <c r="J437" s="5" t="s">
        <v>55</v>
      </c>
      <c r="K437" s="5" t="s">
        <v>55</v>
      </c>
      <c r="L437" s="5" t="n">
        <v>4</v>
      </c>
      <c r="M437" s="5" t="n">
        <v>3</v>
      </c>
      <c r="N437" s="5" t="n">
        <v>9</v>
      </c>
      <c r="O437" s="5" t="n">
        <v>2</v>
      </c>
      <c r="P437" s="5" t="n">
        <v>3.5</v>
      </c>
      <c r="Q437" s="5" t="n">
        <v>0.5</v>
      </c>
      <c r="R437" s="5" t="n">
        <v>5</v>
      </c>
      <c r="S437" s="5" t="n">
        <v>9</v>
      </c>
      <c r="T437" s="5" t="s">
        <v>135</v>
      </c>
      <c r="U437" s="6"/>
      <c r="V437" s="6"/>
      <c r="W437" s="6"/>
      <c r="X437" s="6"/>
      <c r="Y437" s="7" t="str">
        <f aca="false">IF(COUNT(U437:X437)=4,(W437-X437)/2,"")</f>
        <v/>
      </c>
      <c r="Z437" s="7" t="str">
        <f aca="false">IF(COUNT(U437:X437)=4,(U437-V437)/2,"")</f>
        <v/>
      </c>
      <c r="AA437" s="7" t="str">
        <f aca="false">IF(COUNT(U437:X437)=4,MAX(1,MIN(10,ROUNDUP(5-Z437,0))),"")</f>
        <v/>
      </c>
      <c r="AB437" s="7" t="str">
        <f aca="false">IF(COUNT(U437:X437)=4,MAX(1,MIN(10,ROUNDUP(Y437+5,0))),"")</f>
        <v/>
      </c>
      <c r="AC437" s="6"/>
      <c r="AD437" s="6"/>
    </row>
    <row r="438" customFormat="false" ht="15" hidden="false" customHeight="true" outlineLevel="0" collapsed="false">
      <c r="A438" s="5" t="n">
        <v>437</v>
      </c>
      <c r="B438" s="5" t="s">
        <v>1119</v>
      </c>
      <c r="C438" s="5" t="s">
        <v>145</v>
      </c>
      <c r="D438" s="5" t="s">
        <v>51</v>
      </c>
      <c r="E438" s="5" t="n">
        <v>254</v>
      </c>
      <c r="F438" s="5" t="s">
        <v>1120</v>
      </c>
      <c r="G438" s="5" t="n">
        <v>4</v>
      </c>
      <c r="H438" s="5" t="s">
        <v>53</v>
      </c>
      <c r="I438" s="5" t="s">
        <v>54</v>
      </c>
      <c r="J438" s="5" t="s">
        <v>181</v>
      </c>
      <c r="K438" s="5" t="s">
        <v>182</v>
      </c>
      <c r="L438" s="5" t="n">
        <v>2</v>
      </c>
      <c r="M438" s="5" t="n">
        <v>6</v>
      </c>
      <c r="N438" s="5" t="n">
        <v>7</v>
      </c>
      <c r="O438" s="5" t="n">
        <v>3</v>
      </c>
      <c r="P438" s="5" t="n">
        <v>2</v>
      </c>
      <c r="Q438" s="5" t="n">
        <v>-2</v>
      </c>
      <c r="R438" s="5" t="n">
        <v>7</v>
      </c>
      <c r="S438" s="5" t="n">
        <v>7</v>
      </c>
      <c r="T438" s="5" t="s">
        <v>923</v>
      </c>
      <c r="U438" s="6"/>
      <c r="V438" s="6"/>
      <c r="W438" s="6"/>
      <c r="X438" s="6"/>
      <c r="Y438" s="7" t="str">
        <f aca="false">IF(COUNT(U438:X438)=4,(W438-X438)/2,"")</f>
        <v/>
      </c>
      <c r="Z438" s="7" t="str">
        <f aca="false">IF(COUNT(U438:X438)=4,(U438-V438)/2,"")</f>
        <v/>
      </c>
      <c r="AA438" s="7" t="str">
        <f aca="false">IF(COUNT(U438:X438)=4,MAX(1,MIN(10,ROUNDUP(5-Z438,0))),"")</f>
        <v/>
      </c>
      <c r="AB438" s="7" t="str">
        <f aca="false">IF(COUNT(U438:X438)=4,MAX(1,MIN(10,ROUNDUP(Y438+5,0))),"")</f>
        <v/>
      </c>
      <c r="AC438" s="6"/>
      <c r="AD438" s="6"/>
    </row>
    <row r="439" customFormat="false" ht="15" hidden="false" customHeight="true" outlineLevel="0" collapsed="false">
      <c r="A439" s="5" t="n">
        <v>438</v>
      </c>
      <c r="B439" s="5" t="s">
        <v>1121</v>
      </c>
      <c r="C439" s="5" t="s">
        <v>171</v>
      </c>
      <c r="D439" s="5" t="s">
        <v>172</v>
      </c>
      <c r="E439" s="5" t="n">
        <v>253</v>
      </c>
      <c r="F439" s="5" t="s">
        <v>1122</v>
      </c>
      <c r="G439" s="5" t="n">
        <v>4</v>
      </c>
      <c r="H439" s="5" t="s">
        <v>53</v>
      </c>
      <c r="I439" s="5" t="s">
        <v>54</v>
      </c>
      <c r="J439" s="5" t="s">
        <v>181</v>
      </c>
      <c r="K439" s="5" t="s">
        <v>179</v>
      </c>
      <c r="L439" s="5" t="n">
        <v>2</v>
      </c>
      <c r="M439" s="5" t="n">
        <v>6</v>
      </c>
      <c r="N439" s="5" t="n">
        <v>2</v>
      </c>
      <c r="O439" s="5" t="n">
        <v>6</v>
      </c>
      <c r="P439" s="5" t="n">
        <v>-2</v>
      </c>
      <c r="Q439" s="5" t="n">
        <v>-2</v>
      </c>
      <c r="R439" s="5" t="n">
        <v>7</v>
      </c>
      <c r="S439" s="5" t="n">
        <v>3</v>
      </c>
      <c r="T439" s="5" t="s">
        <v>1123</v>
      </c>
      <c r="U439" s="6"/>
      <c r="V439" s="6"/>
      <c r="W439" s="6"/>
      <c r="X439" s="6"/>
      <c r="Y439" s="7" t="str">
        <f aca="false">IF(COUNT(U439:X439)=4,(W439-X439)/2,"")</f>
        <v/>
      </c>
      <c r="Z439" s="7" t="str">
        <f aca="false">IF(COUNT(U439:X439)=4,(U439-V439)/2,"")</f>
        <v/>
      </c>
      <c r="AA439" s="7" t="str">
        <f aca="false">IF(COUNT(U439:X439)=4,MAX(1,MIN(10,ROUNDUP(5-Z439,0))),"")</f>
        <v/>
      </c>
      <c r="AB439" s="7" t="str">
        <f aca="false">IF(COUNT(U439:X439)=4,MAX(1,MIN(10,ROUNDUP(Y439+5,0))),"")</f>
        <v/>
      </c>
      <c r="AC439" s="6"/>
      <c r="AD439" s="6"/>
    </row>
    <row r="440" customFormat="false" ht="15" hidden="false" customHeight="true" outlineLevel="0" collapsed="false">
      <c r="A440" s="5" t="n">
        <v>439</v>
      </c>
      <c r="B440" s="5" t="s">
        <v>1124</v>
      </c>
      <c r="C440" s="5" t="s">
        <v>127</v>
      </c>
      <c r="D440" s="5" t="s">
        <v>128</v>
      </c>
      <c r="E440" s="5" t="n">
        <v>253</v>
      </c>
      <c r="F440" s="5" t="s">
        <v>1125</v>
      </c>
      <c r="G440" s="5" t="n">
        <v>4</v>
      </c>
      <c r="H440" s="5" t="s">
        <v>53</v>
      </c>
      <c r="I440" s="5" t="s">
        <v>54</v>
      </c>
      <c r="J440" s="5" t="s">
        <v>117</v>
      </c>
      <c r="K440" s="5" t="s">
        <v>117</v>
      </c>
      <c r="L440" s="5" t="n">
        <v>3</v>
      </c>
      <c r="M440" s="5" t="n">
        <v>1</v>
      </c>
      <c r="N440" s="5" t="n">
        <v>2</v>
      </c>
      <c r="O440" s="5" t="n">
        <v>7</v>
      </c>
      <c r="P440" s="5" t="n">
        <v>-2.5</v>
      </c>
      <c r="Q440" s="5" t="n">
        <v>1</v>
      </c>
      <c r="R440" s="5" t="n">
        <v>4</v>
      </c>
      <c r="S440" s="5" t="n">
        <v>3</v>
      </c>
      <c r="T440" s="5" t="s">
        <v>138</v>
      </c>
      <c r="U440" s="6"/>
      <c r="V440" s="6"/>
      <c r="W440" s="6"/>
      <c r="X440" s="6"/>
      <c r="Y440" s="7" t="str">
        <f aca="false">IF(COUNT(U440:X440)=4,(W440-X440)/2,"")</f>
        <v/>
      </c>
      <c r="Z440" s="7" t="str">
        <f aca="false">IF(COUNT(U440:X440)=4,(U440-V440)/2,"")</f>
        <v/>
      </c>
      <c r="AA440" s="7" t="str">
        <f aca="false">IF(COUNT(U440:X440)=4,MAX(1,MIN(10,ROUNDUP(5-Z440,0))),"")</f>
        <v/>
      </c>
      <c r="AB440" s="7" t="str">
        <f aca="false">IF(COUNT(U440:X440)=4,MAX(1,MIN(10,ROUNDUP(Y440+5,0))),"")</f>
        <v/>
      </c>
      <c r="AC440" s="6"/>
      <c r="AD440" s="6"/>
    </row>
    <row r="441" customFormat="false" ht="15" hidden="false" customHeight="true" outlineLevel="0" collapsed="false">
      <c r="A441" s="5" t="n">
        <v>440</v>
      </c>
      <c r="B441" s="5" t="s">
        <v>1126</v>
      </c>
      <c r="C441" s="5" t="s">
        <v>145</v>
      </c>
      <c r="D441" s="5" t="s">
        <v>51</v>
      </c>
      <c r="E441" s="5" t="n">
        <v>253</v>
      </c>
      <c r="F441" s="5" t="s">
        <v>1127</v>
      </c>
      <c r="G441" s="5" t="n">
        <v>4</v>
      </c>
      <c r="H441" s="5" t="s">
        <v>53</v>
      </c>
      <c r="I441" s="5" t="s">
        <v>54</v>
      </c>
      <c r="J441" s="5" t="s">
        <v>55</v>
      </c>
      <c r="K441" s="5" t="s">
        <v>55</v>
      </c>
      <c r="L441" s="5" t="n">
        <v>5</v>
      </c>
      <c r="M441" s="5" t="n">
        <v>2</v>
      </c>
      <c r="N441" s="5" t="n">
        <v>8</v>
      </c>
      <c r="O441" s="5" t="n">
        <v>2</v>
      </c>
      <c r="P441" s="5" t="n">
        <v>3</v>
      </c>
      <c r="Q441" s="5" t="n">
        <v>1.5</v>
      </c>
      <c r="R441" s="5" t="n">
        <v>4</v>
      </c>
      <c r="S441" s="5" t="n">
        <v>8</v>
      </c>
      <c r="T441" s="5" t="s">
        <v>1128</v>
      </c>
      <c r="U441" s="6"/>
      <c r="V441" s="6"/>
      <c r="W441" s="6"/>
      <c r="X441" s="6"/>
      <c r="Y441" s="7" t="str">
        <f aca="false">IF(COUNT(U441:X441)=4,(W441-X441)/2,"")</f>
        <v/>
      </c>
      <c r="Z441" s="7" t="str">
        <f aca="false">IF(COUNT(U441:X441)=4,(U441-V441)/2,"")</f>
        <v/>
      </c>
      <c r="AA441" s="7" t="str">
        <f aca="false">IF(COUNT(U441:X441)=4,MAX(1,MIN(10,ROUNDUP(5-Z441,0))),"")</f>
        <v/>
      </c>
      <c r="AB441" s="7" t="str">
        <f aca="false">IF(COUNT(U441:X441)=4,MAX(1,MIN(10,ROUNDUP(Y441+5,0))),"")</f>
        <v/>
      </c>
      <c r="AC441" s="6"/>
      <c r="AD441" s="6"/>
    </row>
    <row r="442" customFormat="false" ht="15" hidden="false" customHeight="true" outlineLevel="0" collapsed="false">
      <c r="A442" s="5" t="n">
        <v>441</v>
      </c>
      <c r="B442" s="5" t="s">
        <v>1129</v>
      </c>
      <c r="C442" s="5" t="s">
        <v>145</v>
      </c>
      <c r="D442" s="5" t="s">
        <v>51</v>
      </c>
      <c r="E442" s="5" t="n">
        <v>251</v>
      </c>
      <c r="F442" s="5" t="s">
        <v>1130</v>
      </c>
      <c r="G442" s="5" t="n">
        <v>4</v>
      </c>
      <c r="H442" s="5" t="s">
        <v>53</v>
      </c>
      <c r="I442" s="5" t="s">
        <v>54</v>
      </c>
      <c r="J442" s="5" t="s">
        <v>55</v>
      </c>
      <c r="K442" s="5" t="s">
        <v>55</v>
      </c>
      <c r="L442" s="5" t="n">
        <v>4</v>
      </c>
      <c r="M442" s="5" t="n">
        <v>4</v>
      </c>
      <c r="N442" s="5" t="n">
        <v>6</v>
      </c>
      <c r="O442" s="5" t="n">
        <v>4</v>
      </c>
      <c r="P442" s="5" t="n">
        <v>1</v>
      </c>
      <c r="Q442" s="5" t="n">
        <v>0</v>
      </c>
      <c r="R442" s="5" t="n">
        <v>5</v>
      </c>
      <c r="S442" s="5" t="n">
        <v>6</v>
      </c>
      <c r="T442" s="5" t="s">
        <v>1131</v>
      </c>
      <c r="U442" s="6"/>
      <c r="V442" s="6"/>
      <c r="W442" s="6"/>
      <c r="X442" s="6"/>
      <c r="Y442" s="7" t="str">
        <f aca="false">IF(COUNT(U442:X442)=4,(W442-X442)/2,"")</f>
        <v/>
      </c>
      <c r="Z442" s="7" t="str">
        <f aca="false">IF(COUNT(U442:X442)=4,(U442-V442)/2,"")</f>
        <v/>
      </c>
      <c r="AA442" s="7" t="str">
        <f aca="false">IF(COUNT(U442:X442)=4,MAX(1,MIN(10,ROUNDUP(5-Z442,0))),"")</f>
        <v/>
      </c>
      <c r="AB442" s="7" t="str">
        <f aca="false">IF(COUNT(U442:X442)=4,MAX(1,MIN(10,ROUNDUP(Y442+5,0))),"")</f>
        <v/>
      </c>
      <c r="AC442" s="6"/>
      <c r="AD442" s="6"/>
    </row>
    <row r="443" customFormat="false" ht="15" hidden="false" customHeight="true" outlineLevel="0" collapsed="false">
      <c r="A443" s="5" t="n">
        <v>442</v>
      </c>
      <c r="B443" s="5" t="s">
        <v>1132</v>
      </c>
      <c r="C443" s="5" t="s">
        <v>203</v>
      </c>
      <c r="D443" s="5" t="s">
        <v>204</v>
      </c>
      <c r="E443" s="5" t="n">
        <v>251</v>
      </c>
      <c r="F443" s="5" t="s">
        <v>1133</v>
      </c>
      <c r="G443" s="5" t="n">
        <v>4</v>
      </c>
      <c r="H443" s="5" t="s">
        <v>53</v>
      </c>
      <c r="I443" s="5" t="s">
        <v>54</v>
      </c>
      <c r="J443" s="5" t="s">
        <v>117</v>
      </c>
      <c r="K443" s="5" t="s">
        <v>117</v>
      </c>
      <c r="L443" s="5" t="n">
        <v>5</v>
      </c>
      <c r="M443" s="5" t="n">
        <v>1</v>
      </c>
      <c r="N443" s="5" t="n">
        <v>8</v>
      </c>
      <c r="O443" s="5" t="n">
        <v>2</v>
      </c>
      <c r="P443" s="5" t="n">
        <v>3</v>
      </c>
      <c r="Q443" s="5" t="n">
        <v>2</v>
      </c>
      <c r="R443" s="5" t="n">
        <v>3</v>
      </c>
      <c r="S443" s="5" t="n">
        <v>8</v>
      </c>
      <c r="T443" s="5" t="s">
        <v>1134</v>
      </c>
      <c r="U443" s="6"/>
      <c r="V443" s="6"/>
      <c r="W443" s="6"/>
      <c r="X443" s="6"/>
      <c r="Y443" s="7" t="str">
        <f aca="false">IF(COUNT(U443:X443)=4,(W443-X443)/2,"")</f>
        <v/>
      </c>
      <c r="Z443" s="7" t="str">
        <f aca="false">IF(COUNT(U443:X443)=4,(U443-V443)/2,"")</f>
        <v/>
      </c>
      <c r="AA443" s="7" t="str">
        <f aca="false">IF(COUNT(U443:X443)=4,MAX(1,MIN(10,ROUNDUP(5-Z443,0))),"")</f>
        <v/>
      </c>
      <c r="AB443" s="7" t="str">
        <f aca="false">IF(COUNT(U443:X443)=4,MAX(1,MIN(10,ROUNDUP(Y443+5,0))),"")</f>
        <v/>
      </c>
      <c r="AC443" s="6"/>
      <c r="AD443" s="6"/>
    </row>
    <row r="444" customFormat="false" ht="15" hidden="false" customHeight="true" outlineLevel="0" collapsed="false">
      <c r="A444" s="5" t="n">
        <v>443</v>
      </c>
      <c r="B444" s="5" t="s">
        <v>1135</v>
      </c>
      <c r="C444" s="5" t="s">
        <v>171</v>
      </c>
      <c r="D444" s="5" t="s">
        <v>172</v>
      </c>
      <c r="E444" s="5" t="n">
        <v>251</v>
      </c>
      <c r="F444" s="5" t="s">
        <v>1136</v>
      </c>
      <c r="G444" s="5" t="n">
        <v>4</v>
      </c>
      <c r="H444" s="5" t="s">
        <v>53</v>
      </c>
      <c r="I444" s="5" t="s">
        <v>54</v>
      </c>
      <c r="J444" s="5" t="s">
        <v>181</v>
      </c>
      <c r="K444" s="5" t="s">
        <v>179</v>
      </c>
      <c r="L444" s="5" t="n">
        <v>2</v>
      </c>
      <c r="M444" s="5" t="n">
        <v>6</v>
      </c>
      <c r="N444" s="5" t="n">
        <v>2</v>
      </c>
      <c r="O444" s="5" t="n">
        <v>6</v>
      </c>
      <c r="P444" s="5" t="n">
        <v>-2</v>
      </c>
      <c r="Q444" s="5" t="n">
        <v>-2</v>
      </c>
      <c r="R444" s="5" t="n">
        <v>7</v>
      </c>
      <c r="S444" s="5" t="n">
        <v>3</v>
      </c>
      <c r="T444" s="5" t="s">
        <v>1137</v>
      </c>
      <c r="U444" s="6"/>
      <c r="V444" s="6"/>
      <c r="W444" s="6"/>
      <c r="X444" s="6"/>
      <c r="Y444" s="7" t="str">
        <f aca="false">IF(COUNT(U444:X444)=4,(W444-X444)/2,"")</f>
        <v/>
      </c>
      <c r="Z444" s="7" t="str">
        <f aca="false">IF(COUNT(U444:X444)=4,(U444-V444)/2,"")</f>
        <v/>
      </c>
      <c r="AA444" s="7" t="str">
        <f aca="false">IF(COUNT(U444:X444)=4,MAX(1,MIN(10,ROUNDUP(5-Z444,0))),"")</f>
        <v/>
      </c>
      <c r="AB444" s="7" t="str">
        <f aca="false">IF(COUNT(U444:X444)=4,MAX(1,MIN(10,ROUNDUP(Y444+5,0))),"")</f>
        <v/>
      </c>
      <c r="AC444" s="6"/>
      <c r="AD444" s="6"/>
    </row>
    <row r="445" customFormat="false" ht="15" hidden="false" customHeight="true" outlineLevel="0" collapsed="false">
      <c r="A445" s="5" t="n">
        <v>444</v>
      </c>
      <c r="B445" s="5" t="s">
        <v>1138</v>
      </c>
      <c r="C445" s="5" t="s">
        <v>45</v>
      </c>
      <c r="D445" s="5" t="s">
        <v>46</v>
      </c>
      <c r="E445" s="5" t="n">
        <v>251</v>
      </c>
      <c r="F445" s="5" t="s">
        <v>1138</v>
      </c>
      <c r="G445" s="5" t="n">
        <v>3</v>
      </c>
      <c r="H445" s="5" t="s">
        <v>53</v>
      </c>
      <c r="I445" s="5" t="s">
        <v>64</v>
      </c>
      <c r="J445" s="5"/>
      <c r="K445" s="5"/>
      <c r="L445" s="5" t="n">
        <v>4</v>
      </c>
      <c r="M445" s="5" t="n">
        <v>3</v>
      </c>
      <c r="N445" s="5" t="n">
        <v>2</v>
      </c>
      <c r="O445" s="5" t="n">
        <v>8</v>
      </c>
      <c r="P445" s="5" t="n">
        <v>-3</v>
      </c>
      <c r="Q445" s="5" t="n">
        <v>0.5</v>
      </c>
      <c r="R445" s="5" t="n">
        <v>5</v>
      </c>
      <c r="S445" s="5" t="n">
        <v>2</v>
      </c>
      <c r="T445" s="5" t="s">
        <v>1139</v>
      </c>
      <c r="U445" s="6"/>
      <c r="V445" s="6"/>
      <c r="W445" s="6"/>
      <c r="X445" s="6"/>
      <c r="Y445" s="7" t="str">
        <f aca="false">IF(COUNT(U445:X445)=4,(W445-X445)/2,"")</f>
        <v/>
      </c>
      <c r="Z445" s="7" t="str">
        <f aca="false">IF(COUNT(U445:X445)=4,(U445-V445)/2,"")</f>
        <v/>
      </c>
      <c r="AA445" s="7" t="str">
        <f aca="false">IF(COUNT(U445:X445)=4,MAX(1,MIN(10,ROUNDUP(5-Z445,0))),"")</f>
        <v/>
      </c>
      <c r="AB445" s="7" t="str">
        <f aca="false">IF(COUNT(U445:X445)=4,MAX(1,MIN(10,ROUNDUP(Y445+5,0))),"")</f>
        <v/>
      </c>
      <c r="AC445" s="6"/>
      <c r="AD445" s="6"/>
    </row>
    <row r="446" customFormat="false" ht="15" hidden="false" customHeight="true" outlineLevel="0" collapsed="false">
      <c r="A446" s="5" t="n">
        <v>445</v>
      </c>
      <c r="B446" s="5" t="s">
        <v>1140</v>
      </c>
      <c r="C446" s="5" t="s">
        <v>145</v>
      </c>
      <c r="D446" s="5" t="s">
        <v>51</v>
      </c>
      <c r="E446" s="5" t="n">
        <v>250</v>
      </c>
      <c r="F446" s="5" t="s">
        <v>1141</v>
      </c>
      <c r="G446" s="5" t="n">
        <v>4</v>
      </c>
      <c r="H446" s="5" t="s">
        <v>53</v>
      </c>
      <c r="I446" s="5" t="s">
        <v>54</v>
      </c>
      <c r="J446" s="5" t="s">
        <v>55</v>
      </c>
      <c r="K446" s="5" t="s">
        <v>55</v>
      </c>
      <c r="L446" s="5" t="n">
        <v>6</v>
      </c>
      <c r="M446" s="5" t="n">
        <v>1</v>
      </c>
      <c r="N446" s="5" t="n">
        <v>6</v>
      </c>
      <c r="O446" s="5" t="n">
        <v>5</v>
      </c>
      <c r="P446" s="5" t="n">
        <v>0.5</v>
      </c>
      <c r="Q446" s="5" t="n">
        <v>2.5</v>
      </c>
      <c r="R446" s="5" t="n">
        <v>3</v>
      </c>
      <c r="S446" s="5" t="n">
        <v>6</v>
      </c>
      <c r="T446" s="5" t="s">
        <v>786</v>
      </c>
      <c r="U446" s="6"/>
      <c r="V446" s="6"/>
      <c r="W446" s="6"/>
      <c r="X446" s="6"/>
      <c r="Y446" s="7" t="str">
        <f aca="false">IF(COUNT(U446:X446)=4,(W446-X446)/2,"")</f>
        <v/>
      </c>
      <c r="Z446" s="7" t="str">
        <f aca="false">IF(COUNT(U446:X446)=4,(U446-V446)/2,"")</f>
        <v/>
      </c>
      <c r="AA446" s="7" t="str">
        <f aca="false">IF(COUNT(U446:X446)=4,MAX(1,MIN(10,ROUNDUP(5-Z446,0))),"")</f>
        <v/>
      </c>
      <c r="AB446" s="7" t="str">
        <f aca="false">IF(COUNT(U446:X446)=4,MAX(1,MIN(10,ROUNDUP(Y446+5,0))),"")</f>
        <v/>
      </c>
      <c r="AC446" s="6"/>
      <c r="AD446" s="6"/>
    </row>
    <row r="447" customFormat="false" ht="15" hidden="false" customHeight="true" outlineLevel="0" collapsed="false">
      <c r="A447" s="5" t="n">
        <v>446</v>
      </c>
      <c r="B447" s="5" t="s">
        <v>1142</v>
      </c>
      <c r="C447" s="5" t="s">
        <v>171</v>
      </c>
      <c r="D447" s="5" t="s">
        <v>172</v>
      </c>
      <c r="E447" s="5" t="n">
        <v>250</v>
      </c>
      <c r="F447" s="5" t="s">
        <v>1143</v>
      </c>
      <c r="G447" s="5" t="n">
        <v>4</v>
      </c>
      <c r="H447" s="5" t="s">
        <v>53</v>
      </c>
      <c r="I447" s="5" t="s">
        <v>54</v>
      </c>
      <c r="J447" s="5" t="s">
        <v>181</v>
      </c>
      <c r="K447" s="5" t="s">
        <v>309</v>
      </c>
      <c r="L447" s="5" t="n">
        <v>2</v>
      </c>
      <c r="M447" s="5" t="n">
        <v>5</v>
      </c>
      <c r="N447" s="5" t="n">
        <v>5</v>
      </c>
      <c r="O447" s="5" t="n">
        <v>4</v>
      </c>
      <c r="P447" s="5" t="n">
        <v>0.5</v>
      </c>
      <c r="Q447" s="5" t="n">
        <v>-1.5</v>
      </c>
      <c r="R447" s="5" t="n">
        <v>7</v>
      </c>
      <c r="S447" s="5" t="n">
        <v>6</v>
      </c>
      <c r="T447" s="5" t="s">
        <v>1144</v>
      </c>
      <c r="U447" s="6"/>
      <c r="V447" s="6"/>
      <c r="W447" s="6"/>
      <c r="X447" s="6"/>
      <c r="Y447" s="7" t="str">
        <f aca="false">IF(COUNT(U447:X447)=4,(W447-X447)/2,"")</f>
        <v/>
      </c>
      <c r="Z447" s="7" t="str">
        <f aca="false">IF(COUNT(U447:X447)=4,(U447-V447)/2,"")</f>
        <v/>
      </c>
      <c r="AA447" s="7" t="str">
        <f aca="false">IF(COUNT(U447:X447)=4,MAX(1,MIN(10,ROUNDUP(5-Z447,0))),"")</f>
        <v/>
      </c>
      <c r="AB447" s="7" t="str">
        <f aca="false">IF(COUNT(U447:X447)=4,MAX(1,MIN(10,ROUNDUP(Y447+5,0))),"")</f>
        <v/>
      </c>
      <c r="AC447" s="6"/>
      <c r="AD447" s="6"/>
    </row>
    <row r="448" customFormat="false" ht="15" hidden="false" customHeight="true" outlineLevel="0" collapsed="false">
      <c r="A448" s="5" t="n">
        <v>447</v>
      </c>
      <c r="B448" s="5" t="s">
        <v>1145</v>
      </c>
      <c r="C448" s="5" t="s">
        <v>145</v>
      </c>
      <c r="D448" s="5" t="s">
        <v>51</v>
      </c>
      <c r="E448" s="5" t="n">
        <v>250</v>
      </c>
      <c r="F448" s="5" t="s">
        <v>1146</v>
      </c>
      <c r="G448" s="5" t="n">
        <v>4</v>
      </c>
      <c r="H448" s="5" t="s">
        <v>53</v>
      </c>
      <c r="I448" s="5" t="s">
        <v>54</v>
      </c>
      <c r="J448" s="5" t="s">
        <v>55</v>
      </c>
      <c r="K448" s="5" t="s">
        <v>55</v>
      </c>
      <c r="L448" s="5" t="n">
        <v>5</v>
      </c>
      <c r="M448" s="5" t="n">
        <v>2</v>
      </c>
      <c r="N448" s="5" t="n">
        <v>3</v>
      </c>
      <c r="O448" s="5" t="n">
        <v>8</v>
      </c>
      <c r="P448" s="5" t="n">
        <v>-2.5</v>
      </c>
      <c r="Q448" s="5" t="n">
        <v>1.5</v>
      </c>
      <c r="R448" s="5" t="n">
        <v>4</v>
      </c>
      <c r="S448" s="5" t="n">
        <v>3</v>
      </c>
      <c r="T448" s="5" t="s">
        <v>1147</v>
      </c>
      <c r="U448" s="6"/>
      <c r="V448" s="6"/>
      <c r="W448" s="6"/>
      <c r="X448" s="6"/>
      <c r="Y448" s="7" t="str">
        <f aca="false">IF(COUNT(U448:X448)=4,(W448-X448)/2,"")</f>
        <v/>
      </c>
      <c r="Z448" s="7" t="str">
        <f aca="false">IF(COUNT(U448:X448)=4,(U448-V448)/2,"")</f>
        <v/>
      </c>
      <c r="AA448" s="7" t="str">
        <f aca="false">IF(COUNT(U448:X448)=4,MAX(1,MIN(10,ROUNDUP(5-Z448,0))),"")</f>
        <v/>
      </c>
      <c r="AB448" s="7" t="str">
        <f aca="false">IF(COUNT(U448:X448)=4,MAX(1,MIN(10,ROUNDUP(Y448+5,0))),"")</f>
        <v/>
      </c>
      <c r="AC448" s="6"/>
      <c r="AD448" s="6"/>
    </row>
    <row r="449" customFormat="false" ht="15" hidden="false" customHeight="true" outlineLevel="0" collapsed="false">
      <c r="A449" s="5" t="n">
        <v>448</v>
      </c>
      <c r="B449" s="5" t="s">
        <v>1148</v>
      </c>
      <c r="C449" s="5" t="s">
        <v>203</v>
      </c>
      <c r="D449" s="5" t="s">
        <v>204</v>
      </c>
      <c r="E449" s="5" t="n">
        <v>250</v>
      </c>
      <c r="F449" s="5" t="s">
        <v>1148</v>
      </c>
      <c r="G449" s="5" t="n">
        <v>4</v>
      </c>
      <c r="H449" s="5" t="s">
        <v>53</v>
      </c>
      <c r="I449" s="5" t="s">
        <v>54</v>
      </c>
      <c r="J449" s="5" t="s">
        <v>117</v>
      </c>
      <c r="K449" s="5" t="s">
        <v>117</v>
      </c>
      <c r="L449" s="5" t="n">
        <v>4</v>
      </c>
      <c r="M449" s="5" t="n">
        <v>1</v>
      </c>
      <c r="N449" s="5" t="n">
        <v>2</v>
      </c>
      <c r="O449" s="5" t="n">
        <v>7</v>
      </c>
      <c r="P449" s="5" t="n">
        <v>-2.5</v>
      </c>
      <c r="Q449" s="5" t="n">
        <v>1.5</v>
      </c>
      <c r="R449" s="5" t="n">
        <v>4</v>
      </c>
      <c r="S449" s="5" t="n">
        <v>3</v>
      </c>
      <c r="T449" s="5" t="s">
        <v>1149</v>
      </c>
      <c r="U449" s="6"/>
      <c r="V449" s="6"/>
      <c r="W449" s="6"/>
      <c r="X449" s="6"/>
      <c r="Y449" s="7" t="str">
        <f aca="false">IF(COUNT(U449:X449)=4,(W449-X449)/2,"")</f>
        <v/>
      </c>
      <c r="Z449" s="7" t="str">
        <f aca="false">IF(COUNT(U449:X449)=4,(U449-V449)/2,"")</f>
        <v/>
      </c>
      <c r="AA449" s="7" t="str">
        <f aca="false">IF(COUNT(U449:X449)=4,MAX(1,MIN(10,ROUNDUP(5-Z449,0))),"")</f>
        <v/>
      </c>
      <c r="AB449" s="7" t="str">
        <f aca="false">IF(COUNT(U449:X449)=4,MAX(1,MIN(10,ROUNDUP(Y449+5,0))),"")</f>
        <v/>
      </c>
      <c r="AC449" s="6"/>
      <c r="AD449" s="6"/>
    </row>
    <row r="450" customFormat="false" ht="15" hidden="false" customHeight="true" outlineLevel="0" collapsed="false">
      <c r="A450" s="5" t="n">
        <v>449</v>
      </c>
      <c r="B450" s="5" t="s">
        <v>1150</v>
      </c>
      <c r="C450" s="5" t="s">
        <v>145</v>
      </c>
      <c r="D450" s="5" t="s">
        <v>51</v>
      </c>
      <c r="E450" s="5" t="n">
        <v>249</v>
      </c>
      <c r="F450" s="5" t="s">
        <v>1151</v>
      </c>
      <c r="G450" s="5" t="n">
        <v>4</v>
      </c>
      <c r="H450" s="5" t="s">
        <v>53</v>
      </c>
      <c r="I450" s="5" t="s">
        <v>54</v>
      </c>
      <c r="J450" s="5" t="s">
        <v>55</v>
      </c>
      <c r="K450" s="5" t="s">
        <v>55</v>
      </c>
      <c r="L450" s="5" t="n">
        <v>4</v>
      </c>
      <c r="M450" s="5" t="n">
        <v>3</v>
      </c>
      <c r="N450" s="5" t="n">
        <v>3</v>
      </c>
      <c r="O450" s="5" t="n">
        <v>6</v>
      </c>
      <c r="P450" s="5" t="n">
        <v>-1.5</v>
      </c>
      <c r="Q450" s="5" t="n">
        <v>0.5</v>
      </c>
      <c r="R450" s="5" t="n">
        <v>5</v>
      </c>
      <c r="S450" s="5" t="n">
        <v>4</v>
      </c>
      <c r="T450" s="5" t="s">
        <v>1152</v>
      </c>
      <c r="U450" s="6"/>
      <c r="V450" s="6"/>
      <c r="W450" s="6"/>
      <c r="X450" s="6"/>
      <c r="Y450" s="7" t="str">
        <f aca="false">IF(COUNT(U450:X450)=4,(W450-X450)/2,"")</f>
        <v/>
      </c>
      <c r="Z450" s="7" t="str">
        <f aca="false">IF(COUNT(U450:X450)=4,(U450-V450)/2,"")</f>
        <v/>
      </c>
      <c r="AA450" s="7" t="str">
        <f aca="false">IF(COUNT(U450:X450)=4,MAX(1,MIN(10,ROUNDUP(5-Z450,0))),"")</f>
        <v/>
      </c>
      <c r="AB450" s="7" t="str">
        <f aca="false">IF(COUNT(U450:X450)=4,MAX(1,MIN(10,ROUNDUP(Y450+5,0))),"")</f>
        <v/>
      </c>
      <c r="AC450" s="6"/>
      <c r="AD450" s="6"/>
    </row>
    <row r="451" customFormat="false" ht="15" hidden="false" customHeight="true" outlineLevel="0" collapsed="false">
      <c r="A451" s="5" t="n">
        <v>450</v>
      </c>
      <c r="B451" s="5" t="s">
        <v>1153</v>
      </c>
      <c r="C451" s="5" t="s">
        <v>171</v>
      </c>
      <c r="D451" s="5" t="s">
        <v>172</v>
      </c>
      <c r="E451" s="5" t="n">
        <v>249</v>
      </c>
      <c r="F451" s="5" t="s">
        <v>1154</v>
      </c>
      <c r="G451" s="5" t="n">
        <v>4</v>
      </c>
      <c r="H451" s="5" t="s">
        <v>53</v>
      </c>
      <c r="I451" s="5" t="s">
        <v>81</v>
      </c>
      <c r="J451" s="5" t="s">
        <v>174</v>
      </c>
      <c r="K451" s="5" t="s">
        <v>175</v>
      </c>
      <c r="L451" s="5" t="n">
        <v>9</v>
      </c>
      <c r="M451" s="5" t="n">
        <v>1</v>
      </c>
      <c r="N451" s="5" t="n">
        <v>1</v>
      </c>
      <c r="O451" s="5" t="n">
        <v>10</v>
      </c>
      <c r="P451" s="5" t="n">
        <v>-4.5</v>
      </c>
      <c r="Q451" s="5" t="n">
        <v>4</v>
      </c>
      <c r="R451" s="5" t="n">
        <v>1</v>
      </c>
      <c r="S451" s="5" t="n">
        <v>1</v>
      </c>
      <c r="T451" s="5" t="s">
        <v>1155</v>
      </c>
      <c r="U451" s="6"/>
      <c r="V451" s="6"/>
      <c r="W451" s="6"/>
      <c r="X451" s="6"/>
      <c r="Y451" s="7" t="str">
        <f aca="false">IF(COUNT(U451:X451)=4,(W451-X451)/2,"")</f>
        <v/>
      </c>
      <c r="Z451" s="7" t="str">
        <f aca="false">IF(COUNT(U451:X451)=4,(U451-V451)/2,"")</f>
        <v/>
      </c>
      <c r="AA451" s="7" t="str">
        <f aca="false">IF(COUNT(U451:X451)=4,MAX(1,MIN(10,ROUNDUP(5-Z451,0))),"")</f>
        <v/>
      </c>
      <c r="AB451" s="7" t="str">
        <f aca="false">IF(COUNT(U451:X451)=4,MAX(1,MIN(10,ROUNDUP(Y451+5,0))),"")</f>
        <v/>
      </c>
      <c r="AC451" s="6"/>
      <c r="AD451" s="6"/>
    </row>
    <row r="452" customFormat="false" ht="15" hidden="false" customHeight="true" outlineLevel="0" collapsed="false">
      <c r="A452" s="5" t="n">
        <v>451</v>
      </c>
      <c r="B452" s="5" t="s">
        <v>1156</v>
      </c>
      <c r="C452" s="5" t="s">
        <v>203</v>
      </c>
      <c r="D452" s="5" t="s">
        <v>204</v>
      </c>
      <c r="E452" s="5" t="n">
        <v>247</v>
      </c>
      <c r="F452" s="5" t="s">
        <v>1157</v>
      </c>
      <c r="G452" s="5" t="n">
        <v>4</v>
      </c>
      <c r="H452" s="5" t="s">
        <v>53</v>
      </c>
      <c r="I452" s="5" t="s">
        <v>54</v>
      </c>
      <c r="J452" s="5" t="s">
        <v>117</v>
      </c>
      <c r="K452" s="5" t="s">
        <v>117</v>
      </c>
      <c r="L452" s="5" t="n">
        <v>3</v>
      </c>
      <c r="M452" s="5" t="n">
        <v>1</v>
      </c>
      <c r="N452" s="5" t="n">
        <v>2</v>
      </c>
      <c r="O452" s="5" t="n">
        <v>8</v>
      </c>
      <c r="P452" s="5" t="n">
        <v>-3</v>
      </c>
      <c r="Q452" s="5" t="n">
        <v>1</v>
      </c>
      <c r="R452" s="5" t="n">
        <v>4</v>
      </c>
      <c r="S452" s="5" t="n">
        <v>2</v>
      </c>
      <c r="T452" s="5" t="s">
        <v>1072</v>
      </c>
      <c r="U452" s="6"/>
      <c r="V452" s="6"/>
      <c r="W452" s="6"/>
      <c r="X452" s="6"/>
      <c r="Y452" s="7" t="str">
        <f aca="false">IF(COUNT(U452:X452)=4,(W452-X452)/2,"")</f>
        <v/>
      </c>
      <c r="Z452" s="7" t="str">
        <f aca="false">IF(COUNT(U452:X452)=4,(U452-V452)/2,"")</f>
        <v/>
      </c>
      <c r="AA452" s="7" t="str">
        <f aca="false">IF(COUNT(U452:X452)=4,MAX(1,MIN(10,ROUNDUP(5-Z452,0))),"")</f>
        <v/>
      </c>
      <c r="AB452" s="7" t="str">
        <f aca="false">IF(COUNT(U452:X452)=4,MAX(1,MIN(10,ROUNDUP(Y452+5,0))),"")</f>
        <v/>
      </c>
      <c r="AC452" s="6"/>
      <c r="AD452" s="6"/>
    </row>
    <row r="453" customFormat="false" ht="15" hidden="false" customHeight="true" outlineLevel="0" collapsed="false">
      <c r="A453" s="5" t="n">
        <v>452</v>
      </c>
      <c r="B453" s="5" t="s">
        <v>1158</v>
      </c>
      <c r="C453" s="5" t="s">
        <v>171</v>
      </c>
      <c r="D453" s="5" t="s">
        <v>172</v>
      </c>
      <c r="E453" s="5" t="n">
        <v>247</v>
      </c>
      <c r="F453" s="5" t="s">
        <v>1159</v>
      </c>
      <c r="G453" s="5" t="n">
        <v>4</v>
      </c>
      <c r="H453" s="5" t="s">
        <v>53</v>
      </c>
      <c r="I453" s="5" t="s">
        <v>54</v>
      </c>
      <c r="J453" s="5" t="s">
        <v>181</v>
      </c>
      <c r="K453" s="5" t="s">
        <v>221</v>
      </c>
      <c r="L453" s="5" t="n">
        <v>2</v>
      </c>
      <c r="M453" s="5" t="n">
        <v>5</v>
      </c>
      <c r="N453" s="5" t="n">
        <v>6</v>
      </c>
      <c r="O453" s="5" t="n">
        <v>5</v>
      </c>
      <c r="P453" s="5" t="n">
        <v>0.5</v>
      </c>
      <c r="Q453" s="5" t="n">
        <v>-1.5</v>
      </c>
      <c r="R453" s="5" t="n">
        <v>7</v>
      </c>
      <c r="S453" s="5" t="n">
        <v>6</v>
      </c>
      <c r="T453" s="5" t="s">
        <v>1160</v>
      </c>
      <c r="U453" s="6"/>
      <c r="V453" s="6"/>
      <c r="W453" s="6"/>
      <c r="X453" s="6"/>
      <c r="Y453" s="7" t="str">
        <f aca="false">IF(COUNT(U453:X453)=4,(W453-X453)/2,"")</f>
        <v/>
      </c>
      <c r="Z453" s="7" t="str">
        <f aca="false">IF(COUNT(U453:X453)=4,(U453-V453)/2,"")</f>
        <v/>
      </c>
      <c r="AA453" s="7" t="str">
        <f aca="false">IF(COUNT(U453:X453)=4,MAX(1,MIN(10,ROUNDUP(5-Z453,0))),"")</f>
        <v/>
      </c>
      <c r="AB453" s="7" t="str">
        <f aca="false">IF(COUNT(U453:X453)=4,MAX(1,MIN(10,ROUNDUP(Y453+5,0))),"")</f>
        <v/>
      </c>
      <c r="AC453" s="6"/>
      <c r="AD453" s="6"/>
    </row>
    <row r="454" customFormat="false" ht="15" hidden="false" customHeight="true" outlineLevel="0" collapsed="false">
      <c r="A454" s="5" t="n">
        <v>453</v>
      </c>
      <c r="B454" s="5" t="s">
        <v>1161</v>
      </c>
      <c r="C454" s="5" t="s">
        <v>108</v>
      </c>
      <c r="D454" s="5" t="s">
        <v>109</v>
      </c>
      <c r="E454" s="5" t="n">
        <v>246</v>
      </c>
      <c r="F454" s="5" t="s">
        <v>1161</v>
      </c>
      <c r="G454" s="5" t="n">
        <v>2</v>
      </c>
      <c r="H454" s="5" t="s">
        <v>47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 t="s">
        <v>646</v>
      </c>
      <c r="U454" s="6"/>
      <c r="V454" s="6"/>
      <c r="W454" s="6"/>
      <c r="X454" s="6"/>
      <c r="Y454" s="7" t="str">
        <f aca="false">IF(COUNT(U454:X454)=4,(W454-X454)/2,"")</f>
        <v/>
      </c>
      <c r="Z454" s="7" t="str">
        <f aca="false">IF(COUNT(U454:X454)=4,(U454-V454)/2,"")</f>
        <v/>
      </c>
      <c r="AA454" s="7" t="str">
        <f aca="false">IF(COUNT(U454:X454)=4,MAX(1,MIN(10,ROUNDUP(5-Z454,0))),"")</f>
        <v/>
      </c>
      <c r="AB454" s="7" t="str">
        <f aca="false">IF(COUNT(U454:X454)=4,MAX(1,MIN(10,ROUNDUP(Y454+5,0))),"")</f>
        <v/>
      </c>
      <c r="AC454" s="6"/>
      <c r="AD454" s="6"/>
    </row>
    <row r="455" customFormat="false" ht="15" hidden="false" customHeight="true" outlineLevel="0" collapsed="false">
      <c r="A455" s="5" t="n">
        <v>454</v>
      </c>
      <c r="B455" s="5" t="s">
        <v>1162</v>
      </c>
      <c r="C455" s="5" t="s">
        <v>58</v>
      </c>
      <c r="D455" s="5" t="s">
        <v>59</v>
      </c>
      <c r="E455" s="5" t="n">
        <v>246</v>
      </c>
      <c r="F455" s="5" t="s">
        <v>1163</v>
      </c>
      <c r="G455" s="5" t="n">
        <v>3</v>
      </c>
      <c r="H455" s="5" t="s">
        <v>53</v>
      </c>
      <c r="I455" s="5" t="s">
        <v>54</v>
      </c>
      <c r="J455" s="5" t="s">
        <v>117</v>
      </c>
      <c r="K455" s="5" t="s">
        <v>117</v>
      </c>
      <c r="L455" s="5" t="n">
        <v>3</v>
      </c>
      <c r="M455" s="5" t="n">
        <v>3</v>
      </c>
      <c r="N455" s="5" t="n">
        <v>7</v>
      </c>
      <c r="O455" s="5" t="n">
        <v>3</v>
      </c>
      <c r="P455" s="5" t="n">
        <v>2</v>
      </c>
      <c r="Q455" s="5" t="n">
        <v>0</v>
      </c>
      <c r="R455" s="5" t="n">
        <v>5</v>
      </c>
      <c r="S455" s="5" t="n">
        <v>7</v>
      </c>
      <c r="T455" s="5" t="s">
        <v>762</v>
      </c>
      <c r="U455" s="6"/>
      <c r="V455" s="6"/>
      <c r="W455" s="6"/>
      <c r="X455" s="6"/>
      <c r="Y455" s="7" t="str">
        <f aca="false">IF(COUNT(U455:X455)=4,(W455-X455)/2,"")</f>
        <v/>
      </c>
      <c r="Z455" s="7" t="str">
        <f aca="false">IF(COUNT(U455:X455)=4,(U455-V455)/2,"")</f>
        <v/>
      </c>
      <c r="AA455" s="7" t="str">
        <f aca="false">IF(COUNT(U455:X455)=4,MAX(1,MIN(10,ROUNDUP(5-Z455,0))),"")</f>
        <v/>
      </c>
      <c r="AB455" s="7" t="str">
        <f aca="false">IF(COUNT(U455:X455)=4,MAX(1,MIN(10,ROUNDUP(Y455+5,0))),"")</f>
        <v/>
      </c>
      <c r="AC455" s="6"/>
      <c r="AD455" s="6"/>
    </row>
    <row r="456" customFormat="false" ht="15" hidden="false" customHeight="true" outlineLevel="0" collapsed="false">
      <c r="A456" s="5" t="n">
        <v>455</v>
      </c>
      <c r="B456" s="5" t="s">
        <v>1164</v>
      </c>
      <c r="C456" s="5" t="s">
        <v>171</v>
      </c>
      <c r="D456" s="5" t="s">
        <v>172</v>
      </c>
      <c r="E456" s="5" t="n">
        <v>246</v>
      </c>
      <c r="F456" s="5" t="s">
        <v>1165</v>
      </c>
      <c r="G456" s="5" t="n">
        <v>4</v>
      </c>
      <c r="H456" s="5" t="s">
        <v>53</v>
      </c>
      <c r="I456" s="5" t="s">
        <v>54</v>
      </c>
      <c r="J456" s="5" t="s">
        <v>181</v>
      </c>
      <c r="K456" s="5" t="s">
        <v>309</v>
      </c>
      <c r="L456" s="5" t="n">
        <v>2</v>
      </c>
      <c r="M456" s="5" t="n">
        <v>5</v>
      </c>
      <c r="N456" s="5" t="n">
        <v>5</v>
      </c>
      <c r="O456" s="5" t="n">
        <v>4</v>
      </c>
      <c r="P456" s="5" t="n">
        <v>0.5</v>
      </c>
      <c r="Q456" s="5" t="n">
        <v>-1.5</v>
      </c>
      <c r="R456" s="5" t="n">
        <v>7</v>
      </c>
      <c r="S456" s="5" t="n">
        <v>6</v>
      </c>
      <c r="T456" s="5" t="s">
        <v>276</v>
      </c>
      <c r="U456" s="6"/>
      <c r="V456" s="6"/>
      <c r="W456" s="6"/>
      <c r="X456" s="6"/>
      <c r="Y456" s="7" t="str">
        <f aca="false">IF(COUNT(U456:X456)=4,(W456-X456)/2,"")</f>
        <v/>
      </c>
      <c r="Z456" s="7" t="str">
        <f aca="false">IF(COUNT(U456:X456)=4,(U456-V456)/2,"")</f>
        <v/>
      </c>
      <c r="AA456" s="7" t="str">
        <f aca="false">IF(COUNT(U456:X456)=4,MAX(1,MIN(10,ROUNDUP(5-Z456,0))),"")</f>
        <v/>
      </c>
      <c r="AB456" s="7" t="str">
        <f aca="false">IF(COUNT(U456:X456)=4,MAX(1,MIN(10,ROUNDUP(Y456+5,0))),"")</f>
        <v/>
      </c>
      <c r="AC456" s="6"/>
      <c r="AD456" s="6"/>
    </row>
    <row r="457" customFormat="false" ht="15" hidden="false" customHeight="true" outlineLevel="0" collapsed="false">
      <c r="A457" s="5" t="n">
        <v>456</v>
      </c>
      <c r="B457" s="5" t="s">
        <v>1166</v>
      </c>
      <c r="C457" s="5" t="s">
        <v>203</v>
      </c>
      <c r="D457" s="5" t="s">
        <v>204</v>
      </c>
      <c r="E457" s="5" t="n">
        <v>245</v>
      </c>
      <c r="F457" s="5" t="s">
        <v>1166</v>
      </c>
      <c r="G457" s="5" t="n">
        <v>4</v>
      </c>
      <c r="H457" s="5" t="s">
        <v>53</v>
      </c>
      <c r="I457" s="5" t="s">
        <v>54</v>
      </c>
      <c r="J457" s="5" t="s">
        <v>117</v>
      </c>
      <c r="K457" s="5" t="s">
        <v>117</v>
      </c>
      <c r="L457" s="5" t="n">
        <v>4</v>
      </c>
      <c r="M457" s="5" t="n">
        <v>1</v>
      </c>
      <c r="N457" s="5" t="n">
        <v>1</v>
      </c>
      <c r="O457" s="5" t="n">
        <v>9</v>
      </c>
      <c r="P457" s="5" t="n">
        <v>-4</v>
      </c>
      <c r="Q457" s="5" t="n">
        <v>1.5</v>
      </c>
      <c r="R457" s="5" t="n">
        <v>4</v>
      </c>
      <c r="S457" s="5" t="n">
        <v>1</v>
      </c>
      <c r="T457" s="5" t="s">
        <v>617</v>
      </c>
      <c r="U457" s="6"/>
      <c r="V457" s="6"/>
      <c r="W457" s="6"/>
      <c r="X457" s="6"/>
      <c r="Y457" s="7" t="str">
        <f aca="false">IF(COUNT(U457:X457)=4,(W457-X457)/2,"")</f>
        <v/>
      </c>
      <c r="Z457" s="7" t="str">
        <f aca="false">IF(COUNT(U457:X457)=4,(U457-V457)/2,"")</f>
        <v/>
      </c>
      <c r="AA457" s="7" t="str">
        <f aca="false">IF(COUNT(U457:X457)=4,MAX(1,MIN(10,ROUNDUP(5-Z457,0))),"")</f>
        <v/>
      </c>
      <c r="AB457" s="7" t="str">
        <f aca="false">IF(COUNT(U457:X457)=4,MAX(1,MIN(10,ROUNDUP(Y457+5,0))),"")</f>
        <v/>
      </c>
      <c r="AC457" s="6"/>
      <c r="AD457" s="6"/>
    </row>
    <row r="458" customFormat="false" ht="15" hidden="false" customHeight="true" outlineLevel="0" collapsed="false">
      <c r="A458" s="5" t="n">
        <v>457</v>
      </c>
      <c r="B458" s="5" t="s">
        <v>1167</v>
      </c>
      <c r="C458" s="5" t="s">
        <v>171</v>
      </c>
      <c r="D458" s="5" t="s">
        <v>172</v>
      </c>
      <c r="E458" s="5" t="n">
        <v>245</v>
      </c>
      <c r="F458" s="5" t="s">
        <v>1168</v>
      </c>
      <c r="G458" s="5" t="n">
        <v>4</v>
      </c>
      <c r="H458" s="5" t="s">
        <v>53</v>
      </c>
      <c r="I458" s="5" t="s">
        <v>54</v>
      </c>
      <c r="J458" s="5" t="s">
        <v>181</v>
      </c>
      <c r="K458" s="5" t="s">
        <v>179</v>
      </c>
      <c r="L458" s="5" t="n">
        <v>2</v>
      </c>
      <c r="M458" s="5" t="n">
        <v>6</v>
      </c>
      <c r="N458" s="5" t="n">
        <v>2</v>
      </c>
      <c r="O458" s="5" t="n">
        <v>6</v>
      </c>
      <c r="P458" s="5" t="n">
        <v>-2</v>
      </c>
      <c r="Q458" s="5" t="n">
        <v>-2</v>
      </c>
      <c r="R458" s="5" t="n">
        <v>7</v>
      </c>
      <c r="S458" s="5" t="n">
        <v>3</v>
      </c>
      <c r="T458" s="5" t="s">
        <v>436</v>
      </c>
      <c r="U458" s="6"/>
      <c r="V458" s="6"/>
      <c r="W458" s="6"/>
      <c r="X458" s="6"/>
      <c r="Y458" s="7" t="str">
        <f aca="false">IF(COUNT(U458:X458)=4,(W458-X458)/2,"")</f>
        <v/>
      </c>
      <c r="Z458" s="7" t="str">
        <f aca="false">IF(COUNT(U458:X458)=4,(U458-V458)/2,"")</f>
        <v/>
      </c>
      <c r="AA458" s="7" t="str">
        <f aca="false">IF(COUNT(U458:X458)=4,MAX(1,MIN(10,ROUNDUP(5-Z458,0))),"")</f>
        <v/>
      </c>
      <c r="AB458" s="7" t="str">
        <f aca="false">IF(COUNT(U458:X458)=4,MAX(1,MIN(10,ROUNDUP(Y458+5,0))),"")</f>
        <v/>
      </c>
      <c r="AC458" s="6"/>
      <c r="AD458" s="6"/>
    </row>
    <row r="459" customFormat="false" ht="15" hidden="false" customHeight="true" outlineLevel="0" collapsed="false">
      <c r="A459" s="5" t="n">
        <v>458</v>
      </c>
      <c r="B459" s="5" t="s">
        <v>1169</v>
      </c>
      <c r="C459" s="5" t="s">
        <v>145</v>
      </c>
      <c r="D459" s="5" t="s">
        <v>51</v>
      </c>
      <c r="E459" s="5" t="n">
        <v>244</v>
      </c>
      <c r="F459" s="5" t="s">
        <v>1170</v>
      </c>
      <c r="G459" s="5" t="n">
        <v>4</v>
      </c>
      <c r="H459" s="5" t="s">
        <v>53</v>
      </c>
      <c r="I459" s="5" t="s">
        <v>54</v>
      </c>
      <c r="J459" s="5" t="s">
        <v>55</v>
      </c>
      <c r="K459" s="5" t="s">
        <v>55</v>
      </c>
      <c r="L459" s="5" t="n">
        <v>5</v>
      </c>
      <c r="M459" s="5" t="n">
        <v>2</v>
      </c>
      <c r="N459" s="5" t="n">
        <v>4</v>
      </c>
      <c r="O459" s="5" t="n">
        <v>8</v>
      </c>
      <c r="P459" s="5" t="n">
        <v>-2</v>
      </c>
      <c r="Q459" s="5" t="n">
        <v>1.5</v>
      </c>
      <c r="R459" s="5" t="n">
        <v>4</v>
      </c>
      <c r="S459" s="5" t="n">
        <v>3</v>
      </c>
      <c r="T459" s="5" t="s">
        <v>1171</v>
      </c>
      <c r="U459" s="6"/>
      <c r="V459" s="6"/>
      <c r="W459" s="6"/>
      <c r="X459" s="6"/>
      <c r="Y459" s="7" t="str">
        <f aca="false">IF(COUNT(U459:X459)=4,(W459-X459)/2,"")</f>
        <v/>
      </c>
      <c r="Z459" s="7" t="str">
        <f aca="false">IF(COUNT(U459:X459)=4,(U459-V459)/2,"")</f>
        <v/>
      </c>
      <c r="AA459" s="7" t="str">
        <f aca="false">IF(COUNT(U459:X459)=4,MAX(1,MIN(10,ROUNDUP(5-Z459,0))),"")</f>
        <v/>
      </c>
      <c r="AB459" s="7" t="str">
        <f aca="false">IF(COUNT(U459:X459)=4,MAX(1,MIN(10,ROUNDUP(Y459+5,0))),"")</f>
        <v/>
      </c>
      <c r="AC459" s="6"/>
      <c r="AD459" s="6"/>
    </row>
    <row r="460" customFormat="false" ht="15" hidden="false" customHeight="true" outlineLevel="0" collapsed="false">
      <c r="A460" s="5" t="n">
        <v>459</v>
      </c>
      <c r="B460" s="5" t="s">
        <v>1172</v>
      </c>
      <c r="C460" s="5" t="s">
        <v>203</v>
      </c>
      <c r="D460" s="5" t="s">
        <v>204</v>
      </c>
      <c r="E460" s="5" t="n">
        <v>243</v>
      </c>
      <c r="F460" s="5" t="s">
        <v>1172</v>
      </c>
      <c r="G460" s="5" t="n">
        <v>4</v>
      </c>
      <c r="H460" s="5" t="s">
        <v>53</v>
      </c>
      <c r="I460" s="5" t="s">
        <v>54</v>
      </c>
      <c r="J460" s="5" t="s">
        <v>117</v>
      </c>
      <c r="K460" s="5" t="s">
        <v>117</v>
      </c>
      <c r="L460" s="5" t="n">
        <v>3</v>
      </c>
      <c r="M460" s="5" t="n">
        <v>1</v>
      </c>
      <c r="N460" s="5" t="n">
        <v>2</v>
      </c>
      <c r="O460" s="5" t="n">
        <v>8</v>
      </c>
      <c r="P460" s="5" t="n">
        <v>-3</v>
      </c>
      <c r="Q460" s="5" t="n">
        <v>1</v>
      </c>
      <c r="R460" s="5" t="n">
        <v>4</v>
      </c>
      <c r="S460" s="5" t="n">
        <v>2</v>
      </c>
      <c r="T460" s="5" t="s">
        <v>1173</v>
      </c>
      <c r="U460" s="6"/>
      <c r="V460" s="6"/>
      <c r="W460" s="6"/>
      <c r="X460" s="6"/>
      <c r="Y460" s="7" t="str">
        <f aca="false">IF(COUNT(U460:X460)=4,(W460-X460)/2,"")</f>
        <v/>
      </c>
      <c r="Z460" s="7" t="str">
        <f aca="false">IF(COUNT(U460:X460)=4,(U460-V460)/2,"")</f>
        <v/>
      </c>
      <c r="AA460" s="7" t="str">
        <f aca="false">IF(COUNT(U460:X460)=4,MAX(1,MIN(10,ROUNDUP(5-Z460,0))),"")</f>
        <v/>
      </c>
      <c r="AB460" s="7" t="str">
        <f aca="false">IF(COUNT(U460:X460)=4,MAX(1,MIN(10,ROUNDUP(Y460+5,0))),"")</f>
        <v/>
      </c>
      <c r="AC460" s="6"/>
      <c r="AD460" s="6"/>
    </row>
    <row r="461" customFormat="false" ht="15" hidden="false" customHeight="true" outlineLevel="0" collapsed="false">
      <c r="A461" s="5" t="n">
        <v>460</v>
      </c>
      <c r="B461" s="5" t="s">
        <v>1174</v>
      </c>
      <c r="C461" s="5" t="s">
        <v>171</v>
      </c>
      <c r="D461" s="5" t="s">
        <v>172</v>
      </c>
      <c r="E461" s="5" t="n">
        <v>242</v>
      </c>
      <c r="F461" s="5" t="s">
        <v>1175</v>
      </c>
      <c r="G461" s="5" t="n">
        <v>4</v>
      </c>
      <c r="H461" s="5" t="s">
        <v>53</v>
      </c>
      <c r="I461" s="5" t="s">
        <v>81</v>
      </c>
      <c r="J461" s="5" t="s">
        <v>174</v>
      </c>
      <c r="K461" s="5" t="s">
        <v>175</v>
      </c>
      <c r="L461" s="5" t="n">
        <v>9</v>
      </c>
      <c r="M461" s="5" t="n">
        <v>1</v>
      </c>
      <c r="N461" s="5" t="n">
        <v>3</v>
      </c>
      <c r="O461" s="5" t="n">
        <v>9</v>
      </c>
      <c r="P461" s="5" t="n">
        <v>-3</v>
      </c>
      <c r="Q461" s="5" t="n">
        <v>4</v>
      </c>
      <c r="R461" s="5" t="n">
        <v>1</v>
      </c>
      <c r="S461" s="5" t="n">
        <v>2</v>
      </c>
      <c r="T461" s="5" t="s">
        <v>149</v>
      </c>
      <c r="U461" s="6"/>
      <c r="V461" s="6"/>
      <c r="W461" s="6"/>
      <c r="X461" s="6"/>
      <c r="Y461" s="7" t="str">
        <f aca="false">IF(COUNT(U461:X461)=4,(W461-X461)/2,"")</f>
        <v/>
      </c>
      <c r="Z461" s="7" t="str">
        <f aca="false">IF(COUNT(U461:X461)=4,(U461-V461)/2,"")</f>
        <v/>
      </c>
      <c r="AA461" s="7" t="str">
        <f aca="false">IF(COUNT(U461:X461)=4,MAX(1,MIN(10,ROUNDUP(5-Z461,0))),"")</f>
        <v/>
      </c>
      <c r="AB461" s="7" t="str">
        <f aca="false">IF(COUNT(U461:X461)=4,MAX(1,MIN(10,ROUNDUP(Y461+5,0))),"")</f>
        <v/>
      </c>
      <c r="AC461" s="6"/>
      <c r="AD461" s="6"/>
    </row>
    <row r="462" customFormat="false" ht="15" hidden="false" customHeight="true" outlineLevel="0" collapsed="false">
      <c r="A462" s="5" t="n">
        <v>461</v>
      </c>
      <c r="B462" s="5" t="s">
        <v>22</v>
      </c>
      <c r="C462" s="5" t="s">
        <v>171</v>
      </c>
      <c r="D462" s="5" t="s">
        <v>172</v>
      </c>
      <c r="E462" s="5" t="n">
        <v>242</v>
      </c>
      <c r="F462" s="5" t="s">
        <v>1176</v>
      </c>
      <c r="G462" s="5" t="n">
        <v>4</v>
      </c>
      <c r="H462" s="5" t="s">
        <v>53</v>
      </c>
      <c r="I462" s="5" t="s">
        <v>54</v>
      </c>
      <c r="J462" s="5" t="s">
        <v>181</v>
      </c>
      <c r="K462" s="5" t="s">
        <v>309</v>
      </c>
      <c r="L462" s="5" t="n">
        <v>2</v>
      </c>
      <c r="M462" s="5" t="n">
        <v>5</v>
      </c>
      <c r="N462" s="5" t="n">
        <v>5</v>
      </c>
      <c r="O462" s="5" t="n">
        <v>4</v>
      </c>
      <c r="P462" s="5" t="n">
        <v>0.5</v>
      </c>
      <c r="Q462" s="5" t="n">
        <v>-1.5</v>
      </c>
      <c r="R462" s="5" t="n">
        <v>7</v>
      </c>
      <c r="S462" s="5" t="n">
        <v>6</v>
      </c>
      <c r="T462" s="5" t="s">
        <v>1177</v>
      </c>
      <c r="U462" s="6"/>
      <c r="V462" s="6"/>
      <c r="W462" s="6"/>
      <c r="X462" s="6"/>
      <c r="Y462" s="7" t="str">
        <f aca="false">IF(COUNT(U462:X462)=4,(W462-X462)/2,"")</f>
        <v/>
      </c>
      <c r="Z462" s="7" t="str">
        <f aca="false">IF(COUNT(U462:X462)=4,(U462-V462)/2,"")</f>
        <v/>
      </c>
      <c r="AA462" s="7" t="str">
        <f aca="false">IF(COUNT(U462:X462)=4,MAX(1,MIN(10,ROUNDUP(5-Z462,0))),"")</f>
        <v/>
      </c>
      <c r="AB462" s="7" t="str">
        <f aca="false">IF(COUNT(U462:X462)=4,MAX(1,MIN(10,ROUNDUP(Y462+5,0))),"")</f>
        <v/>
      </c>
      <c r="AC462" s="6"/>
      <c r="AD462" s="6"/>
    </row>
    <row r="463" customFormat="false" ht="15" hidden="false" customHeight="true" outlineLevel="0" collapsed="false">
      <c r="A463" s="5" t="n">
        <v>462</v>
      </c>
      <c r="B463" s="5" t="s">
        <v>1178</v>
      </c>
      <c r="C463" s="5" t="s">
        <v>145</v>
      </c>
      <c r="D463" s="5" t="s">
        <v>51</v>
      </c>
      <c r="E463" s="5" t="n">
        <v>241</v>
      </c>
      <c r="F463" s="5" t="s">
        <v>1179</v>
      </c>
      <c r="G463" s="5" t="n">
        <v>4</v>
      </c>
      <c r="H463" s="5" t="s">
        <v>53</v>
      </c>
      <c r="I463" s="5" t="s">
        <v>81</v>
      </c>
      <c r="J463" s="5" t="s">
        <v>174</v>
      </c>
      <c r="K463" s="5" t="s">
        <v>1180</v>
      </c>
      <c r="L463" s="5" t="n">
        <v>5</v>
      </c>
      <c r="M463" s="5" t="n">
        <v>4</v>
      </c>
      <c r="N463" s="5" t="n">
        <v>5</v>
      </c>
      <c r="O463" s="5" t="n">
        <v>7</v>
      </c>
      <c r="P463" s="5" t="n">
        <v>-1</v>
      </c>
      <c r="Q463" s="5" t="n">
        <v>0.5</v>
      </c>
      <c r="R463" s="5" t="n">
        <v>5</v>
      </c>
      <c r="S463" s="5" t="n">
        <v>4</v>
      </c>
      <c r="T463" s="5" t="s">
        <v>1181</v>
      </c>
      <c r="U463" s="6"/>
      <c r="V463" s="6"/>
      <c r="W463" s="6"/>
      <c r="X463" s="6"/>
      <c r="Y463" s="7" t="str">
        <f aca="false">IF(COUNT(U463:X463)=4,(W463-X463)/2,"")</f>
        <v/>
      </c>
      <c r="Z463" s="7" t="str">
        <f aca="false">IF(COUNT(U463:X463)=4,(U463-V463)/2,"")</f>
        <v/>
      </c>
      <c r="AA463" s="7" t="str">
        <f aca="false">IF(COUNT(U463:X463)=4,MAX(1,MIN(10,ROUNDUP(5-Z463,0))),"")</f>
        <v/>
      </c>
      <c r="AB463" s="7" t="str">
        <f aca="false">IF(COUNT(U463:X463)=4,MAX(1,MIN(10,ROUNDUP(Y463+5,0))),"")</f>
        <v/>
      </c>
      <c r="AC463" s="6"/>
      <c r="AD463" s="6"/>
    </row>
    <row r="464" customFormat="false" ht="15" hidden="false" customHeight="true" outlineLevel="0" collapsed="false">
      <c r="A464" s="5" t="n">
        <v>463</v>
      </c>
      <c r="B464" s="5" t="s">
        <v>1182</v>
      </c>
      <c r="C464" s="5" t="s">
        <v>171</v>
      </c>
      <c r="D464" s="5" t="s">
        <v>172</v>
      </c>
      <c r="E464" s="5" t="n">
        <v>241</v>
      </c>
      <c r="F464" s="5" t="s">
        <v>1183</v>
      </c>
      <c r="G464" s="5" t="n">
        <v>4</v>
      </c>
      <c r="H464" s="5" t="s">
        <v>53</v>
      </c>
      <c r="I464" s="5" t="s">
        <v>54</v>
      </c>
      <c r="J464" s="5" t="s">
        <v>181</v>
      </c>
      <c r="K464" s="5" t="s">
        <v>223</v>
      </c>
      <c r="L464" s="5" t="n">
        <v>3</v>
      </c>
      <c r="M464" s="5" t="n">
        <v>4</v>
      </c>
      <c r="N464" s="5" t="n">
        <v>6</v>
      </c>
      <c r="O464" s="5" t="n">
        <v>4</v>
      </c>
      <c r="P464" s="5" t="n">
        <v>1</v>
      </c>
      <c r="Q464" s="5" t="n">
        <v>-0.5</v>
      </c>
      <c r="R464" s="5" t="n">
        <v>6</v>
      </c>
      <c r="S464" s="5" t="n">
        <v>6</v>
      </c>
      <c r="T464" s="5" t="s">
        <v>1184</v>
      </c>
      <c r="U464" s="6"/>
      <c r="V464" s="6"/>
      <c r="W464" s="6"/>
      <c r="X464" s="6"/>
      <c r="Y464" s="7" t="str">
        <f aca="false">IF(COUNT(U464:X464)=4,(W464-X464)/2,"")</f>
        <v/>
      </c>
      <c r="Z464" s="7" t="str">
        <f aca="false">IF(COUNT(U464:X464)=4,(U464-V464)/2,"")</f>
        <v/>
      </c>
      <c r="AA464" s="7" t="str">
        <f aca="false">IF(COUNT(U464:X464)=4,MAX(1,MIN(10,ROUNDUP(5-Z464,0))),"")</f>
        <v/>
      </c>
      <c r="AB464" s="7" t="str">
        <f aca="false">IF(COUNT(U464:X464)=4,MAX(1,MIN(10,ROUNDUP(Y464+5,0))),"")</f>
        <v/>
      </c>
      <c r="AC464" s="6"/>
      <c r="AD464" s="6"/>
    </row>
    <row r="465" customFormat="false" ht="15" hidden="false" customHeight="true" outlineLevel="0" collapsed="false">
      <c r="A465" s="5" t="n">
        <v>464</v>
      </c>
      <c r="B465" s="5" t="s">
        <v>1185</v>
      </c>
      <c r="C465" s="5" t="s">
        <v>203</v>
      </c>
      <c r="D465" s="5" t="s">
        <v>204</v>
      </c>
      <c r="E465" s="5" t="n">
        <v>240</v>
      </c>
      <c r="F465" s="5" t="s">
        <v>1186</v>
      </c>
      <c r="G465" s="5" t="n">
        <v>4</v>
      </c>
      <c r="H465" s="5" t="s">
        <v>53</v>
      </c>
      <c r="I465" s="5" t="s">
        <v>54</v>
      </c>
      <c r="J465" s="5" t="s">
        <v>117</v>
      </c>
      <c r="K465" s="5" t="s">
        <v>117</v>
      </c>
      <c r="L465" s="5" t="n">
        <v>3</v>
      </c>
      <c r="M465" s="5" t="n">
        <v>1</v>
      </c>
      <c r="N465" s="5" t="n">
        <v>2</v>
      </c>
      <c r="O465" s="5" t="n">
        <v>7</v>
      </c>
      <c r="P465" s="5" t="n">
        <v>-2.5</v>
      </c>
      <c r="Q465" s="5" t="n">
        <v>1</v>
      </c>
      <c r="R465" s="5" t="n">
        <v>4</v>
      </c>
      <c r="S465" s="5" t="n">
        <v>3</v>
      </c>
      <c r="T465" s="5" t="s">
        <v>1187</v>
      </c>
      <c r="U465" s="6"/>
      <c r="V465" s="6"/>
      <c r="W465" s="6"/>
      <c r="X465" s="6"/>
      <c r="Y465" s="7" t="str">
        <f aca="false">IF(COUNT(U465:X465)=4,(W465-X465)/2,"")</f>
        <v/>
      </c>
      <c r="Z465" s="7" t="str">
        <f aca="false">IF(COUNT(U465:X465)=4,(U465-V465)/2,"")</f>
        <v/>
      </c>
      <c r="AA465" s="7" t="str">
        <f aca="false">IF(COUNT(U465:X465)=4,MAX(1,MIN(10,ROUNDUP(5-Z465,0))),"")</f>
        <v/>
      </c>
      <c r="AB465" s="7" t="str">
        <f aca="false">IF(COUNT(U465:X465)=4,MAX(1,MIN(10,ROUNDUP(Y465+5,0))),"")</f>
        <v/>
      </c>
      <c r="AC465" s="6"/>
      <c r="AD465" s="6"/>
    </row>
    <row r="466" customFormat="false" ht="15" hidden="false" customHeight="true" outlineLevel="0" collapsed="false">
      <c r="A466" s="5" t="n">
        <v>465</v>
      </c>
      <c r="B466" s="5" t="s">
        <v>1188</v>
      </c>
      <c r="C466" s="5" t="s">
        <v>171</v>
      </c>
      <c r="D466" s="5" t="s">
        <v>172</v>
      </c>
      <c r="E466" s="5" t="n">
        <v>240</v>
      </c>
      <c r="F466" s="5" t="s">
        <v>1189</v>
      </c>
      <c r="G466" s="5" t="n">
        <v>4</v>
      </c>
      <c r="H466" s="5" t="s">
        <v>53</v>
      </c>
      <c r="I466" s="5" t="s">
        <v>54</v>
      </c>
      <c r="J466" s="5" t="s">
        <v>181</v>
      </c>
      <c r="K466" s="5" t="s">
        <v>413</v>
      </c>
      <c r="L466" s="5" t="n">
        <v>5</v>
      </c>
      <c r="M466" s="5" t="n">
        <v>3</v>
      </c>
      <c r="N466" s="5" t="n">
        <v>3</v>
      </c>
      <c r="O466" s="5" t="n">
        <v>8</v>
      </c>
      <c r="P466" s="5" t="n">
        <v>-2.5</v>
      </c>
      <c r="Q466" s="5" t="n">
        <v>1</v>
      </c>
      <c r="R466" s="5" t="n">
        <v>4</v>
      </c>
      <c r="S466" s="5" t="n">
        <v>3</v>
      </c>
      <c r="T466" s="5" t="s">
        <v>1190</v>
      </c>
      <c r="U466" s="6"/>
      <c r="V466" s="6"/>
      <c r="W466" s="6"/>
      <c r="X466" s="6"/>
      <c r="Y466" s="7" t="str">
        <f aca="false">IF(COUNT(U466:X466)=4,(W466-X466)/2,"")</f>
        <v/>
      </c>
      <c r="Z466" s="7" t="str">
        <f aca="false">IF(COUNT(U466:X466)=4,(U466-V466)/2,"")</f>
        <v/>
      </c>
      <c r="AA466" s="7" t="str">
        <f aca="false">IF(COUNT(U466:X466)=4,MAX(1,MIN(10,ROUNDUP(5-Z466,0))),"")</f>
        <v/>
      </c>
      <c r="AB466" s="7" t="str">
        <f aca="false">IF(COUNT(U466:X466)=4,MAX(1,MIN(10,ROUNDUP(Y466+5,0))),"")</f>
        <v/>
      </c>
      <c r="AC466" s="6"/>
      <c r="AD466" s="6"/>
    </row>
    <row r="467" customFormat="false" ht="15" hidden="false" customHeight="true" outlineLevel="0" collapsed="false">
      <c r="A467" s="5" t="n">
        <v>466</v>
      </c>
      <c r="B467" s="5" t="s">
        <v>1191</v>
      </c>
      <c r="C467" s="5" t="s">
        <v>145</v>
      </c>
      <c r="D467" s="5" t="s">
        <v>51</v>
      </c>
      <c r="E467" s="5" t="n">
        <v>240</v>
      </c>
      <c r="F467" s="5" t="s">
        <v>1192</v>
      </c>
      <c r="G467" s="5" t="n">
        <v>4</v>
      </c>
      <c r="H467" s="5" t="s">
        <v>53</v>
      </c>
      <c r="I467" s="5" t="s">
        <v>54</v>
      </c>
      <c r="J467" s="5" t="s">
        <v>55</v>
      </c>
      <c r="K467" s="5" t="s">
        <v>55</v>
      </c>
      <c r="L467" s="5" t="n">
        <v>6</v>
      </c>
      <c r="M467" s="5" t="n">
        <v>2</v>
      </c>
      <c r="N467" s="5" t="n">
        <v>3</v>
      </c>
      <c r="O467" s="5" t="n">
        <v>8</v>
      </c>
      <c r="P467" s="5" t="n">
        <v>-2.5</v>
      </c>
      <c r="Q467" s="5" t="n">
        <v>2</v>
      </c>
      <c r="R467" s="5" t="n">
        <v>3</v>
      </c>
      <c r="S467" s="5" t="n">
        <v>3</v>
      </c>
      <c r="T467" s="5" t="s">
        <v>485</v>
      </c>
      <c r="U467" s="6"/>
      <c r="V467" s="6"/>
      <c r="W467" s="6"/>
      <c r="X467" s="6"/>
      <c r="Y467" s="7" t="str">
        <f aca="false">IF(COUNT(U467:X467)=4,(W467-X467)/2,"")</f>
        <v/>
      </c>
      <c r="Z467" s="7" t="str">
        <f aca="false">IF(COUNT(U467:X467)=4,(U467-V467)/2,"")</f>
        <v/>
      </c>
      <c r="AA467" s="7" t="str">
        <f aca="false">IF(COUNT(U467:X467)=4,MAX(1,MIN(10,ROUNDUP(5-Z467,0))),"")</f>
        <v/>
      </c>
      <c r="AB467" s="7" t="str">
        <f aca="false">IF(COUNT(U467:X467)=4,MAX(1,MIN(10,ROUNDUP(Y467+5,0))),"")</f>
        <v/>
      </c>
      <c r="AC467" s="6"/>
      <c r="AD467" s="6"/>
    </row>
    <row r="468" customFormat="false" ht="15" hidden="false" customHeight="true" outlineLevel="0" collapsed="false">
      <c r="A468" s="5" t="n">
        <v>467</v>
      </c>
      <c r="B468" s="5" t="s">
        <v>1193</v>
      </c>
      <c r="C468" s="5" t="s">
        <v>145</v>
      </c>
      <c r="D468" s="5" t="s">
        <v>51</v>
      </c>
      <c r="E468" s="5" t="n">
        <v>240</v>
      </c>
      <c r="F468" s="5" t="s">
        <v>1194</v>
      </c>
      <c r="G468" s="5" t="n">
        <v>4</v>
      </c>
      <c r="H468" s="5" t="s">
        <v>53</v>
      </c>
      <c r="I468" s="5" t="s">
        <v>54</v>
      </c>
      <c r="J468" s="5" t="s">
        <v>55</v>
      </c>
      <c r="K468" s="5" t="s">
        <v>55</v>
      </c>
      <c r="L468" s="5" t="n">
        <v>5</v>
      </c>
      <c r="M468" s="5" t="n">
        <v>2</v>
      </c>
      <c r="N468" s="5" t="n">
        <v>10</v>
      </c>
      <c r="O468" s="5" t="n">
        <v>1</v>
      </c>
      <c r="P468" s="5" t="n">
        <v>4.5</v>
      </c>
      <c r="Q468" s="5" t="n">
        <v>1.5</v>
      </c>
      <c r="R468" s="5" t="n">
        <v>4</v>
      </c>
      <c r="S468" s="5" t="n">
        <v>10</v>
      </c>
      <c r="T468" s="5" t="s">
        <v>1195</v>
      </c>
      <c r="U468" s="6"/>
      <c r="V468" s="6"/>
      <c r="W468" s="6"/>
      <c r="X468" s="6"/>
      <c r="Y468" s="7" t="str">
        <f aca="false">IF(COUNT(U468:X468)=4,(W468-X468)/2,"")</f>
        <v/>
      </c>
      <c r="Z468" s="7" t="str">
        <f aca="false">IF(COUNT(U468:X468)=4,(U468-V468)/2,"")</f>
        <v/>
      </c>
      <c r="AA468" s="7" t="str">
        <f aca="false">IF(COUNT(U468:X468)=4,MAX(1,MIN(10,ROUNDUP(5-Z468,0))),"")</f>
        <v/>
      </c>
      <c r="AB468" s="7" t="str">
        <f aca="false">IF(COUNT(U468:X468)=4,MAX(1,MIN(10,ROUNDUP(Y468+5,0))),"")</f>
        <v/>
      </c>
      <c r="AC468" s="6"/>
      <c r="AD468" s="6"/>
    </row>
    <row r="469" customFormat="false" ht="15" hidden="false" customHeight="true" outlineLevel="0" collapsed="false">
      <c r="A469" s="5" t="n">
        <v>468</v>
      </c>
      <c r="B469" s="5" t="s">
        <v>1196</v>
      </c>
      <c r="C469" s="5" t="s">
        <v>145</v>
      </c>
      <c r="D469" s="5" t="s">
        <v>51</v>
      </c>
      <c r="E469" s="5" t="n">
        <v>238</v>
      </c>
      <c r="F469" s="5" t="s">
        <v>1197</v>
      </c>
      <c r="G469" s="5" t="n">
        <v>4</v>
      </c>
      <c r="H469" s="5" t="s">
        <v>53</v>
      </c>
      <c r="I469" s="5" t="s">
        <v>54</v>
      </c>
      <c r="J469" s="5" t="s">
        <v>181</v>
      </c>
      <c r="K469" s="5" t="s">
        <v>333</v>
      </c>
      <c r="L469" s="5" t="n">
        <v>2</v>
      </c>
      <c r="M469" s="5" t="n">
        <v>4</v>
      </c>
      <c r="N469" s="5" t="n">
        <v>8</v>
      </c>
      <c r="O469" s="5" t="n">
        <v>2</v>
      </c>
      <c r="P469" s="5" t="n">
        <v>3</v>
      </c>
      <c r="Q469" s="5" t="n">
        <v>-1</v>
      </c>
      <c r="R469" s="5" t="n">
        <v>6</v>
      </c>
      <c r="S469" s="5" t="n">
        <v>8</v>
      </c>
      <c r="T469" s="5" t="s">
        <v>1198</v>
      </c>
      <c r="U469" s="6"/>
      <c r="V469" s="6"/>
      <c r="W469" s="6"/>
      <c r="X469" s="6"/>
      <c r="Y469" s="7" t="str">
        <f aca="false">IF(COUNT(U469:X469)=4,(W469-X469)/2,"")</f>
        <v/>
      </c>
      <c r="Z469" s="7" t="str">
        <f aca="false">IF(COUNT(U469:X469)=4,(U469-V469)/2,"")</f>
        <v/>
      </c>
      <c r="AA469" s="7" t="str">
        <f aca="false">IF(COUNT(U469:X469)=4,MAX(1,MIN(10,ROUNDUP(5-Z469,0))),"")</f>
        <v/>
      </c>
      <c r="AB469" s="7" t="str">
        <f aca="false">IF(COUNT(U469:X469)=4,MAX(1,MIN(10,ROUNDUP(Y469+5,0))),"")</f>
        <v/>
      </c>
      <c r="AC469" s="6"/>
      <c r="AD469" s="6"/>
    </row>
    <row r="470" customFormat="false" ht="15" hidden="false" customHeight="true" outlineLevel="0" collapsed="false">
      <c r="A470" s="5" t="n">
        <v>469</v>
      </c>
      <c r="B470" s="5" t="s">
        <v>1199</v>
      </c>
      <c r="C470" s="5" t="s">
        <v>203</v>
      </c>
      <c r="D470" s="5" t="s">
        <v>204</v>
      </c>
      <c r="E470" s="5" t="n">
        <v>236</v>
      </c>
      <c r="F470" s="5" t="s">
        <v>1200</v>
      </c>
      <c r="G470" s="5" t="n">
        <v>4</v>
      </c>
      <c r="H470" s="5" t="s">
        <v>53</v>
      </c>
      <c r="I470" s="5" t="s">
        <v>54</v>
      </c>
      <c r="J470" s="5" t="s">
        <v>117</v>
      </c>
      <c r="K470" s="5" t="s">
        <v>117</v>
      </c>
      <c r="L470" s="5" t="n">
        <v>3</v>
      </c>
      <c r="M470" s="5" t="n">
        <v>3</v>
      </c>
      <c r="N470" s="5" t="n">
        <v>8</v>
      </c>
      <c r="O470" s="5" t="n">
        <v>2</v>
      </c>
      <c r="P470" s="5" t="n">
        <v>3</v>
      </c>
      <c r="Q470" s="5" t="n">
        <v>0</v>
      </c>
      <c r="R470" s="5" t="n">
        <v>5</v>
      </c>
      <c r="S470" s="5" t="n">
        <v>8</v>
      </c>
      <c r="T470" s="5" t="s">
        <v>1201</v>
      </c>
      <c r="U470" s="6"/>
      <c r="V470" s="6"/>
      <c r="W470" s="6"/>
      <c r="X470" s="6"/>
      <c r="Y470" s="7" t="str">
        <f aca="false">IF(COUNT(U470:X470)=4,(W470-X470)/2,"")</f>
        <v/>
      </c>
      <c r="Z470" s="7" t="str">
        <f aca="false">IF(COUNT(U470:X470)=4,(U470-V470)/2,"")</f>
        <v/>
      </c>
      <c r="AA470" s="7" t="str">
        <f aca="false">IF(COUNT(U470:X470)=4,MAX(1,MIN(10,ROUNDUP(5-Z470,0))),"")</f>
        <v/>
      </c>
      <c r="AB470" s="7" t="str">
        <f aca="false">IF(COUNT(U470:X470)=4,MAX(1,MIN(10,ROUNDUP(Y470+5,0))),"")</f>
        <v/>
      </c>
      <c r="AC470" s="6"/>
      <c r="AD470" s="6"/>
    </row>
    <row r="471" customFormat="false" ht="15" hidden="false" customHeight="true" outlineLevel="0" collapsed="false">
      <c r="A471" s="5" t="n">
        <v>470</v>
      </c>
      <c r="B471" s="5" t="s">
        <v>1202</v>
      </c>
      <c r="C471" s="5" t="s">
        <v>171</v>
      </c>
      <c r="D471" s="5" t="s">
        <v>172</v>
      </c>
      <c r="E471" s="5" t="n">
        <v>236</v>
      </c>
      <c r="F471" s="5" t="s">
        <v>1203</v>
      </c>
      <c r="G471" s="5" t="n">
        <v>4</v>
      </c>
      <c r="H471" s="5" t="s">
        <v>53</v>
      </c>
      <c r="I471" s="5" t="s">
        <v>54</v>
      </c>
      <c r="J471" s="5" t="s">
        <v>181</v>
      </c>
      <c r="K471" s="5" t="s">
        <v>333</v>
      </c>
      <c r="L471" s="5" t="n">
        <v>2</v>
      </c>
      <c r="M471" s="5" t="n">
        <v>4</v>
      </c>
      <c r="N471" s="5" t="n">
        <v>8</v>
      </c>
      <c r="O471" s="5" t="n">
        <v>2</v>
      </c>
      <c r="P471" s="5" t="n">
        <v>3</v>
      </c>
      <c r="Q471" s="5" t="n">
        <v>-1</v>
      </c>
      <c r="R471" s="5" t="n">
        <v>6</v>
      </c>
      <c r="S471" s="5" t="n">
        <v>8</v>
      </c>
      <c r="T471" s="5" t="s">
        <v>1204</v>
      </c>
      <c r="U471" s="6"/>
      <c r="V471" s="6"/>
      <c r="W471" s="6"/>
      <c r="X471" s="6"/>
      <c r="Y471" s="7" t="str">
        <f aca="false">IF(COUNT(U471:X471)=4,(W471-X471)/2,"")</f>
        <v/>
      </c>
      <c r="Z471" s="7" t="str">
        <f aca="false">IF(COUNT(U471:X471)=4,(U471-V471)/2,"")</f>
        <v/>
      </c>
      <c r="AA471" s="7" t="str">
        <f aca="false">IF(COUNT(U471:X471)=4,MAX(1,MIN(10,ROUNDUP(5-Z471,0))),"")</f>
        <v/>
      </c>
      <c r="AB471" s="7" t="str">
        <f aca="false">IF(COUNT(U471:X471)=4,MAX(1,MIN(10,ROUNDUP(Y471+5,0))),"")</f>
        <v/>
      </c>
      <c r="AC471" s="6"/>
      <c r="AD471" s="6"/>
    </row>
    <row r="472" customFormat="false" ht="15" hidden="false" customHeight="true" outlineLevel="0" collapsed="false">
      <c r="A472" s="5" t="n">
        <v>471</v>
      </c>
      <c r="B472" s="5" t="s">
        <v>1205</v>
      </c>
      <c r="C472" s="5" t="s">
        <v>145</v>
      </c>
      <c r="D472" s="5" t="s">
        <v>51</v>
      </c>
      <c r="E472" s="5" t="n">
        <v>235</v>
      </c>
      <c r="F472" s="5" t="s">
        <v>1206</v>
      </c>
      <c r="G472" s="5" t="n">
        <v>4</v>
      </c>
      <c r="H472" s="5" t="s">
        <v>53</v>
      </c>
      <c r="I472" s="5" t="s">
        <v>54</v>
      </c>
      <c r="J472" s="5" t="s">
        <v>181</v>
      </c>
      <c r="K472" s="5" t="s">
        <v>235</v>
      </c>
      <c r="L472" s="5" t="n">
        <v>4</v>
      </c>
      <c r="M472" s="5" t="n">
        <v>5</v>
      </c>
      <c r="N472" s="5" t="n">
        <v>7</v>
      </c>
      <c r="O472" s="5" t="n">
        <v>4</v>
      </c>
      <c r="P472" s="5" t="n">
        <v>1.5</v>
      </c>
      <c r="Q472" s="5" t="n">
        <v>-0.5</v>
      </c>
      <c r="R472" s="5" t="n">
        <v>6</v>
      </c>
      <c r="S472" s="5" t="n">
        <v>7</v>
      </c>
      <c r="T472" s="5" t="s">
        <v>1207</v>
      </c>
      <c r="U472" s="6"/>
      <c r="V472" s="6"/>
      <c r="W472" s="6"/>
      <c r="X472" s="6"/>
      <c r="Y472" s="7" t="str">
        <f aca="false">IF(COUNT(U472:X472)=4,(W472-X472)/2,"")</f>
        <v/>
      </c>
      <c r="Z472" s="7" t="str">
        <f aca="false">IF(COUNT(U472:X472)=4,(U472-V472)/2,"")</f>
        <v/>
      </c>
      <c r="AA472" s="7" t="str">
        <f aca="false">IF(COUNT(U472:X472)=4,MAX(1,MIN(10,ROUNDUP(5-Z472,0))),"")</f>
        <v/>
      </c>
      <c r="AB472" s="7" t="str">
        <f aca="false">IF(COUNT(U472:X472)=4,MAX(1,MIN(10,ROUNDUP(Y472+5,0))),"")</f>
        <v/>
      </c>
      <c r="AC472" s="6"/>
      <c r="AD472" s="6"/>
    </row>
    <row r="473" customFormat="false" ht="15" hidden="false" customHeight="true" outlineLevel="0" collapsed="false">
      <c r="A473" s="5" t="n">
        <v>472</v>
      </c>
      <c r="B473" s="5" t="s">
        <v>1208</v>
      </c>
      <c r="C473" s="5" t="s">
        <v>203</v>
      </c>
      <c r="D473" s="5" t="s">
        <v>204</v>
      </c>
      <c r="E473" s="5" t="n">
        <v>235</v>
      </c>
      <c r="F473" s="5" t="s">
        <v>1209</v>
      </c>
      <c r="G473" s="5" t="n">
        <v>4</v>
      </c>
      <c r="H473" s="5" t="s">
        <v>53</v>
      </c>
      <c r="I473" s="5" t="s">
        <v>54</v>
      </c>
      <c r="J473" s="5" t="s">
        <v>117</v>
      </c>
      <c r="K473" s="5" t="s">
        <v>117</v>
      </c>
      <c r="L473" s="5" t="n">
        <v>5</v>
      </c>
      <c r="M473" s="5" t="n">
        <v>2</v>
      </c>
      <c r="N473" s="5" t="n">
        <v>1</v>
      </c>
      <c r="O473" s="5" t="n">
        <v>8</v>
      </c>
      <c r="P473" s="5" t="n">
        <v>-3.5</v>
      </c>
      <c r="Q473" s="5" t="n">
        <v>1.5</v>
      </c>
      <c r="R473" s="5" t="n">
        <v>4</v>
      </c>
      <c r="S473" s="5" t="n">
        <v>2</v>
      </c>
      <c r="T473" s="5" t="s">
        <v>1210</v>
      </c>
      <c r="U473" s="6"/>
      <c r="V473" s="6"/>
      <c r="W473" s="6"/>
      <c r="X473" s="6"/>
      <c r="Y473" s="7" t="str">
        <f aca="false">IF(COUNT(U473:X473)=4,(W473-X473)/2,"")</f>
        <v/>
      </c>
      <c r="Z473" s="7" t="str">
        <f aca="false">IF(COUNT(U473:X473)=4,(U473-V473)/2,"")</f>
        <v/>
      </c>
      <c r="AA473" s="7" t="str">
        <f aca="false">IF(COUNT(U473:X473)=4,MAX(1,MIN(10,ROUNDUP(5-Z473,0))),"")</f>
        <v/>
      </c>
      <c r="AB473" s="7" t="str">
        <f aca="false">IF(COUNT(U473:X473)=4,MAX(1,MIN(10,ROUNDUP(Y473+5,0))),"")</f>
        <v/>
      </c>
      <c r="AC473" s="6"/>
      <c r="AD473" s="6"/>
    </row>
    <row r="474" customFormat="false" ht="15" hidden="false" customHeight="true" outlineLevel="0" collapsed="false">
      <c r="A474" s="5" t="n">
        <v>473</v>
      </c>
      <c r="B474" s="5" t="s">
        <v>1211</v>
      </c>
      <c r="C474" s="5" t="s">
        <v>171</v>
      </c>
      <c r="D474" s="5" t="s">
        <v>172</v>
      </c>
      <c r="E474" s="5" t="n">
        <v>235</v>
      </c>
      <c r="F474" s="5" t="s">
        <v>1211</v>
      </c>
      <c r="G474" s="5" t="n">
        <v>4</v>
      </c>
      <c r="H474" s="5" t="s">
        <v>53</v>
      </c>
      <c r="I474" s="5" t="s">
        <v>54</v>
      </c>
      <c r="J474" s="5" t="s">
        <v>181</v>
      </c>
      <c r="K474" s="5" t="s">
        <v>223</v>
      </c>
      <c r="L474" s="5" t="n">
        <v>3</v>
      </c>
      <c r="M474" s="5" t="n">
        <v>4</v>
      </c>
      <c r="N474" s="5" t="n">
        <v>6</v>
      </c>
      <c r="O474" s="5" t="n">
        <v>4</v>
      </c>
      <c r="P474" s="5" t="n">
        <v>1</v>
      </c>
      <c r="Q474" s="5" t="n">
        <v>-0.5</v>
      </c>
      <c r="R474" s="5" t="n">
        <v>6</v>
      </c>
      <c r="S474" s="5" t="n">
        <v>6</v>
      </c>
      <c r="T474" s="5" t="s">
        <v>1212</v>
      </c>
      <c r="U474" s="6"/>
      <c r="V474" s="6"/>
      <c r="W474" s="6"/>
      <c r="X474" s="6"/>
      <c r="Y474" s="7" t="str">
        <f aca="false">IF(COUNT(U474:X474)=4,(W474-X474)/2,"")</f>
        <v/>
      </c>
      <c r="Z474" s="7" t="str">
        <f aca="false">IF(COUNT(U474:X474)=4,(U474-V474)/2,"")</f>
        <v/>
      </c>
      <c r="AA474" s="7" t="str">
        <f aca="false">IF(COUNT(U474:X474)=4,MAX(1,MIN(10,ROUNDUP(5-Z474,0))),"")</f>
        <v/>
      </c>
      <c r="AB474" s="7" t="str">
        <f aca="false">IF(COUNT(U474:X474)=4,MAX(1,MIN(10,ROUNDUP(Y474+5,0))),"")</f>
        <v/>
      </c>
      <c r="AC474" s="6"/>
      <c r="AD474" s="6"/>
    </row>
    <row r="475" customFormat="false" ht="15" hidden="false" customHeight="true" outlineLevel="0" collapsed="false">
      <c r="A475" s="5" t="n">
        <v>474</v>
      </c>
      <c r="B475" s="5" t="s">
        <v>1213</v>
      </c>
      <c r="C475" s="5" t="s">
        <v>171</v>
      </c>
      <c r="D475" s="5" t="s">
        <v>172</v>
      </c>
      <c r="E475" s="5" t="n">
        <v>234</v>
      </c>
      <c r="F475" s="5" t="s">
        <v>1214</v>
      </c>
      <c r="G475" s="5" t="n">
        <v>4</v>
      </c>
      <c r="H475" s="5" t="s">
        <v>53</v>
      </c>
      <c r="I475" s="5" t="s">
        <v>54</v>
      </c>
      <c r="J475" s="5" t="s">
        <v>181</v>
      </c>
      <c r="K475" s="5" t="s">
        <v>333</v>
      </c>
      <c r="L475" s="5" t="n">
        <v>2</v>
      </c>
      <c r="M475" s="5" t="n">
        <v>4</v>
      </c>
      <c r="N475" s="5" t="n">
        <v>8</v>
      </c>
      <c r="O475" s="5" t="n">
        <v>2</v>
      </c>
      <c r="P475" s="5" t="n">
        <v>3</v>
      </c>
      <c r="Q475" s="5" t="n">
        <v>-1</v>
      </c>
      <c r="R475" s="5" t="n">
        <v>6</v>
      </c>
      <c r="S475" s="5" t="n">
        <v>8</v>
      </c>
      <c r="T475" s="5" t="s">
        <v>1215</v>
      </c>
      <c r="U475" s="6"/>
      <c r="V475" s="6"/>
      <c r="W475" s="6"/>
      <c r="X475" s="6"/>
      <c r="Y475" s="7" t="str">
        <f aca="false">IF(COUNT(U475:X475)=4,(W475-X475)/2,"")</f>
        <v/>
      </c>
      <c r="Z475" s="7" t="str">
        <f aca="false">IF(COUNT(U475:X475)=4,(U475-V475)/2,"")</f>
        <v/>
      </c>
      <c r="AA475" s="7" t="str">
        <f aca="false">IF(COUNT(U475:X475)=4,MAX(1,MIN(10,ROUNDUP(5-Z475,0))),"")</f>
        <v/>
      </c>
      <c r="AB475" s="7" t="str">
        <f aca="false">IF(COUNT(U475:X475)=4,MAX(1,MIN(10,ROUNDUP(Y475+5,0))),"")</f>
        <v/>
      </c>
      <c r="AC475" s="6"/>
      <c r="AD475" s="6"/>
    </row>
    <row r="476" customFormat="false" ht="15" hidden="false" customHeight="true" outlineLevel="0" collapsed="false">
      <c r="A476" s="5" t="n">
        <v>475</v>
      </c>
      <c r="B476" s="5" t="s">
        <v>1216</v>
      </c>
      <c r="C476" s="5" t="s">
        <v>171</v>
      </c>
      <c r="D476" s="5" t="s">
        <v>172</v>
      </c>
      <c r="E476" s="5" t="n">
        <v>233</v>
      </c>
      <c r="F476" s="5" t="s">
        <v>1217</v>
      </c>
      <c r="G476" s="5" t="n">
        <v>4</v>
      </c>
      <c r="H476" s="5" t="s">
        <v>53</v>
      </c>
      <c r="I476" s="5" t="s">
        <v>81</v>
      </c>
      <c r="J476" s="5" t="s">
        <v>174</v>
      </c>
      <c r="K476" s="5" t="s">
        <v>175</v>
      </c>
      <c r="L476" s="5" t="n">
        <v>7</v>
      </c>
      <c r="M476" s="5" t="n">
        <v>1</v>
      </c>
      <c r="N476" s="5" t="n">
        <v>3</v>
      </c>
      <c r="O476" s="5" t="n">
        <v>8</v>
      </c>
      <c r="P476" s="5" t="n">
        <v>-2.5</v>
      </c>
      <c r="Q476" s="5" t="n">
        <v>3</v>
      </c>
      <c r="R476" s="5" t="n">
        <v>2</v>
      </c>
      <c r="S476" s="5" t="n">
        <v>3</v>
      </c>
      <c r="T476" s="5" t="s">
        <v>1218</v>
      </c>
      <c r="U476" s="6"/>
      <c r="V476" s="6"/>
      <c r="W476" s="6"/>
      <c r="X476" s="6"/>
      <c r="Y476" s="7" t="str">
        <f aca="false">IF(COUNT(U476:X476)=4,(W476-X476)/2,"")</f>
        <v/>
      </c>
      <c r="Z476" s="7" t="str">
        <f aca="false">IF(COUNT(U476:X476)=4,(U476-V476)/2,"")</f>
        <v/>
      </c>
      <c r="AA476" s="7" t="str">
        <f aca="false">IF(COUNT(U476:X476)=4,MAX(1,MIN(10,ROUNDUP(5-Z476,0))),"")</f>
        <v/>
      </c>
      <c r="AB476" s="7" t="str">
        <f aca="false">IF(COUNT(U476:X476)=4,MAX(1,MIN(10,ROUNDUP(Y476+5,0))),"")</f>
        <v/>
      </c>
      <c r="AC476" s="6"/>
      <c r="AD476" s="6"/>
    </row>
    <row r="477" customFormat="false" ht="15" hidden="false" customHeight="true" outlineLevel="0" collapsed="false">
      <c r="A477" s="5" t="n">
        <v>476</v>
      </c>
      <c r="B477" s="5" t="s">
        <v>1219</v>
      </c>
      <c r="C477" s="5" t="s">
        <v>171</v>
      </c>
      <c r="D477" s="5" t="s">
        <v>172</v>
      </c>
      <c r="E477" s="5" t="n">
        <v>233</v>
      </c>
      <c r="F477" s="5" t="s">
        <v>1220</v>
      </c>
      <c r="G477" s="5" t="n">
        <v>4</v>
      </c>
      <c r="H477" s="5" t="s">
        <v>53</v>
      </c>
      <c r="I477" s="5" t="s">
        <v>54</v>
      </c>
      <c r="J477" s="5" t="s">
        <v>181</v>
      </c>
      <c r="K477" s="5" t="s">
        <v>333</v>
      </c>
      <c r="L477" s="5" t="n">
        <v>2</v>
      </c>
      <c r="M477" s="5" t="n">
        <v>4</v>
      </c>
      <c r="N477" s="5" t="n">
        <v>8</v>
      </c>
      <c r="O477" s="5" t="n">
        <v>2</v>
      </c>
      <c r="P477" s="5" t="n">
        <v>3</v>
      </c>
      <c r="Q477" s="5" t="n">
        <v>-1</v>
      </c>
      <c r="R477" s="5" t="n">
        <v>6</v>
      </c>
      <c r="S477" s="5" t="n">
        <v>8</v>
      </c>
      <c r="T477" s="5" t="s">
        <v>1221</v>
      </c>
      <c r="U477" s="6"/>
      <c r="V477" s="6"/>
      <c r="W477" s="6"/>
      <c r="X477" s="6"/>
      <c r="Y477" s="7" t="str">
        <f aca="false">IF(COUNT(U477:X477)=4,(W477-X477)/2,"")</f>
        <v/>
      </c>
      <c r="Z477" s="7" t="str">
        <f aca="false">IF(COUNT(U477:X477)=4,(U477-V477)/2,"")</f>
        <v/>
      </c>
      <c r="AA477" s="7" t="str">
        <f aca="false">IF(COUNT(U477:X477)=4,MAX(1,MIN(10,ROUNDUP(5-Z477,0))),"")</f>
        <v/>
      </c>
      <c r="AB477" s="7" t="str">
        <f aca="false">IF(COUNT(U477:X477)=4,MAX(1,MIN(10,ROUNDUP(Y477+5,0))),"")</f>
        <v/>
      </c>
      <c r="AC477" s="6"/>
      <c r="AD477" s="6"/>
    </row>
    <row r="478" customFormat="false" ht="15" hidden="false" customHeight="true" outlineLevel="0" collapsed="false">
      <c r="A478" s="5" t="n">
        <v>477</v>
      </c>
      <c r="B478" s="5" t="s">
        <v>1222</v>
      </c>
      <c r="C478" s="5" t="s">
        <v>171</v>
      </c>
      <c r="D478" s="5" t="s">
        <v>172</v>
      </c>
      <c r="E478" s="5" t="n">
        <v>232</v>
      </c>
      <c r="F478" s="5" t="s">
        <v>1223</v>
      </c>
      <c r="G478" s="5" t="n">
        <v>4</v>
      </c>
      <c r="H478" s="5" t="s">
        <v>53</v>
      </c>
      <c r="I478" s="5" t="s">
        <v>54</v>
      </c>
      <c r="J478" s="5" t="s">
        <v>181</v>
      </c>
      <c r="K478" s="5" t="s">
        <v>235</v>
      </c>
      <c r="L478" s="5" t="n">
        <v>4</v>
      </c>
      <c r="M478" s="5" t="n">
        <v>4</v>
      </c>
      <c r="N478" s="5" t="n">
        <v>7</v>
      </c>
      <c r="O478" s="5" t="n">
        <v>4</v>
      </c>
      <c r="P478" s="5" t="n">
        <v>1.5</v>
      </c>
      <c r="Q478" s="5" t="n">
        <v>0</v>
      </c>
      <c r="R478" s="5" t="n">
        <v>5</v>
      </c>
      <c r="S478" s="5" t="n">
        <v>7</v>
      </c>
      <c r="T478" s="5" t="s">
        <v>1224</v>
      </c>
      <c r="U478" s="6"/>
      <c r="V478" s="6"/>
      <c r="W478" s="6"/>
      <c r="X478" s="6"/>
      <c r="Y478" s="7" t="str">
        <f aca="false">IF(COUNT(U478:X478)=4,(W478-X478)/2,"")</f>
        <v/>
      </c>
      <c r="Z478" s="7" t="str">
        <f aca="false">IF(COUNT(U478:X478)=4,(U478-V478)/2,"")</f>
        <v/>
      </c>
      <c r="AA478" s="7" t="str">
        <f aca="false">IF(COUNT(U478:X478)=4,MAX(1,MIN(10,ROUNDUP(5-Z478,0))),"")</f>
        <v/>
      </c>
      <c r="AB478" s="7" t="str">
        <f aca="false">IF(COUNT(U478:X478)=4,MAX(1,MIN(10,ROUNDUP(Y478+5,0))),"")</f>
        <v/>
      </c>
      <c r="AC478" s="6"/>
      <c r="AD478" s="6"/>
    </row>
    <row r="479" customFormat="false" ht="15" hidden="false" customHeight="true" outlineLevel="0" collapsed="false">
      <c r="A479" s="5" t="n">
        <v>478</v>
      </c>
      <c r="B479" s="5" t="s">
        <v>1225</v>
      </c>
      <c r="C479" s="5" t="s">
        <v>171</v>
      </c>
      <c r="D479" s="5" t="s">
        <v>172</v>
      </c>
      <c r="E479" s="5" t="n">
        <v>232</v>
      </c>
      <c r="F479" s="5" t="s">
        <v>1226</v>
      </c>
      <c r="G479" s="5" t="n">
        <v>4</v>
      </c>
      <c r="H479" s="5" t="s">
        <v>53</v>
      </c>
      <c r="I479" s="5" t="s">
        <v>54</v>
      </c>
      <c r="J479" s="5" t="s">
        <v>181</v>
      </c>
      <c r="K479" s="5" t="s">
        <v>223</v>
      </c>
      <c r="L479" s="5" t="n">
        <v>3</v>
      </c>
      <c r="M479" s="5" t="n">
        <v>4</v>
      </c>
      <c r="N479" s="5" t="n">
        <v>6</v>
      </c>
      <c r="O479" s="5" t="n">
        <v>4</v>
      </c>
      <c r="P479" s="5" t="n">
        <v>1</v>
      </c>
      <c r="Q479" s="5" t="n">
        <v>-0.5</v>
      </c>
      <c r="R479" s="5" t="n">
        <v>6</v>
      </c>
      <c r="S479" s="5" t="n">
        <v>6</v>
      </c>
      <c r="T479" s="5" t="s">
        <v>607</v>
      </c>
      <c r="U479" s="6"/>
      <c r="V479" s="6"/>
      <c r="W479" s="6"/>
      <c r="X479" s="6"/>
      <c r="Y479" s="7" t="str">
        <f aca="false">IF(COUNT(U479:X479)=4,(W479-X479)/2,"")</f>
        <v/>
      </c>
      <c r="Z479" s="7" t="str">
        <f aca="false">IF(COUNT(U479:X479)=4,(U479-V479)/2,"")</f>
        <v/>
      </c>
      <c r="AA479" s="7" t="str">
        <f aca="false">IF(COUNT(U479:X479)=4,MAX(1,MIN(10,ROUNDUP(5-Z479,0))),"")</f>
        <v/>
      </c>
      <c r="AB479" s="7" t="str">
        <f aca="false">IF(COUNT(U479:X479)=4,MAX(1,MIN(10,ROUNDUP(Y479+5,0))),"")</f>
        <v/>
      </c>
      <c r="AC479" s="6"/>
      <c r="AD479" s="6"/>
    </row>
    <row r="480" customFormat="false" ht="15" hidden="false" customHeight="true" outlineLevel="0" collapsed="false">
      <c r="A480" s="5" t="n">
        <v>479</v>
      </c>
      <c r="B480" s="5" t="s">
        <v>1227</v>
      </c>
      <c r="C480" s="5" t="s">
        <v>171</v>
      </c>
      <c r="D480" s="5" t="s">
        <v>172</v>
      </c>
      <c r="E480" s="5" t="n">
        <v>231</v>
      </c>
      <c r="F480" s="5" t="s">
        <v>1228</v>
      </c>
      <c r="G480" s="5" t="n">
        <v>4</v>
      </c>
      <c r="H480" s="5" t="s">
        <v>53</v>
      </c>
      <c r="I480" s="5" t="s">
        <v>54</v>
      </c>
      <c r="J480" s="5" t="s">
        <v>181</v>
      </c>
      <c r="K480" s="5" t="s">
        <v>235</v>
      </c>
      <c r="L480" s="5" t="n">
        <v>4</v>
      </c>
      <c r="M480" s="5" t="n">
        <v>4</v>
      </c>
      <c r="N480" s="5" t="n">
        <v>7</v>
      </c>
      <c r="O480" s="5" t="n">
        <v>4</v>
      </c>
      <c r="P480" s="5" t="n">
        <v>1.5</v>
      </c>
      <c r="Q480" s="5" t="n">
        <v>0</v>
      </c>
      <c r="R480" s="5" t="n">
        <v>5</v>
      </c>
      <c r="S480" s="5" t="n">
        <v>7</v>
      </c>
      <c r="T480" s="5" t="s">
        <v>1229</v>
      </c>
      <c r="U480" s="6"/>
      <c r="V480" s="6"/>
      <c r="W480" s="6"/>
      <c r="X480" s="6"/>
      <c r="Y480" s="7" t="str">
        <f aca="false">IF(COUNT(U480:X480)=4,(W480-X480)/2,"")</f>
        <v/>
      </c>
      <c r="Z480" s="7" t="str">
        <f aca="false">IF(COUNT(U480:X480)=4,(U480-V480)/2,"")</f>
        <v/>
      </c>
      <c r="AA480" s="7" t="str">
        <f aca="false">IF(COUNT(U480:X480)=4,MAX(1,MIN(10,ROUNDUP(5-Z480,0))),"")</f>
        <v/>
      </c>
      <c r="AB480" s="7" t="str">
        <f aca="false">IF(COUNT(U480:X480)=4,MAX(1,MIN(10,ROUNDUP(Y480+5,0))),"")</f>
        <v/>
      </c>
      <c r="AC480" s="6"/>
      <c r="AD480" s="6"/>
    </row>
    <row r="481" customFormat="false" ht="15" hidden="false" customHeight="true" outlineLevel="0" collapsed="false">
      <c r="A481" s="5" t="n">
        <v>480</v>
      </c>
      <c r="B481" s="5" t="s">
        <v>1230</v>
      </c>
      <c r="C481" s="5" t="s">
        <v>171</v>
      </c>
      <c r="D481" s="5" t="s">
        <v>172</v>
      </c>
      <c r="E481" s="5" t="n">
        <v>231</v>
      </c>
      <c r="F481" s="5" t="s">
        <v>1231</v>
      </c>
      <c r="G481" s="5" t="n">
        <v>4</v>
      </c>
      <c r="H481" s="5" t="s">
        <v>53</v>
      </c>
      <c r="I481" s="5" t="s">
        <v>54</v>
      </c>
      <c r="J481" s="5" t="s">
        <v>181</v>
      </c>
      <c r="K481" s="5" t="s">
        <v>223</v>
      </c>
      <c r="L481" s="5" t="n">
        <v>4</v>
      </c>
      <c r="M481" s="5" t="n">
        <v>4</v>
      </c>
      <c r="N481" s="5" t="n">
        <v>6</v>
      </c>
      <c r="O481" s="5" t="n">
        <v>5</v>
      </c>
      <c r="P481" s="5" t="n">
        <v>0.5</v>
      </c>
      <c r="Q481" s="5" t="n">
        <v>0</v>
      </c>
      <c r="R481" s="5" t="n">
        <v>5</v>
      </c>
      <c r="S481" s="5" t="n">
        <v>6</v>
      </c>
      <c r="T481" s="5" t="s">
        <v>1232</v>
      </c>
      <c r="U481" s="6"/>
      <c r="V481" s="6"/>
      <c r="W481" s="6"/>
      <c r="X481" s="6"/>
      <c r="Y481" s="7" t="str">
        <f aca="false">IF(COUNT(U481:X481)=4,(W481-X481)/2,"")</f>
        <v/>
      </c>
      <c r="Z481" s="7" t="str">
        <f aca="false">IF(COUNT(U481:X481)=4,(U481-V481)/2,"")</f>
        <v/>
      </c>
      <c r="AA481" s="7" t="str">
        <f aca="false">IF(COUNT(U481:X481)=4,MAX(1,MIN(10,ROUNDUP(5-Z481,0))),"")</f>
        <v/>
      </c>
      <c r="AB481" s="7" t="str">
        <f aca="false">IF(COUNT(U481:X481)=4,MAX(1,MIN(10,ROUNDUP(Y481+5,0))),"")</f>
        <v/>
      </c>
      <c r="AC481" s="6"/>
      <c r="AD481" s="6"/>
    </row>
    <row r="482" customFormat="false" ht="15" hidden="false" customHeight="true" outlineLevel="0" collapsed="false">
      <c r="A482" s="5" t="n">
        <v>481</v>
      </c>
      <c r="B482" s="5" t="s">
        <v>1233</v>
      </c>
      <c r="C482" s="5" t="s">
        <v>145</v>
      </c>
      <c r="D482" s="5" t="s">
        <v>51</v>
      </c>
      <c r="E482" s="5" t="n">
        <v>230</v>
      </c>
      <c r="F482" s="5" t="s">
        <v>1234</v>
      </c>
      <c r="G482" s="5" t="n">
        <v>4</v>
      </c>
      <c r="H482" s="5" t="s">
        <v>53</v>
      </c>
      <c r="I482" s="5" t="s">
        <v>54</v>
      </c>
      <c r="J482" s="5" t="s">
        <v>55</v>
      </c>
      <c r="K482" s="5" t="s">
        <v>55</v>
      </c>
      <c r="L482" s="5" t="n">
        <v>4</v>
      </c>
      <c r="M482" s="5" t="n">
        <v>3</v>
      </c>
      <c r="N482" s="5" t="n">
        <v>9</v>
      </c>
      <c r="O482" s="5" t="n">
        <v>2</v>
      </c>
      <c r="P482" s="5" t="n">
        <v>3.5</v>
      </c>
      <c r="Q482" s="5" t="n">
        <v>0.5</v>
      </c>
      <c r="R482" s="5" t="n">
        <v>5</v>
      </c>
      <c r="S482" s="5" t="n">
        <v>9</v>
      </c>
      <c r="T482" s="5" t="s">
        <v>1235</v>
      </c>
      <c r="U482" s="6"/>
      <c r="V482" s="6"/>
      <c r="W482" s="6"/>
      <c r="X482" s="6"/>
      <c r="Y482" s="7" t="str">
        <f aca="false">IF(COUNT(U482:X482)=4,(W482-X482)/2,"")</f>
        <v/>
      </c>
      <c r="Z482" s="7" t="str">
        <f aca="false">IF(COUNT(U482:X482)=4,(U482-V482)/2,"")</f>
        <v/>
      </c>
      <c r="AA482" s="7" t="str">
        <f aca="false">IF(COUNT(U482:X482)=4,MAX(1,MIN(10,ROUNDUP(5-Z482,0))),"")</f>
        <v/>
      </c>
      <c r="AB482" s="7" t="str">
        <f aca="false">IF(COUNT(U482:X482)=4,MAX(1,MIN(10,ROUNDUP(Y482+5,0))),"")</f>
        <v/>
      </c>
      <c r="AC482" s="6"/>
      <c r="AD482" s="6"/>
    </row>
    <row r="483" customFormat="false" ht="15" hidden="false" customHeight="true" outlineLevel="0" collapsed="false">
      <c r="A483" s="5" t="n">
        <v>482</v>
      </c>
      <c r="B483" s="5" t="s">
        <v>1236</v>
      </c>
      <c r="C483" s="5" t="s">
        <v>145</v>
      </c>
      <c r="D483" s="5" t="s">
        <v>51</v>
      </c>
      <c r="E483" s="5" t="n">
        <v>230</v>
      </c>
      <c r="F483" s="5" t="s">
        <v>1237</v>
      </c>
      <c r="G483" s="5" t="n">
        <v>4</v>
      </c>
      <c r="H483" s="5" t="s">
        <v>53</v>
      </c>
      <c r="I483" s="5" t="s">
        <v>54</v>
      </c>
      <c r="J483" s="5" t="s">
        <v>55</v>
      </c>
      <c r="K483" s="5" t="s">
        <v>55</v>
      </c>
      <c r="L483" s="5" t="n">
        <v>4</v>
      </c>
      <c r="M483" s="5" t="n">
        <v>3</v>
      </c>
      <c r="N483" s="5" t="n">
        <v>4</v>
      </c>
      <c r="O483" s="5" t="n">
        <v>6</v>
      </c>
      <c r="P483" s="5" t="n">
        <v>-1</v>
      </c>
      <c r="Q483" s="5" t="n">
        <v>0.5</v>
      </c>
      <c r="R483" s="5" t="n">
        <v>5</v>
      </c>
      <c r="S483" s="5" t="n">
        <v>4</v>
      </c>
      <c r="T483" s="5" t="s">
        <v>1238</v>
      </c>
      <c r="U483" s="6"/>
      <c r="V483" s="6"/>
      <c r="W483" s="6"/>
      <c r="X483" s="6"/>
      <c r="Y483" s="7" t="str">
        <f aca="false">IF(COUNT(U483:X483)=4,(W483-X483)/2,"")</f>
        <v/>
      </c>
      <c r="Z483" s="7" t="str">
        <f aca="false">IF(COUNT(U483:X483)=4,(U483-V483)/2,"")</f>
        <v/>
      </c>
      <c r="AA483" s="7" t="str">
        <f aca="false">IF(COUNT(U483:X483)=4,MAX(1,MIN(10,ROUNDUP(5-Z483,0))),"")</f>
        <v/>
      </c>
      <c r="AB483" s="7" t="str">
        <f aca="false">IF(COUNT(U483:X483)=4,MAX(1,MIN(10,ROUNDUP(Y483+5,0))),"")</f>
        <v/>
      </c>
      <c r="AC483" s="6"/>
      <c r="AD483" s="6"/>
    </row>
    <row r="484" customFormat="false" ht="15" hidden="false" customHeight="true" outlineLevel="0" collapsed="false">
      <c r="A484" s="5" t="n">
        <v>483</v>
      </c>
      <c r="B484" s="5" t="s">
        <v>1239</v>
      </c>
      <c r="C484" s="5" t="s">
        <v>203</v>
      </c>
      <c r="D484" s="5" t="s">
        <v>204</v>
      </c>
      <c r="E484" s="5" t="n">
        <v>229</v>
      </c>
      <c r="F484" s="5" t="s">
        <v>1240</v>
      </c>
      <c r="G484" s="5" t="n">
        <v>4</v>
      </c>
      <c r="H484" s="5" t="s">
        <v>53</v>
      </c>
      <c r="I484" s="5" t="s">
        <v>54</v>
      </c>
      <c r="J484" s="5" t="s">
        <v>117</v>
      </c>
      <c r="K484" s="5" t="s">
        <v>117</v>
      </c>
      <c r="L484" s="5" t="n">
        <v>3</v>
      </c>
      <c r="M484" s="5" t="n">
        <v>1</v>
      </c>
      <c r="N484" s="5" t="n">
        <v>2</v>
      </c>
      <c r="O484" s="5" t="n">
        <v>8</v>
      </c>
      <c r="P484" s="5" t="n">
        <v>-3</v>
      </c>
      <c r="Q484" s="5" t="n">
        <v>1</v>
      </c>
      <c r="R484" s="5" t="n">
        <v>4</v>
      </c>
      <c r="S484" s="5" t="n">
        <v>2</v>
      </c>
      <c r="T484" s="5" t="s">
        <v>1241</v>
      </c>
      <c r="U484" s="6"/>
      <c r="V484" s="6"/>
      <c r="W484" s="6"/>
      <c r="X484" s="6"/>
      <c r="Y484" s="7" t="str">
        <f aca="false">IF(COUNT(U484:X484)=4,(W484-X484)/2,"")</f>
        <v/>
      </c>
      <c r="Z484" s="7" t="str">
        <f aca="false">IF(COUNT(U484:X484)=4,(U484-V484)/2,"")</f>
        <v/>
      </c>
      <c r="AA484" s="7" t="str">
        <f aca="false">IF(COUNT(U484:X484)=4,MAX(1,MIN(10,ROUNDUP(5-Z484,0))),"")</f>
        <v/>
      </c>
      <c r="AB484" s="7" t="str">
        <f aca="false">IF(COUNT(U484:X484)=4,MAX(1,MIN(10,ROUNDUP(Y484+5,0))),"")</f>
        <v/>
      </c>
      <c r="AC484" s="6"/>
      <c r="AD484" s="6"/>
    </row>
    <row r="485" customFormat="false" ht="15" hidden="false" customHeight="true" outlineLevel="0" collapsed="false">
      <c r="A485" s="5" t="n">
        <v>484</v>
      </c>
      <c r="B485" s="5" t="s">
        <v>1242</v>
      </c>
      <c r="C485" s="5" t="s">
        <v>171</v>
      </c>
      <c r="D485" s="5" t="s">
        <v>172</v>
      </c>
      <c r="E485" s="5" t="n">
        <v>229</v>
      </c>
      <c r="F485" s="5" t="s">
        <v>1243</v>
      </c>
      <c r="G485" s="5" t="n">
        <v>4</v>
      </c>
      <c r="H485" s="5" t="s">
        <v>53</v>
      </c>
      <c r="I485" s="5" t="s">
        <v>54</v>
      </c>
      <c r="J485" s="5" t="s">
        <v>181</v>
      </c>
      <c r="K485" s="5" t="s">
        <v>333</v>
      </c>
      <c r="L485" s="5" t="n">
        <v>2</v>
      </c>
      <c r="M485" s="5" t="n">
        <v>4</v>
      </c>
      <c r="N485" s="5" t="n">
        <v>8</v>
      </c>
      <c r="O485" s="5" t="n">
        <v>2</v>
      </c>
      <c r="P485" s="5" t="n">
        <v>3</v>
      </c>
      <c r="Q485" s="5" t="n">
        <v>-1</v>
      </c>
      <c r="R485" s="5" t="n">
        <v>6</v>
      </c>
      <c r="S485" s="5" t="n">
        <v>8</v>
      </c>
      <c r="T485" s="5" t="s">
        <v>1244</v>
      </c>
      <c r="U485" s="6"/>
      <c r="V485" s="6"/>
      <c r="W485" s="6"/>
      <c r="X485" s="6"/>
      <c r="Y485" s="7" t="str">
        <f aca="false">IF(COUNT(U485:X485)=4,(W485-X485)/2,"")</f>
        <v/>
      </c>
      <c r="Z485" s="7" t="str">
        <f aca="false">IF(COUNT(U485:X485)=4,(U485-V485)/2,"")</f>
        <v/>
      </c>
      <c r="AA485" s="7" t="str">
        <f aca="false">IF(COUNT(U485:X485)=4,MAX(1,MIN(10,ROUNDUP(5-Z485,0))),"")</f>
        <v/>
      </c>
      <c r="AB485" s="7" t="str">
        <f aca="false">IF(COUNT(U485:X485)=4,MAX(1,MIN(10,ROUNDUP(Y485+5,0))),"")</f>
        <v/>
      </c>
      <c r="AC485" s="6"/>
      <c r="AD485" s="6"/>
    </row>
    <row r="486" customFormat="false" ht="15" hidden="false" customHeight="true" outlineLevel="0" collapsed="false">
      <c r="A486" s="5" t="n">
        <v>485</v>
      </c>
      <c r="B486" s="5" t="s">
        <v>1245</v>
      </c>
      <c r="C486" s="5" t="s">
        <v>171</v>
      </c>
      <c r="D486" s="5" t="s">
        <v>172</v>
      </c>
      <c r="E486" s="5" t="n">
        <v>228</v>
      </c>
      <c r="F486" s="5" t="s">
        <v>1246</v>
      </c>
      <c r="G486" s="5" t="n">
        <v>4</v>
      </c>
      <c r="H486" s="5" t="s">
        <v>53</v>
      </c>
      <c r="I486" s="5" t="s">
        <v>54</v>
      </c>
      <c r="J486" s="5" t="s">
        <v>181</v>
      </c>
      <c r="K486" s="5" t="s">
        <v>413</v>
      </c>
      <c r="L486" s="5" t="n">
        <v>5</v>
      </c>
      <c r="M486" s="5" t="n">
        <v>3</v>
      </c>
      <c r="N486" s="5" t="n">
        <v>3</v>
      </c>
      <c r="O486" s="5" t="n">
        <v>8</v>
      </c>
      <c r="P486" s="5" t="n">
        <v>-2.5</v>
      </c>
      <c r="Q486" s="5" t="n">
        <v>1</v>
      </c>
      <c r="R486" s="5" t="n">
        <v>4</v>
      </c>
      <c r="S486" s="5" t="n">
        <v>3</v>
      </c>
      <c r="T486" s="5" t="s">
        <v>534</v>
      </c>
      <c r="U486" s="6"/>
      <c r="V486" s="6"/>
      <c r="W486" s="6"/>
      <c r="X486" s="6"/>
      <c r="Y486" s="7" t="str">
        <f aca="false">IF(COUNT(U486:X486)=4,(W486-X486)/2,"")</f>
        <v/>
      </c>
      <c r="Z486" s="7" t="str">
        <f aca="false">IF(COUNT(U486:X486)=4,(U486-V486)/2,"")</f>
        <v/>
      </c>
      <c r="AA486" s="7" t="str">
        <f aca="false">IF(COUNT(U486:X486)=4,MAX(1,MIN(10,ROUNDUP(5-Z486,0))),"")</f>
        <v/>
      </c>
      <c r="AB486" s="7" t="str">
        <f aca="false">IF(COUNT(U486:X486)=4,MAX(1,MIN(10,ROUNDUP(Y486+5,0))),"")</f>
        <v/>
      </c>
      <c r="AC486" s="6"/>
      <c r="AD486" s="6"/>
    </row>
    <row r="487" customFormat="false" ht="15" hidden="false" customHeight="true" outlineLevel="0" collapsed="false">
      <c r="A487" s="5" t="n">
        <v>486</v>
      </c>
      <c r="B487" s="5" t="s">
        <v>1247</v>
      </c>
      <c r="C487" s="5" t="s">
        <v>203</v>
      </c>
      <c r="D487" s="5" t="s">
        <v>204</v>
      </c>
      <c r="E487" s="5" t="n">
        <v>227</v>
      </c>
      <c r="F487" s="5" t="s">
        <v>1248</v>
      </c>
      <c r="G487" s="5" t="n">
        <v>4</v>
      </c>
      <c r="H487" s="5" t="s">
        <v>53</v>
      </c>
      <c r="I487" s="5" t="s">
        <v>54</v>
      </c>
      <c r="J487" s="5" t="s">
        <v>181</v>
      </c>
      <c r="K487" s="5" t="s">
        <v>221</v>
      </c>
      <c r="L487" s="5" t="n">
        <v>2</v>
      </c>
      <c r="M487" s="5" t="n">
        <v>10</v>
      </c>
      <c r="N487" s="5" t="n">
        <v>6</v>
      </c>
      <c r="O487" s="5" t="n">
        <v>8</v>
      </c>
      <c r="P487" s="5" t="n">
        <v>-1</v>
      </c>
      <c r="Q487" s="5" t="n">
        <v>-4</v>
      </c>
      <c r="R487" s="5" t="n">
        <v>9</v>
      </c>
      <c r="S487" s="5" t="n">
        <v>4</v>
      </c>
      <c r="T487" s="5" t="s">
        <v>1204</v>
      </c>
      <c r="U487" s="6"/>
      <c r="V487" s="6"/>
      <c r="W487" s="6"/>
      <c r="X487" s="6"/>
      <c r="Y487" s="7" t="str">
        <f aca="false">IF(COUNT(U487:X487)=4,(W487-X487)/2,"")</f>
        <v/>
      </c>
      <c r="Z487" s="7" t="str">
        <f aca="false">IF(COUNT(U487:X487)=4,(U487-V487)/2,"")</f>
        <v/>
      </c>
      <c r="AA487" s="7" t="str">
        <f aca="false">IF(COUNT(U487:X487)=4,MAX(1,MIN(10,ROUNDUP(5-Z487,0))),"")</f>
        <v/>
      </c>
      <c r="AB487" s="7" t="str">
        <f aca="false">IF(COUNT(U487:X487)=4,MAX(1,MIN(10,ROUNDUP(Y487+5,0))),"")</f>
        <v/>
      </c>
      <c r="AC487" s="6"/>
      <c r="AD487" s="6"/>
    </row>
    <row r="488" customFormat="false" ht="15" hidden="false" customHeight="true" outlineLevel="0" collapsed="false">
      <c r="A488" s="5" t="n">
        <v>487</v>
      </c>
      <c r="B488" s="5" t="s">
        <v>1249</v>
      </c>
      <c r="C488" s="5" t="s">
        <v>171</v>
      </c>
      <c r="D488" s="5" t="s">
        <v>172</v>
      </c>
      <c r="E488" s="5" t="n">
        <v>227</v>
      </c>
      <c r="F488" s="5" t="s">
        <v>1250</v>
      </c>
      <c r="G488" s="5" t="n">
        <v>4</v>
      </c>
      <c r="H488" s="5" t="s">
        <v>53</v>
      </c>
      <c r="I488" s="5" t="s">
        <v>54</v>
      </c>
      <c r="J488" s="5" t="s">
        <v>181</v>
      </c>
      <c r="K488" s="5" t="s">
        <v>279</v>
      </c>
      <c r="L488" s="5" t="n">
        <v>5</v>
      </c>
      <c r="M488" s="5" t="n">
        <v>4</v>
      </c>
      <c r="N488" s="5" t="n">
        <v>5</v>
      </c>
      <c r="O488" s="5" t="n">
        <v>7</v>
      </c>
      <c r="P488" s="5" t="n">
        <v>-1</v>
      </c>
      <c r="Q488" s="5" t="n">
        <v>0.5</v>
      </c>
      <c r="R488" s="5" t="n">
        <v>5</v>
      </c>
      <c r="S488" s="5" t="n">
        <v>4</v>
      </c>
      <c r="T488" s="5" t="s">
        <v>1251</v>
      </c>
      <c r="U488" s="6"/>
      <c r="V488" s="6"/>
      <c r="W488" s="6"/>
      <c r="X488" s="6"/>
      <c r="Y488" s="7" t="str">
        <f aca="false">IF(COUNT(U488:X488)=4,(W488-X488)/2,"")</f>
        <v/>
      </c>
      <c r="Z488" s="7" t="str">
        <f aca="false">IF(COUNT(U488:X488)=4,(U488-V488)/2,"")</f>
        <v/>
      </c>
      <c r="AA488" s="7" t="str">
        <f aca="false">IF(COUNT(U488:X488)=4,MAX(1,MIN(10,ROUNDUP(5-Z488,0))),"")</f>
        <v/>
      </c>
      <c r="AB488" s="7" t="str">
        <f aca="false">IF(COUNT(U488:X488)=4,MAX(1,MIN(10,ROUNDUP(Y488+5,0))),"")</f>
        <v/>
      </c>
      <c r="AC488" s="6"/>
      <c r="AD488" s="6"/>
    </row>
    <row r="489" customFormat="false" ht="15" hidden="false" customHeight="true" outlineLevel="0" collapsed="false">
      <c r="A489" s="5" t="n">
        <v>488</v>
      </c>
      <c r="B489" s="5" t="s">
        <v>1252</v>
      </c>
      <c r="C489" s="5" t="s">
        <v>171</v>
      </c>
      <c r="D489" s="5" t="s">
        <v>172</v>
      </c>
      <c r="E489" s="5" t="n">
        <v>227</v>
      </c>
      <c r="F489" s="5" t="s">
        <v>1253</v>
      </c>
      <c r="G489" s="5" t="n">
        <v>4</v>
      </c>
      <c r="H489" s="5" t="s">
        <v>53</v>
      </c>
      <c r="I489" s="5" t="s">
        <v>54</v>
      </c>
      <c r="J489" s="5" t="s">
        <v>181</v>
      </c>
      <c r="K489" s="5" t="s">
        <v>279</v>
      </c>
      <c r="L489" s="5" t="n">
        <v>5</v>
      </c>
      <c r="M489" s="5" t="n">
        <v>7</v>
      </c>
      <c r="N489" s="5" t="n">
        <v>5</v>
      </c>
      <c r="O489" s="5" t="n">
        <v>7</v>
      </c>
      <c r="P489" s="5" t="n">
        <v>-1</v>
      </c>
      <c r="Q489" s="5" t="n">
        <v>-1</v>
      </c>
      <c r="R489" s="5" t="n">
        <v>6</v>
      </c>
      <c r="S489" s="5" t="n">
        <v>4</v>
      </c>
      <c r="T489" s="5" t="s">
        <v>1235</v>
      </c>
      <c r="U489" s="6"/>
      <c r="V489" s="6"/>
      <c r="W489" s="6"/>
      <c r="X489" s="6"/>
      <c r="Y489" s="7" t="str">
        <f aca="false">IF(COUNT(U489:X489)=4,(W489-X489)/2,"")</f>
        <v/>
      </c>
      <c r="Z489" s="7" t="str">
        <f aca="false">IF(COUNT(U489:X489)=4,(U489-V489)/2,"")</f>
        <v/>
      </c>
      <c r="AA489" s="7" t="str">
        <f aca="false">IF(COUNT(U489:X489)=4,MAX(1,MIN(10,ROUNDUP(5-Z489,0))),"")</f>
        <v/>
      </c>
      <c r="AB489" s="7" t="str">
        <f aca="false">IF(COUNT(U489:X489)=4,MAX(1,MIN(10,ROUNDUP(Y489+5,0))),"")</f>
        <v/>
      </c>
      <c r="AC489" s="6"/>
      <c r="AD489" s="6"/>
    </row>
    <row r="490" customFormat="false" ht="15" hidden="false" customHeight="true" outlineLevel="0" collapsed="false">
      <c r="A490" s="5" t="n">
        <v>489</v>
      </c>
      <c r="B490" s="5" t="s">
        <v>1254</v>
      </c>
      <c r="C490" s="5" t="s">
        <v>171</v>
      </c>
      <c r="D490" s="5" t="s">
        <v>172</v>
      </c>
      <c r="E490" s="5" t="n">
        <v>227</v>
      </c>
      <c r="F490" s="5" t="s">
        <v>1254</v>
      </c>
      <c r="G490" s="5" t="n">
        <v>4</v>
      </c>
      <c r="H490" s="5" t="s">
        <v>53</v>
      </c>
      <c r="I490" s="5" t="s">
        <v>54</v>
      </c>
      <c r="J490" s="5" t="s">
        <v>181</v>
      </c>
      <c r="K490" s="5" t="s">
        <v>179</v>
      </c>
      <c r="L490" s="5" t="n">
        <v>5</v>
      </c>
      <c r="M490" s="5" t="n">
        <v>5</v>
      </c>
      <c r="N490" s="5" t="n">
        <v>2</v>
      </c>
      <c r="O490" s="5" t="n">
        <v>6</v>
      </c>
      <c r="P490" s="5" t="n">
        <v>-2</v>
      </c>
      <c r="Q490" s="5" t="n">
        <v>0</v>
      </c>
      <c r="R490" s="5" t="n">
        <v>5</v>
      </c>
      <c r="S490" s="5" t="n">
        <v>3</v>
      </c>
      <c r="T490" s="5" t="s">
        <v>1255</v>
      </c>
      <c r="U490" s="6"/>
      <c r="V490" s="6"/>
      <c r="W490" s="6"/>
      <c r="X490" s="6"/>
      <c r="Y490" s="7" t="str">
        <f aca="false">IF(COUNT(U490:X490)=4,(W490-X490)/2,"")</f>
        <v/>
      </c>
      <c r="Z490" s="7" t="str">
        <f aca="false">IF(COUNT(U490:X490)=4,(U490-V490)/2,"")</f>
        <v/>
      </c>
      <c r="AA490" s="7" t="str">
        <f aca="false">IF(COUNT(U490:X490)=4,MAX(1,MIN(10,ROUNDUP(5-Z490,0))),"")</f>
        <v/>
      </c>
      <c r="AB490" s="7" t="str">
        <f aca="false">IF(COUNT(U490:X490)=4,MAX(1,MIN(10,ROUNDUP(Y490+5,0))),"")</f>
        <v/>
      </c>
      <c r="AC490" s="6"/>
      <c r="AD490" s="6"/>
    </row>
    <row r="491" customFormat="false" ht="15" hidden="false" customHeight="true" outlineLevel="0" collapsed="false">
      <c r="A491" s="5" t="n">
        <v>490</v>
      </c>
      <c r="B491" s="5" t="s">
        <v>1256</v>
      </c>
      <c r="C491" s="5" t="s">
        <v>171</v>
      </c>
      <c r="D491" s="5" t="s">
        <v>172</v>
      </c>
      <c r="E491" s="5" t="n">
        <v>226</v>
      </c>
      <c r="F491" s="5" t="s">
        <v>1257</v>
      </c>
      <c r="G491" s="5" t="n">
        <v>4</v>
      </c>
      <c r="H491" s="5" t="s">
        <v>53</v>
      </c>
      <c r="I491" s="5" t="s">
        <v>54</v>
      </c>
      <c r="J491" s="5" t="s">
        <v>181</v>
      </c>
      <c r="K491" s="5" t="s">
        <v>235</v>
      </c>
      <c r="L491" s="5" t="n">
        <v>4</v>
      </c>
      <c r="M491" s="5" t="n">
        <v>4</v>
      </c>
      <c r="N491" s="5" t="n">
        <v>7</v>
      </c>
      <c r="O491" s="5" t="n">
        <v>4</v>
      </c>
      <c r="P491" s="5" t="n">
        <v>1.5</v>
      </c>
      <c r="Q491" s="5" t="n">
        <v>0</v>
      </c>
      <c r="R491" s="5" t="n">
        <v>5</v>
      </c>
      <c r="S491" s="5" t="n">
        <v>7</v>
      </c>
      <c r="T491" s="5" t="s">
        <v>1258</v>
      </c>
      <c r="U491" s="6"/>
      <c r="V491" s="6"/>
      <c r="W491" s="6"/>
      <c r="X491" s="6"/>
      <c r="Y491" s="7" t="str">
        <f aca="false">IF(COUNT(U491:X491)=4,(W491-X491)/2,"")</f>
        <v/>
      </c>
      <c r="Z491" s="7" t="str">
        <f aca="false">IF(COUNT(U491:X491)=4,(U491-V491)/2,"")</f>
        <v/>
      </c>
      <c r="AA491" s="7" t="str">
        <f aca="false">IF(COUNT(U491:X491)=4,MAX(1,MIN(10,ROUNDUP(5-Z491,0))),"")</f>
        <v/>
      </c>
      <c r="AB491" s="7" t="str">
        <f aca="false">IF(COUNT(U491:X491)=4,MAX(1,MIN(10,ROUNDUP(Y491+5,0))),"")</f>
        <v/>
      </c>
      <c r="AC491" s="6"/>
      <c r="AD491" s="6"/>
    </row>
    <row r="492" customFormat="false" ht="15" hidden="false" customHeight="true" outlineLevel="0" collapsed="false">
      <c r="A492" s="5" t="n">
        <v>491</v>
      </c>
      <c r="B492" s="5" t="s">
        <v>1259</v>
      </c>
      <c r="C492" s="5" t="s">
        <v>145</v>
      </c>
      <c r="D492" s="5" t="s">
        <v>51</v>
      </c>
      <c r="E492" s="5" t="n">
        <v>225</v>
      </c>
      <c r="F492" s="5" t="s">
        <v>1260</v>
      </c>
      <c r="G492" s="5" t="n">
        <v>4</v>
      </c>
      <c r="H492" s="5" t="s">
        <v>53</v>
      </c>
      <c r="I492" s="5" t="s">
        <v>54</v>
      </c>
      <c r="J492" s="5" t="s">
        <v>55</v>
      </c>
      <c r="K492" s="5" t="s">
        <v>55</v>
      </c>
      <c r="L492" s="5" t="n">
        <v>6</v>
      </c>
      <c r="M492" s="5" t="n">
        <v>1</v>
      </c>
      <c r="N492" s="5" t="n">
        <v>6</v>
      </c>
      <c r="O492" s="5" t="n">
        <v>5</v>
      </c>
      <c r="P492" s="5" t="n">
        <v>0.5</v>
      </c>
      <c r="Q492" s="5" t="n">
        <v>2.5</v>
      </c>
      <c r="R492" s="5" t="n">
        <v>3</v>
      </c>
      <c r="S492" s="5" t="n">
        <v>6</v>
      </c>
      <c r="T492" s="5" t="s">
        <v>240</v>
      </c>
      <c r="U492" s="6"/>
      <c r="V492" s="6"/>
      <c r="W492" s="6"/>
      <c r="X492" s="6"/>
      <c r="Y492" s="7" t="str">
        <f aca="false">IF(COUNT(U492:X492)=4,(W492-X492)/2,"")</f>
        <v/>
      </c>
      <c r="Z492" s="7" t="str">
        <f aca="false">IF(COUNT(U492:X492)=4,(U492-V492)/2,"")</f>
        <v/>
      </c>
      <c r="AA492" s="7" t="str">
        <f aca="false">IF(COUNT(U492:X492)=4,MAX(1,MIN(10,ROUNDUP(5-Z492,0))),"")</f>
        <v/>
      </c>
      <c r="AB492" s="7" t="str">
        <f aca="false">IF(COUNT(U492:X492)=4,MAX(1,MIN(10,ROUNDUP(Y492+5,0))),"")</f>
        <v/>
      </c>
      <c r="AC492" s="6"/>
      <c r="AD492" s="6"/>
    </row>
    <row r="493" customFormat="false" ht="15" hidden="false" customHeight="true" outlineLevel="0" collapsed="false">
      <c r="A493" s="5" t="n">
        <v>492</v>
      </c>
      <c r="B493" s="5" t="s">
        <v>1261</v>
      </c>
      <c r="C493" s="5" t="s">
        <v>171</v>
      </c>
      <c r="D493" s="5" t="s">
        <v>172</v>
      </c>
      <c r="E493" s="5" t="n">
        <v>223</v>
      </c>
      <c r="F493" s="5" t="s">
        <v>1262</v>
      </c>
      <c r="G493" s="5" t="n">
        <v>4</v>
      </c>
      <c r="H493" s="5" t="s">
        <v>53</v>
      </c>
      <c r="I493" s="5" t="s">
        <v>54</v>
      </c>
      <c r="J493" s="5" t="s">
        <v>181</v>
      </c>
      <c r="K493" s="5" t="s">
        <v>443</v>
      </c>
      <c r="L493" s="5" t="n">
        <v>5</v>
      </c>
      <c r="M493" s="5" t="n">
        <v>3</v>
      </c>
      <c r="N493" s="5" t="n">
        <v>4</v>
      </c>
      <c r="O493" s="5" t="n">
        <v>8</v>
      </c>
      <c r="P493" s="5" t="n">
        <v>-2</v>
      </c>
      <c r="Q493" s="5" t="n">
        <v>1</v>
      </c>
      <c r="R493" s="5" t="n">
        <v>4</v>
      </c>
      <c r="S493" s="5" t="n">
        <v>3</v>
      </c>
      <c r="T493" s="5" t="s">
        <v>1263</v>
      </c>
      <c r="U493" s="6"/>
      <c r="V493" s="6"/>
      <c r="W493" s="6"/>
      <c r="X493" s="6"/>
      <c r="Y493" s="7" t="str">
        <f aca="false">IF(COUNT(U493:X493)=4,(W493-X493)/2,"")</f>
        <v/>
      </c>
      <c r="Z493" s="7" t="str">
        <f aca="false">IF(COUNT(U493:X493)=4,(U493-V493)/2,"")</f>
        <v/>
      </c>
      <c r="AA493" s="7" t="str">
        <f aca="false">IF(COUNT(U493:X493)=4,MAX(1,MIN(10,ROUNDUP(5-Z493,0))),"")</f>
        <v/>
      </c>
      <c r="AB493" s="7" t="str">
        <f aca="false">IF(COUNT(U493:X493)=4,MAX(1,MIN(10,ROUNDUP(Y493+5,0))),"")</f>
        <v/>
      </c>
      <c r="AC493" s="6"/>
      <c r="AD493" s="6"/>
    </row>
    <row r="494" customFormat="false" ht="15" hidden="false" customHeight="true" outlineLevel="0" collapsed="false">
      <c r="A494" s="5" t="n">
        <v>493</v>
      </c>
      <c r="B494" s="5" t="s">
        <v>1264</v>
      </c>
      <c r="C494" s="5" t="s">
        <v>145</v>
      </c>
      <c r="D494" s="5" t="s">
        <v>51</v>
      </c>
      <c r="E494" s="5" t="n">
        <v>223</v>
      </c>
      <c r="F494" s="5" t="s">
        <v>1265</v>
      </c>
      <c r="G494" s="5" t="n">
        <v>4</v>
      </c>
      <c r="H494" s="5" t="s">
        <v>53</v>
      </c>
      <c r="I494" s="5" t="s">
        <v>54</v>
      </c>
      <c r="J494" s="5" t="s">
        <v>181</v>
      </c>
      <c r="K494" s="5" t="s">
        <v>235</v>
      </c>
      <c r="L494" s="5" t="n">
        <v>4</v>
      </c>
      <c r="M494" s="5" t="n">
        <v>4</v>
      </c>
      <c r="N494" s="5" t="n">
        <v>7</v>
      </c>
      <c r="O494" s="5" t="n">
        <v>4</v>
      </c>
      <c r="P494" s="5" t="n">
        <v>1.5</v>
      </c>
      <c r="Q494" s="5" t="n">
        <v>0</v>
      </c>
      <c r="R494" s="5" t="n">
        <v>5</v>
      </c>
      <c r="S494" s="5" t="n">
        <v>7</v>
      </c>
      <c r="T494" s="5" t="s">
        <v>1266</v>
      </c>
      <c r="U494" s="6"/>
      <c r="V494" s="6"/>
      <c r="W494" s="6"/>
      <c r="X494" s="6"/>
      <c r="Y494" s="7" t="str">
        <f aca="false">IF(COUNT(U494:X494)=4,(W494-X494)/2,"")</f>
        <v/>
      </c>
      <c r="Z494" s="7" t="str">
        <f aca="false">IF(COUNT(U494:X494)=4,(U494-V494)/2,"")</f>
        <v/>
      </c>
      <c r="AA494" s="7" t="str">
        <f aca="false">IF(COUNT(U494:X494)=4,MAX(1,MIN(10,ROUNDUP(5-Z494,0))),"")</f>
        <v/>
      </c>
      <c r="AB494" s="7" t="str">
        <f aca="false">IF(COUNT(U494:X494)=4,MAX(1,MIN(10,ROUNDUP(Y494+5,0))),"")</f>
        <v/>
      </c>
      <c r="AC494" s="6"/>
      <c r="AD494" s="6"/>
    </row>
    <row r="495" customFormat="false" ht="15" hidden="false" customHeight="true" outlineLevel="0" collapsed="false">
      <c r="A495" s="5" t="n">
        <v>494</v>
      </c>
      <c r="B495" s="5" t="s">
        <v>1267</v>
      </c>
      <c r="C495" s="5" t="s">
        <v>203</v>
      </c>
      <c r="D495" s="5" t="s">
        <v>204</v>
      </c>
      <c r="E495" s="5" t="n">
        <v>223</v>
      </c>
      <c r="F495" s="5" t="s">
        <v>1268</v>
      </c>
      <c r="G495" s="5" t="n">
        <v>4</v>
      </c>
      <c r="H495" s="5" t="s">
        <v>53</v>
      </c>
      <c r="I495" s="5" t="s">
        <v>54</v>
      </c>
      <c r="J495" s="5" t="s">
        <v>117</v>
      </c>
      <c r="K495" s="5" t="s">
        <v>117</v>
      </c>
      <c r="L495" s="5" t="n">
        <v>6</v>
      </c>
      <c r="M495" s="5" t="n">
        <v>1</v>
      </c>
      <c r="N495" s="5" t="n">
        <v>2</v>
      </c>
      <c r="O495" s="5" t="n">
        <v>7</v>
      </c>
      <c r="P495" s="5" t="n">
        <v>-2.5</v>
      </c>
      <c r="Q495" s="5" t="n">
        <v>2.5</v>
      </c>
      <c r="R495" s="5" t="n">
        <v>3</v>
      </c>
      <c r="S495" s="5" t="n">
        <v>3</v>
      </c>
      <c r="T495" s="5" t="s">
        <v>1269</v>
      </c>
      <c r="U495" s="6"/>
      <c r="V495" s="6"/>
      <c r="W495" s="6"/>
      <c r="X495" s="6"/>
      <c r="Y495" s="7" t="str">
        <f aca="false">IF(COUNT(U495:X495)=4,(W495-X495)/2,"")</f>
        <v/>
      </c>
      <c r="Z495" s="7" t="str">
        <f aca="false">IF(COUNT(U495:X495)=4,(U495-V495)/2,"")</f>
        <v/>
      </c>
      <c r="AA495" s="7" t="str">
        <f aca="false">IF(COUNT(U495:X495)=4,MAX(1,MIN(10,ROUNDUP(5-Z495,0))),"")</f>
        <v/>
      </c>
      <c r="AB495" s="7" t="str">
        <f aca="false">IF(COUNT(U495:X495)=4,MAX(1,MIN(10,ROUNDUP(Y495+5,0))),"")</f>
        <v/>
      </c>
      <c r="AC495" s="6"/>
      <c r="AD495" s="6"/>
    </row>
    <row r="496" customFormat="false" ht="15" hidden="false" customHeight="true" outlineLevel="0" collapsed="false">
      <c r="A496" s="5" t="n">
        <v>495</v>
      </c>
      <c r="B496" s="5" t="s">
        <v>1270</v>
      </c>
      <c r="C496" s="5" t="s">
        <v>171</v>
      </c>
      <c r="D496" s="5" t="s">
        <v>172</v>
      </c>
      <c r="E496" s="5" t="n">
        <v>223</v>
      </c>
      <c r="F496" s="5" t="s">
        <v>1271</v>
      </c>
      <c r="G496" s="5" t="n">
        <v>4</v>
      </c>
      <c r="H496" s="5" t="s">
        <v>53</v>
      </c>
      <c r="I496" s="5" t="s">
        <v>54</v>
      </c>
      <c r="J496" s="5" t="s">
        <v>181</v>
      </c>
      <c r="K496" s="5" t="s">
        <v>593</v>
      </c>
      <c r="L496" s="5" t="n">
        <v>2</v>
      </c>
      <c r="M496" s="5" t="n">
        <v>6</v>
      </c>
      <c r="N496" s="5" t="n">
        <v>7</v>
      </c>
      <c r="O496" s="5" t="n">
        <v>3</v>
      </c>
      <c r="P496" s="5" t="n">
        <v>2</v>
      </c>
      <c r="Q496" s="5" t="n">
        <v>-2</v>
      </c>
      <c r="R496" s="5" t="n">
        <v>7</v>
      </c>
      <c r="S496" s="5" t="n">
        <v>7</v>
      </c>
      <c r="T496" s="5" t="s">
        <v>1272</v>
      </c>
      <c r="U496" s="6"/>
      <c r="V496" s="6"/>
      <c r="W496" s="6"/>
      <c r="X496" s="6"/>
      <c r="Y496" s="7" t="str">
        <f aca="false">IF(COUNT(U496:X496)=4,(W496-X496)/2,"")</f>
        <v/>
      </c>
      <c r="Z496" s="7" t="str">
        <f aca="false">IF(COUNT(U496:X496)=4,(U496-V496)/2,"")</f>
        <v/>
      </c>
      <c r="AA496" s="7" t="str">
        <f aca="false">IF(COUNT(U496:X496)=4,MAX(1,MIN(10,ROUNDUP(5-Z496,0))),"")</f>
        <v/>
      </c>
      <c r="AB496" s="7" t="str">
        <f aca="false">IF(COUNT(U496:X496)=4,MAX(1,MIN(10,ROUNDUP(Y496+5,0))),"")</f>
        <v/>
      </c>
      <c r="AC496" s="6"/>
      <c r="AD496" s="6"/>
    </row>
    <row r="497" customFormat="false" ht="15" hidden="false" customHeight="true" outlineLevel="0" collapsed="false">
      <c r="A497" s="5" t="n">
        <v>496</v>
      </c>
      <c r="B497" s="5" t="s">
        <v>1273</v>
      </c>
      <c r="C497" s="5" t="s">
        <v>171</v>
      </c>
      <c r="D497" s="5" t="s">
        <v>172</v>
      </c>
      <c r="E497" s="5" t="n">
        <v>223</v>
      </c>
      <c r="F497" s="5" t="s">
        <v>1274</v>
      </c>
      <c r="G497" s="5" t="n">
        <v>4</v>
      </c>
      <c r="H497" s="5" t="s">
        <v>53</v>
      </c>
      <c r="I497" s="5" t="s">
        <v>54</v>
      </c>
      <c r="J497" s="5" t="s">
        <v>181</v>
      </c>
      <c r="K497" s="5" t="s">
        <v>223</v>
      </c>
      <c r="L497" s="5" t="n">
        <v>3</v>
      </c>
      <c r="M497" s="5" t="n">
        <v>4</v>
      </c>
      <c r="N497" s="5" t="n">
        <v>6</v>
      </c>
      <c r="O497" s="5" t="n">
        <v>4</v>
      </c>
      <c r="P497" s="5" t="n">
        <v>1</v>
      </c>
      <c r="Q497" s="5" t="n">
        <v>-0.5</v>
      </c>
      <c r="R497" s="5" t="n">
        <v>6</v>
      </c>
      <c r="S497" s="5" t="n">
        <v>6</v>
      </c>
      <c r="T497" s="5" t="s">
        <v>750</v>
      </c>
      <c r="U497" s="6"/>
      <c r="V497" s="6"/>
      <c r="W497" s="6"/>
      <c r="X497" s="6"/>
      <c r="Y497" s="7" t="str">
        <f aca="false">IF(COUNT(U497:X497)=4,(W497-X497)/2,"")</f>
        <v/>
      </c>
      <c r="Z497" s="7" t="str">
        <f aca="false">IF(COUNT(U497:X497)=4,(U497-V497)/2,"")</f>
        <v/>
      </c>
      <c r="AA497" s="7" t="str">
        <f aca="false">IF(COUNT(U497:X497)=4,MAX(1,MIN(10,ROUNDUP(5-Z497,0))),"")</f>
        <v/>
      </c>
      <c r="AB497" s="7" t="str">
        <f aca="false">IF(COUNT(U497:X497)=4,MAX(1,MIN(10,ROUNDUP(Y497+5,0))),"")</f>
        <v/>
      </c>
      <c r="AC497" s="6"/>
      <c r="AD497" s="6"/>
    </row>
    <row r="498" customFormat="false" ht="15" hidden="false" customHeight="true" outlineLevel="0" collapsed="false">
      <c r="A498" s="5" t="n">
        <v>497</v>
      </c>
      <c r="B498" s="5" t="s">
        <v>1275</v>
      </c>
      <c r="C498" s="5" t="s">
        <v>171</v>
      </c>
      <c r="D498" s="5" t="s">
        <v>172</v>
      </c>
      <c r="E498" s="5" t="n">
        <v>222</v>
      </c>
      <c r="F498" s="5" t="s">
        <v>1276</v>
      </c>
      <c r="G498" s="5" t="n">
        <v>4</v>
      </c>
      <c r="H498" s="5" t="s">
        <v>53</v>
      </c>
      <c r="I498" s="5" t="s">
        <v>54</v>
      </c>
      <c r="J498" s="5" t="s">
        <v>181</v>
      </c>
      <c r="K498" s="5" t="s">
        <v>673</v>
      </c>
      <c r="L498" s="5" t="n">
        <v>4</v>
      </c>
      <c r="M498" s="5" t="n">
        <v>5</v>
      </c>
      <c r="N498" s="5" t="n">
        <v>5</v>
      </c>
      <c r="O498" s="5" t="n">
        <v>6</v>
      </c>
      <c r="P498" s="5" t="n">
        <v>-0.5</v>
      </c>
      <c r="Q498" s="5" t="n">
        <v>-0.5</v>
      </c>
      <c r="R498" s="5" t="n">
        <v>6</v>
      </c>
      <c r="S498" s="5" t="n">
        <v>5</v>
      </c>
      <c r="T498" s="5" t="s">
        <v>1277</v>
      </c>
      <c r="U498" s="6"/>
      <c r="V498" s="6"/>
      <c r="W498" s="6"/>
      <c r="X498" s="6"/>
      <c r="Y498" s="7" t="str">
        <f aca="false">IF(COUNT(U498:X498)=4,(W498-X498)/2,"")</f>
        <v/>
      </c>
      <c r="Z498" s="7" t="str">
        <f aca="false">IF(COUNT(U498:X498)=4,(U498-V498)/2,"")</f>
        <v/>
      </c>
      <c r="AA498" s="7" t="str">
        <f aca="false">IF(COUNT(U498:X498)=4,MAX(1,MIN(10,ROUNDUP(5-Z498,0))),"")</f>
        <v/>
      </c>
      <c r="AB498" s="7" t="str">
        <f aca="false">IF(COUNT(U498:X498)=4,MAX(1,MIN(10,ROUNDUP(Y498+5,0))),"")</f>
        <v/>
      </c>
      <c r="AC498" s="6"/>
      <c r="AD498" s="6"/>
    </row>
    <row r="499" customFormat="false" ht="15" hidden="false" customHeight="true" outlineLevel="0" collapsed="false">
      <c r="A499" s="5" t="n">
        <v>498</v>
      </c>
      <c r="B499" s="5" t="s">
        <v>1278</v>
      </c>
      <c r="C499" s="5" t="s">
        <v>171</v>
      </c>
      <c r="D499" s="5" t="s">
        <v>172</v>
      </c>
      <c r="E499" s="5" t="n">
        <v>222</v>
      </c>
      <c r="F499" s="5" t="s">
        <v>1279</v>
      </c>
      <c r="G499" s="5" t="n">
        <v>4</v>
      </c>
      <c r="H499" s="5" t="s">
        <v>53</v>
      </c>
      <c r="I499" s="5" t="s">
        <v>54</v>
      </c>
      <c r="J499" s="5" t="s">
        <v>181</v>
      </c>
      <c r="K499" s="5" t="s">
        <v>413</v>
      </c>
      <c r="L499" s="5" t="n">
        <v>5</v>
      </c>
      <c r="M499" s="5" t="n">
        <v>3</v>
      </c>
      <c r="N499" s="5" t="n">
        <v>3</v>
      </c>
      <c r="O499" s="5" t="n">
        <v>8</v>
      </c>
      <c r="P499" s="5" t="n">
        <v>-2.5</v>
      </c>
      <c r="Q499" s="5" t="n">
        <v>1</v>
      </c>
      <c r="R499" s="5" t="n">
        <v>4</v>
      </c>
      <c r="S499" s="5" t="n">
        <v>3</v>
      </c>
      <c r="T499" s="5" t="s">
        <v>1280</v>
      </c>
      <c r="U499" s="6"/>
      <c r="V499" s="6"/>
      <c r="W499" s="6"/>
      <c r="X499" s="6"/>
      <c r="Y499" s="7" t="str">
        <f aca="false">IF(COUNT(U499:X499)=4,(W499-X499)/2,"")</f>
        <v/>
      </c>
      <c r="Z499" s="7" t="str">
        <f aca="false">IF(COUNT(U499:X499)=4,(U499-V499)/2,"")</f>
        <v/>
      </c>
      <c r="AA499" s="7" t="str">
        <f aca="false">IF(COUNT(U499:X499)=4,MAX(1,MIN(10,ROUNDUP(5-Z499,0))),"")</f>
        <v/>
      </c>
      <c r="AB499" s="7" t="str">
        <f aca="false">IF(COUNT(U499:X499)=4,MAX(1,MIN(10,ROUNDUP(Y499+5,0))),"")</f>
        <v/>
      </c>
      <c r="AC499" s="6"/>
      <c r="AD499" s="6"/>
    </row>
    <row r="500" customFormat="false" ht="15" hidden="false" customHeight="true" outlineLevel="0" collapsed="false">
      <c r="A500" s="5" t="n">
        <v>499</v>
      </c>
      <c r="B500" s="5" t="s">
        <v>1281</v>
      </c>
      <c r="C500" s="5" t="s">
        <v>171</v>
      </c>
      <c r="D500" s="5" t="s">
        <v>172</v>
      </c>
      <c r="E500" s="5" t="n">
        <v>222</v>
      </c>
      <c r="F500" s="5" t="s">
        <v>1282</v>
      </c>
      <c r="G500" s="5" t="n">
        <v>4</v>
      </c>
      <c r="H500" s="5" t="s">
        <v>53</v>
      </c>
      <c r="I500" s="5" t="s">
        <v>54</v>
      </c>
      <c r="J500" s="5" t="s">
        <v>181</v>
      </c>
      <c r="K500" s="5" t="s">
        <v>673</v>
      </c>
      <c r="L500" s="5" t="n">
        <v>4</v>
      </c>
      <c r="M500" s="5" t="n">
        <v>4</v>
      </c>
      <c r="N500" s="5" t="n">
        <v>5</v>
      </c>
      <c r="O500" s="5" t="n">
        <v>6</v>
      </c>
      <c r="P500" s="5" t="n">
        <v>-0.5</v>
      </c>
      <c r="Q500" s="5" t="n">
        <v>0</v>
      </c>
      <c r="R500" s="5" t="n">
        <v>5</v>
      </c>
      <c r="S500" s="5" t="n">
        <v>5</v>
      </c>
      <c r="T500" s="5" t="s">
        <v>125</v>
      </c>
      <c r="U500" s="6"/>
      <c r="V500" s="6"/>
      <c r="W500" s="6"/>
      <c r="X500" s="6"/>
      <c r="Y500" s="7" t="str">
        <f aca="false">IF(COUNT(U500:X500)=4,(W500-X500)/2,"")</f>
        <v/>
      </c>
      <c r="Z500" s="7" t="str">
        <f aca="false">IF(COUNT(U500:X500)=4,(U500-V500)/2,"")</f>
        <v/>
      </c>
      <c r="AA500" s="7" t="str">
        <f aca="false">IF(COUNT(U500:X500)=4,MAX(1,MIN(10,ROUNDUP(5-Z500,0))),"")</f>
        <v/>
      </c>
      <c r="AB500" s="7" t="str">
        <f aca="false">IF(COUNT(U500:X500)=4,MAX(1,MIN(10,ROUNDUP(Y500+5,0))),"")</f>
        <v/>
      </c>
      <c r="AC500" s="6"/>
      <c r="AD500" s="6"/>
    </row>
    <row r="501" customFormat="false" ht="15" hidden="false" customHeight="true" outlineLevel="0" collapsed="false">
      <c r="A501" s="5" t="n">
        <v>500</v>
      </c>
      <c r="B501" s="5" t="s">
        <v>1283</v>
      </c>
      <c r="C501" s="5" t="s">
        <v>171</v>
      </c>
      <c r="D501" s="5" t="s">
        <v>172</v>
      </c>
      <c r="E501" s="5" t="n">
        <v>221</v>
      </c>
      <c r="F501" s="5" t="s">
        <v>1284</v>
      </c>
      <c r="G501" s="5" t="n">
        <v>4</v>
      </c>
      <c r="H501" s="5" t="s">
        <v>53</v>
      </c>
      <c r="I501" s="5" t="s">
        <v>54</v>
      </c>
      <c r="J501" s="5" t="s">
        <v>181</v>
      </c>
      <c r="K501" s="5" t="s">
        <v>574</v>
      </c>
      <c r="L501" s="5" t="n">
        <v>3</v>
      </c>
      <c r="M501" s="5" t="n">
        <v>5</v>
      </c>
      <c r="N501" s="5" t="n">
        <v>4</v>
      </c>
      <c r="O501" s="5" t="n">
        <v>7</v>
      </c>
      <c r="P501" s="5" t="n">
        <v>-1.5</v>
      </c>
      <c r="Q501" s="5" t="n">
        <v>-1</v>
      </c>
      <c r="R501" s="5" t="n">
        <v>6</v>
      </c>
      <c r="S501" s="5" t="n">
        <v>4</v>
      </c>
      <c r="T501" s="5" t="s">
        <v>1285</v>
      </c>
      <c r="U501" s="6"/>
      <c r="V501" s="6"/>
      <c r="W501" s="6"/>
      <c r="X501" s="6"/>
      <c r="Y501" s="7" t="str">
        <f aca="false">IF(COUNT(U501:X501)=4,(W501-X501)/2,"")</f>
        <v/>
      </c>
      <c r="Z501" s="7" t="str">
        <f aca="false">IF(COUNT(U501:X501)=4,(U501-V501)/2,"")</f>
        <v/>
      </c>
      <c r="AA501" s="7" t="str">
        <f aca="false">IF(COUNT(U501:X501)=4,MAX(1,MIN(10,ROUNDUP(5-Z501,0))),"")</f>
        <v/>
      </c>
      <c r="AB501" s="7" t="str">
        <f aca="false">IF(COUNT(U501:X501)=4,MAX(1,MIN(10,ROUNDUP(Y501+5,0))),"")</f>
        <v/>
      </c>
      <c r="AC501" s="6"/>
      <c r="AD501" s="6"/>
    </row>
    <row r="502" customFormat="false" ht="15" hidden="false" customHeight="true" outlineLevel="0" collapsed="false">
      <c r="A502" s="5" t="n">
        <v>501</v>
      </c>
      <c r="B502" s="5" t="s">
        <v>1286</v>
      </c>
      <c r="C502" s="5" t="s">
        <v>171</v>
      </c>
      <c r="D502" s="5" t="s">
        <v>172</v>
      </c>
      <c r="E502" s="5" t="n">
        <v>221</v>
      </c>
      <c r="F502" s="5" t="s">
        <v>1287</v>
      </c>
      <c r="G502" s="5" t="n">
        <v>4</v>
      </c>
      <c r="H502" s="5" t="s">
        <v>53</v>
      </c>
      <c r="I502" s="5" t="s">
        <v>54</v>
      </c>
      <c r="J502" s="5" t="s">
        <v>181</v>
      </c>
      <c r="K502" s="5" t="s">
        <v>179</v>
      </c>
      <c r="L502" s="5" t="n">
        <v>2</v>
      </c>
      <c r="M502" s="5" t="n">
        <v>6</v>
      </c>
      <c r="N502" s="5" t="n">
        <v>2</v>
      </c>
      <c r="O502" s="5" t="n">
        <v>6</v>
      </c>
      <c r="P502" s="5" t="n">
        <v>-2</v>
      </c>
      <c r="Q502" s="5" t="n">
        <v>-2</v>
      </c>
      <c r="R502" s="5" t="n">
        <v>7</v>
      </c>
      <c r="S502" s="5" t="n">
        <v>3</v>
      </c>
      <c r="T502" s="5" t="s">
        <v>1288</v>
      </c>
      <c r="U502" s="6"/>
      <c r="V502" s="6"/>
      <c r="W502" s="6"/>
      <c r="X502" s="6"/>
      <c r="Y502" s="7" t="str">
        <f aca="false">IF(COUNT(U502:X502)=4,(W502-X502)/2,"")</f>
        <v/>
      </c>
      <c r="Z502" s="7" t="str">
        <f aca="false">IF(COUNT(U502:X502)=4,(U502-V502)/2,"")</f>
        <v/>
      </c>
      <c r="AA502" s="7" t="str">
        <f aca="false">IF(COUNT(U502:X502)=4,MAX(1,MIN(10,ROUNDUP(5-Z502,0))),"")</f>
        <v/>
      </c>
      <c r="AB502" s="7" t="str">
        <f aca="false">IF(COUNT(U502:X502)=4,MAX(1,MIN(10,ROUNDUP(Y502+5,0))),"")</f>
        <v/>
      </c>
      <c r="AC502" s="6"/>
      <c r="AD502" s="6"/>
    </row>
    <row r="503" customFormat="false" ht="15" hidden="false" customHeight="true" outlineLevel="0" collapsed="false">
      <c r="A503" s="5" t="n">
        <v>502</v>
      </c>
      <c r="B503" s="5" t="s">
        <v>1289</v>
      </c>
      <c r="C503" s="5" t="s">
        <v>171</v>
      </c>
      <c r="D503" s="5" t="s">
        <v>172</v>
      </c>
      <c r="E503" s="5" t="n">
        <v>221</v>
      </c>
      <c r="F503" s="5" t="s">
        <v>1290</v>
      </c>
      <c r="G503" s="5" t="n">
        <v>4</v>
      </c>
      <c r="H503" s="5" t="s">
        <v>53</v>
      </c>
      <c r="I503" s="5" t="s">
        <v>54</v>
      </c>
      <c r="J503" s="5" t="s">
        <v>181</v>
      </c>
      <c r="K503" s="5" t="s">
        <v>333</v>
      </c>
      <c r="L503" s="5" t="n">
        <v>2</v>
      </c>
      <c r="M503" s="5" t="n">
        <v>4</v>
      </c>
      <c r="N503" s="5" t="n">
        <v>8</v>
      </c>
      <c r="O503" s="5" t="n">
        <v>2</v>
      </c>
      <c r="P503" s="5" t="n">
        <v>3</v>
      </c>
      <c r="Q503" s="5" t="n">
        <v>-1</v>
      </c>
      <c r="R503" s="5" t="n">
        <v>6</v>
      </c>
      <c r="S503" s="5" t="n">
        <v>8</v>
      </c>
      <c r="T503" s="5" t="s">
        <v>1291</v>
      </c>
      <c r="U503" s="6"/>
      <c r="V503" s="6"/>
      <c r="W503" s="6"/>
      <c r="X503" s="6"/>
      <c r="Y503" s="7" t="str">
        <f aca="false">IF(COUNT(U503:X503)=4,(W503-X503)/2,"")</f>
        <v/>
      </c>
      <c r="Z503" s="7" t="str">
        <f aca="false">IF(COUNT(U503:X503)=4,(U503-V503)/2,"")</f>
        <v/>
      </c>
      <c r="AA503" s="7" t="str">
        <f aca="false">IF(COUNT(U503:X503)=4,MAX(1,MIN(10,ROUNDUP(5-Z503,0))),"")</f>
        <v/>
      </c>
      <c r="AB503" s="7" t="str">
        <f aca="false">IF(COUNT(U503:X503)=4,MAX(1,MIN(10,ROUNDUP(Y503+5,0))),"")</f>
        <v/>
      </c>
      <c r="AC503" s="6"/>
      <c r="AD503" s="6"/>
    </row>
    <row r="504" customFormat="false" ht="15" hidden="false" customHeight="true" outlineLevel="0" collapsed="false">
      <c r="A504" s="5" t="n">
        <v>503</v>
      </c>
      <c r="B504" s="5" t="s">
        <v>1292</v>
      </c>
      <c r="C504" s="5" t="s">
        <v>108</v>
      </c>
      <c r="D504" s="5" t="s">
        <v>109</v>
      </c>
      <c r="E504" s="5" t="n">
        <v>221</v>
      </c>
      <c r="F504" s="5" t="s">
        <v>1292</v>
      </c>
      <c r="G504" s="5" t="n">
        <v>2</v>
      </c>
      <c r="H504" s="5" t="s">
        <v>47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 t="s">
        <v>1293</v>
      </c>
      <c r="U504" s="6"/>
      <c r="V504" s="6"/>
      <c r="W504" s="6"/>
      <c r="X504" s="6"/>
      <c r="Y504" s="7" t="str">
        <f aca="false">IF(COUNT(U504:X504)=4,(W504-X504)/2,"")</f>
        <v/>
      </c>
      <c r="Z504" s="7" t="str">
        <f aca="false">IF(COUNT(U504:X504)=4,(U504-V504)/2,"")</f>
        <v/>
      </c>
      <c r="AA504" s="7" t="str">
        <f aca="false">IF(COUNT(U504:X504)=4,MAX(1,MIN(10,ROUNDUP(5-Z504,0))),"")</f>
        <v/>
      </c>
      <c r="AB504" s="7" t="str">
        <f aca="false">IF(COUNT(U504:X504)=4,MAX(1,MIN(10,ROUNDUP(Y504+5,0))),"")</f>
        <v/>
      </c>
      <c r="AC504" s="6"/>
      <c r="AD504" s="6"/>
    </row>
    <row r="505" customFormat="false" ht="15" hidden="false" customHeight="true" outlineLevel="0" collapsed="false">
      <c r="A505" s="5" t="n">
        <v>504</v>
      </c>
      <c r="B505" s="5" t="s">
        <v>1294</v>
      </c>
      <c r="C505" s="5" t="s">
        <v>171</v>
      </c>
      <c r="D505" s="5" t="s">
        <v>172</v>
      </c>
      <c r="E505" s="5" t="n">
        <v>220</v>
      </c>
      <c r="F505" s="5" t="s">
        <v>1295</v>
      </c>
      <c r="G505" s="5" t="n">
        <v>4</v>
      </c>
      <c r="H505" s="5" t="s">
        <v>53</v>
      </c>
      <c r="I505" s="5" t="s">
        <v>54</v>
      </c>
      <c r="J505" s="5" t="s">
        <v>181</v>
      </c>
      <c r="K505" s="5" t="s">
        <v>235</v>
      </c>
      <c r="L505" s="5" t="n">
        <v>4</v>
      </c>
      <c r="M505" s="5" t="n">
        <v>4</v>
      </c>
      <c r="N505" s="5" t="n">
        <v>7</v>
      </c>
      <c r="O505" s="5" t="n">
        <v>4</v>
      </c>
      <c r="P505" s="5" t="n">
        <v>1.5</v>
      </c>
      <c r="Q505" s="5" t="n">
        <v>0</v>
      </c>
      <c r="R505" s="5" t="n">
        <v>5</v>
      </c>
      <c r="S505" s="5" t="n">
        <v>7</v>
      </c>
      <c r="T505" s="5" t="s">
        <v>1296</v>
      </c>
      <c r="U505" s="6"/>
      <c r="V505" s="6"/>
      <c r="W505" s="6"/>
      <c r="X505" s="6"/>
      <c r="Y505" s="7" t="str">
        <f aca="false">IF(COUNT(U505:X505)=4,(W505-X505)/2,"")</f>
        <v/>
      </c>
      <c r="Z505" s="7" t="str">
        <f aca="false">IF(COUNT(U505:X505)=4,(U505-V505)/2,"")</f>
        <v/>
      </c>
      <c r="AA505" s="7" t="str">
        <f aca="false">IF(COUNT(U505:X505)=4,MAX(1,MIN(10,ROUNDUP(5-Z505,0))),"")</f>
        <v/>
      </c>
      <c r="AB505" s="7" t="str">
        <f aca="false">IF(COUNT(U505:X505)=4,MAX(1,MIN(10,ROUNDUP(Y505+5,0))),"")</f>
        <v/>
      </c>
      <c r="AC505" s="6"/>
      <c r="AD505" s="6"/>
    </row>
    <row r="506" customFormat="false" ht="15" hidden="false" customHeight="true" outlineLevel="0" collapsed="false">
      <c r="A506" s="5" t="n">
        <v>505</v>
      </c>
      <c r="B506" s="5" t="s">
        <v>1297</v>
      </c>
      <c r="C506" s="5" t="s">
        <v>127</v>
      </c>
      <c r="D506" s="5" t="s">
        <v>128</v>
      </c>
      <c r="E506" s="5" t="n">
        <v>220</v>
      </c>
      <c r="F506" s="5" t="s">
        <v>1297</v>
      </c>
      <c r="G506" s="5" t="n">
        <v>4</v>
      </c>
      <c r="H506" s="5" t="s">
        <v>53</v>
      </c>
      <c r="I506" s="5" t="s">
        <v>54</v>
      </c>
      <c r="J506" s="5" t="s">
        <v>117</v>
      </c>
      <c r="K506" s="5" t="s">
        <v>117</v>
      </c>
      <c r="L506" s="5" t="n">
        <v>3</v>
      </c>
      <c r="M506" s="5" t="n">
        <v>1</v>
      </c>
      <c r="N506" s="5" t="n">
        <v>2</v>
      </c>
      <c r="O506" s="5" t="n">
        <v>7</v>
      </c>
      <c r="P506" s="5" t="n">
        <v>-2.5</v>
      </c>
      <c r="Q506" s="5" t="n">
        <v>1</v>
      </c>
      <c r="R506" s="5" t="n">
        <v>4</v>
      </c>
      <c r="S506" s="5" t="n">
        <v>3</v>
      </c>
      <c r="T506" s="5" t="s">
        <v>214</v>
      </c>
      <c r="U506" s="6"/>
      <c r="V506" s="6"/>
      <c r="W506" s="6"/>
      <c r="X506" s="6"/>
      <c r="Y506" s="7" t="str">
        <f aca="false">IF(COUNT(U506:X506)=4,(W506-X506)/2,"")</f>
        <v/>
      </c>
      <c r="Z506" s="7" t="str">
        <f aca="false">IF(COUNT(U506:X506)=4,(U506-V506)/2,"")</f>
        <v/>
      </c>
      <c r="AA506" s="7" t="str">
        <f aca="false">IF(COUNT(U506:X506)=4,MAX(1,MIN(10,ROUNDUP(5-Z506,0))),"")</f>
        <v/>
      </c>
      <c r="AB506" s="7" t="str">
        <f aca="false">IF(COUNT(U506:X506)=4,MAX(1,MIN(10,ROUNDUP(Y506+5,0))),"")</f>
        <v/>
      </c>
      <c r="AC506" s="6"/>
      <c r="AD506" s="6"/>
    </row>
    <row r="507" customFormat="false" ht="15" hidden="false" customHeight="true" outlineLevel="0" collapsed="false">
      <c r="A507" s="5" t="n">
        <v>506</v>
      </c>
      <c r="B507" s="5" t="s">
        <v>1298</v>
      </c>
      <c r="C507" s="5" t="s">
        <v>203</v>
      </c>
      <c r="D507" s="5" t="s">
        <v>204</v>
      </c>
      <c r="E507" s="5" t="n">
        <v>218</v>
      </c>
      <c r="F507" s="5" t="s">
        <v>1299</v>
      </c>
      <c r="G507" s="5" t="n">
        <v>4</v>
      </c>
      <c r="H507" s="5" t="s">
        <v>53</v>
      </c>
      <c r="I507" s="5" t="s">
        <v>54</v>
      </c>
      <c r="J507" s="5" t="s">
        <v>117</v>
      </c>
      <c r="K507" s="5" t="s">
        <v>117</v>
      </c>
      <c r="L507" s="5" t="n">
        <v>4</v>
      </c>
      <c r="M507" s="5" t="n">
        <v>1</v>
      </c>
      <c r="N507" s="5" t="n">
        <v>8</v>
      </c>
      <c r="O507" s="5" t="n">
        <v>2</v>
      </c>
      <c r="P507" s="5" t="n">
        <v>3</v>
      </c>
      <c r="Q507" s="5" t="n">
        <v>1.5</v>
      </c>
      <c r="R507" s="5" t="n">
        <v>4</v>
      </c>
      <c r="S507" s="5" t="n">
        <v>8</v>
      </c>
      <c r="T507" s="5" t="s">
        <v>1272</v>
      </c>
      <c r="U507" s="6"/>
      <c r="V507" s="6"/>
      <c r="W507" s="6"/>
      <c r="X507" s="6"/>
      <c r="Y507" s="7" t="str">
        <f aca="false">IF(COUNT(U507:X507)=4,(W507-X507)/2,"")</f>
        <v/>
      </c>
      <c r="Z507" s="7" t="str">
        <f aca="false">IF(COUNT(U507:X507)=4,(U507-V507)/2,"")</f>
        <v/>
      </c>
      <c r="AA507" s="7" t="str">
        <f aca="false">IF(COUNT(U507:X507)=4,MAX(1,MIN(10,ROUNDUP(5-Z507,0))),"")</f>
        <v/>
      </c>
      <c r="AB507" s="7" t="str">
        <f aca="false">IF(COUNT(U507:X507)=4,MAX(1,MIN(10,ROUNDUP(Y507+5,0))),"")</f>
        <v/>
      </c>
      <c r="AC507" s="6"/>
      <c r="AD507" s="6"/>
    </row>
    <row r="508" customFormat="false" ht="15" hidden="false" customHeight="true" outlineLevel="0" collapsed="false">
      <c r="A508" s="5" t="n">
        <v>507</v>
      </c>
      <c r="B508" s="5" t="s">
        <v>1300</v>
      </c>
      <c r="C508" s="5" t="s">
        <v>171</v>
      </c>
      <c r="D508" s="5" t="s">
        <v>172</v>
      </c>
      <c r="E508" s="5" t="n">
        <v>217</v>
      </c>
      <c r="F508" s="5" t="s">
        <v>1301</v>
      </c>
      <c r="G508" s="5" t="n">
        <v>4</v>
      </c>
      <c r="H508" s="5" t="s">
        <v>53</v>
      </c>
      <c r="I508" s="5" t="s">
        <v>54</v>
      </c>
      <c r="J508" s="5" t="s">
        <v>181</v>
      </c>
      <c r="K508" s="5" t="s">
        <v>427</v>
      </c>
      <c r="L508" s="5" t="n">
        <v>4</v>
      </c>
      <c r="M508" s="5" t="n">
        <v>4</v>
      </c>
      <c r="N508" s="5" t="n">
        <v>3</v>
      </c>
      <c r="O508" s="5" t="n">
        <v>8</v>
      </c>
      <c r="P508" s="5" t="n">
        <v>-2.5</v>
      </c>
      <c r="Q508" s="5" t="n">
        <v>0</v>
      </c>
      <c r="R508" s="5" t="n">
        <v>5</v>
      </c>
      <c r="S508" s="5" t="n">
        <v>3</v>
      </c>
      <c r="T508" s="5" t="s">
        <v>1302</v>
      </c>
      <c r="U508" s="6"/>
      <c r="V508" s="6"/>
      <c r="W508" s="6"/>
      <c r="X508" s="6"/>
      <c r="Y508" s="7" t="str">
        <f aca="false">IF(COUNT(U508:X508)=4,(W508-X508)/2,"")</f>
        <v/>
      </c>
      <c r="Z508" s="7" t="str">
        <f aca="false">IF(COUNT(U508:X508)=4,(U508-V508)/2,"")</f>
        <v/>
      </c>
      <c r="AA508" s="7" t="str">
        <f aca="false">IF(COUNT(U508:X508)=4,MAX(1,MIN(10,ROUNDUP(5-Z508,0))),"")</f>
        <v/>
      </c>
      <c r="AB508" s="7" t="str">
        <f aca="false">IF(COUNT(U508:X508)=4,MAX(1,MIN(10,ROUNDUP(Y508+5,0))),"")</f>
        <v/>
      </c>
      <c r="AC508" s="6"/>
      <c r="AD508" s="6"/>
    </row>
    <row r="509" customFormat="false" ht="15" hidden="false" customHeight="true" outlineLevel="0" collapsed="false">
      <c r="A509" s="5" t="n">
        <v>508</v>
      </c>
      <c r="B509" s="5" t="s">
        <v>1303</v>
      </c>
      <c r="C509" s="5" t="s">
        <v>145</v>
      </c>
      <c r="D509" s="5" t="s">
        <v>51</v>
      </c>
      <c r="E509" s="5" t="n">
        <v>217</v>
      </c>
      <c r="F509" s="5" t="s">
        <v>1304</v>
      </c>
      <c r="G509" s="5" t="n">
        <v>4</v>
      </c>
      <c r="H509" s="5" t="s">
        <v>53</v>
      </c>
      <c r="I509" s="5" t="s">
        <v>54</v>
      </c>
      <c r="J509" s="5" t="s">
        <v>181</v>
      </c>
      <c r="K509" s="5" t="s">
        <v>333</v>
      </c>
      <c r="L509" s="5" t="n">
        <v>2</v>
      </c>
      <c r="M509" s="5" t="n">
        <v>5</v>
      </c>
      <c r="N509" s="5" t="n">
        <v>9</v>
      </c>
      <c r="O509" s="5" t="n">
        <v>2</v>
      </c>
      <c r="P509" s="5" t="n">
        <v>3.5</v>
      </c>
      <c r="Q509" s="5" t="n">
        <v>-1.5</v>
      </c>
      <c r="R509" s="5" t="n">
        <v>7</v>
      </c>
      <c r="S509" s="5" t="n">
        <v>9</v>
      </c>
      <c r="T509" s="5" t="s">
        <v>1305</v>
      </c>
      <c r="U509" s="6"/>
      <c r="V509" s="6"/>
      <c r="W509" s="6"/>
      <c r="X509" s="6"/>
      <c r="Y509" s="7" t="str">
        <f aca="false">IF(COUNT(U509:X509)=4,(W509-X509)/2,"")</f>
        <v/>
      </c>
      <c r="Z509" s="7" t="str">
        <f aca="false">IF(COUNT(U509:X509)=4,(U509-V509)/2,"")</f>
        <v/>
      </c>
      <c r="AA509" s="7" t="str">
        <f aca="false">IF(COUNT(U509:X509)=4,MAX(1,MIN(10,ROUNDUP(5-Z509,0))),"")</f>
        <v/>
      </c>
      <c r="AB509" s="7" t="str">
        <f aca="false">IF(COUNT(U509:X509)=4,MAX(1,MIN(10,ROUNDUP(Y509+5,0))),"")</f>
        <v/>
      </c>
      <c r="AC509" s="6"/>
      <c r="AD509" s="6"/>
    </row>
    <row r="510" customFormat="false" ht="15" hidden="false" customHeight="true" outlineLevel="0" collapsed="false">
      <c r="A510" s="5" t="n">
        <v>509</v>
      </c>
      <c r="B510" s="5" t="s">
        <v>1306</v>
      </c>
      <c r="C510" s="5" t="s">
        <v>171</v>
      </c>
      <c r="D510" s="5" t="s">
        <v>172</v>
      </c>
      <c r="E510" s="5" t="n">
        <v>216</v>
      </c>
      <c r="F510" s="5" t="s">
        <v>1306</v>
      </c>
      <c r="G510" s="5" t="n">
        <v>4</v>
      </c>
      <c r="H510" s="5" t="s">
        <v>53</v>
      </c>
      <c r="I510" s="5" t="s">
        <v>54</v>
      </c>
      <c r="J510" s="5" t="s">
        <v>181</v>
      </c>
      <c r="K510" s="5" t="s">
        <v>443</v>
      </c>
      <c r="L510" s="5" t="n">
        <v>7</v>
      </c>
      <c r="M510" s="5" t="n">
        <v>3</v>
      </c>
      <c r="N510" s="5" t="n">
        <v>4</v>
      </c>
      <c r="O510" s="5" t="n">
        <v>8</v>
      </c>
      <c r="P510" s="5" t="n">
        <v>-2</v>
      </c>
      <c r="Q510" s="5" t="n">
        <v>2</v>
      </c>
      <c r="R510" s="5" t="n">
        <v>3</v>
      </c>
      <c r="S510" s="5" t="n">
        <v>3</v>
      </c>
      <c r="T510" s="5" t="s">
        <v>636</v>
      </c>
      <c r="U510" s="6"/>
      <c r="V510" s="6"/>
      <c r="W510" s="6"/>
      <c r="X510" s="6"/>
      <c r="Y510" s="7" t="str">
        <f aca="false">IF(COUNT(U510:X510)=4,(W510-X510)/2,"")</f>
        <v/>
      </c>
      <c r="Z510" s="7" t="str">
        <f aca="false">IF(COUNT(U510:X510)=4,(U510-V510)/2,"")</f>
        <v/>
      </c>
      <c r="AA510" s="7" t="str">
        <f aca="false">IF(COUNT(U510:X510)=4,MAX(1,MIN(10,ROUNDUP(5-Z510,0))),"")</f>
        <v/>
      </c>
      <c r="AB510" s="7" t="str">
        <f aca="false">IF(COUNT(U510:X510)=4,MAX(1,MIN(10,ROUNDUP(Y510+5,0))),"")</f>
        <v/>
      </c>
      <c r="AC510" s="6"/>
      <c r="AD510" s="6"/>
    </row>
    <row r="511" customFormat="false" ht="15" hidden="false" customHeight="true" outlineLevel="0" collapsed="false">
      <c r="A511" s="5" t="n">
        <v>510</v>
      </c>
      <c r="B511" s="5" t="s">
        <v>1307</v>
      </c>
      <c r="C511" s="5" t="s">
        <v>108</v>
      </c>
      <c r="D511" s="5" t="s">
        <v>109</v>
      </c>
      <c r="E511" s="5" t="n">
        <v>216</v>
      </c>
      <c r="F511" s="5" t="s">
        <v>1308</v>
      </c>
      <c r="G511" s="5" t="n">
        <v>2</v>
      </c>
      <c r="H511" s="5" t="s">
        <v>47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 t="s">
        <v>392</v>
      </c>
      <c r="U511" s="6"/>
      <c r="V511" s="6"/>
      <c r="W511" s="6"/>
      <c r="X511" s="6"/>
      <c r="Y511" s="7" t="str">
        <f aca="false">IF(COUNT(U511:X511)=4,(W511-X511)/2,"")</f>
        <v/>
      </c>
      <c r="Z511" s="7" t="str">
        <f aca="false">IF(COUNT(U511:X511)=4,(U511-V511)/2,"")</f>
        <v/>
      </c>
      <c r="AA511" s="7" t="str">
        <f aca="false">IF(COUNT(U511:X511)=4,MAX(1,MIN(10,ROUNDUP(5-Z511,0))),"")</f>
        <v/>
      </c>
      <c r="AB511" s="7" t="str">
        <f aca="false">IF(COUNT(U511:X511)=4,MAX(1,MIN(10,ROUNDUP(Y511+5,0))),"")</f>
        <v/>
      </c>
      <c r="AC511" s="6"/>
      <c r="AD511" s="6"/>
    </row>
    <row r="512" customFormat="false" ht="15" hidden="false" customHeight="true" outlineLevel="0" collapsed="false">
      <c r="A512" s="5" t="n">
        <v>511</v>
      </c>
      <c r="B512" s="5" t="s">
        <v>1309</v>
      </c>
      <c r="C512" s="5" t="s">
        <v>171</v>
      </c>
      <c r="D512" s="5" t="s">
        <v>172</v>
      </c>
      <c r="E512" s="5" t="n">
        <v>215</v>
      </c>
      <c r="F512" s="5" t="s">
        <v>1310</v>
      </c>
      <c r="G512" s="5" t="n">
        <v>4</v>
      </c>
      <c r="H512" s="5" t="s">
        <v>53</v>
      </c>
      <c r="I512" s="5" t="s">
        <v>54</v>
      </c>
      <c r="J512" s="5" t="s">
        <v>181</v>
      </c>
      <c r="K512" s="5" t="s">
        <v>443</v>
      </c>
      <c r="L512" s="5" t="n">
        <v>5</v>
      </c>
      <c r="M512" s="5" t="n">
        <v>3</v>
      </c>
      <c r="N512" s="5" t="n">
        <v>4</v>
      </c>
      <c r="O512" s="5" t="n">
        <v>8</v>
      </c>
      <c r="P512" s="5" t="n">
        <v>-2</v>
      </c>
      <c r="Q512" s="5" t="n">
        <v>1</v>
      </c>
      <c r="R512" s="5" t="n">
        <v>4</v>
      </c>
      <c r="S512" s="5" t="n">
        <v>3</v>
      </c>
      <c r="T512" s="5" t="s">
        <v>1311</v>
      </c>
      <c r="U512" s="6"/>
      <c r="V512" s="6"/>
      <c r="W512" s="6"/>
      <c r="X512" s="6"/>
      <c r="Y512" s="7" t="str">
        <f aca="false">IF(COUNT(U512:X512)=4,(W512-X512)/2,"")</f>
        <v/>
      </c>
      <c r="Z512" s="7" t="str">
        <f aca="false">IF(COUNT(U512:X512)=4,(U512-V512)/2,"")</f>
        <v/>
      </c>
      <c r="AA512" s="7" t="str">
        <f aca="false">IF(COUNT(U512:X512)=4,MAX(1,MIN(10,ROUNDUP(5-Z512,0))),"")</f>
        <v/>
      </c>
      <c r="AB512" s="7" t="str">
        <f aca="false">IF(COUNT(U512:X512)=4,MAX(1,MIN(10,ROUNDUP(Y512+5,0))),"")</f>
        <v/>
      </c>
      <c r="AC512" s="6"/>
      <c r="AD512" s="6"/>
    </row>
    <row r="513" customFormat="false" ht="15" hidden="false" customHeight="true" outlineLevel="0" collapsed="false">
      <c r="A513" s="5" t="n">
        <v>512</v>
      </c>
      <c r="B513" s="5" t="s">
        <v>1312</v>
      </c>
      <c r="C513" s="5" t="s">
        <v>145</v>
      </c>
      <c r="D513" s="5" t="s">
        <v>51</v>
      </c>
      <c r="E513" s="5" t="n">
        <v>215</v>
      </c>
      <c r="F513" s="5" t="s">
        <v>1313</v>
      </c>
      <c r="G513" s="5" t="n">
        <v>4</v>
      </c>
      <c r="H513" s="5" t="s">
        <v>53</v>
      </c>
      <c r="I513" s="5" t="s">
        <v>54</v>
      </c>
      <c r="J513" s="5" t="s">
        <v>55</v>
      </c>
      <c r="K513" s="5" t="s">
        <v>55</v>
      </c>
      <c r="L513" s="5" t="n">
        <v>2</v>
      </c>
      <c r="M513" s="5" t="n">
        <v>8</v>
      </c>
      <c r="N513" s="5" t="n">
        <v>6</v>
      </c>
      <c r="O513" s="5" t="n">
        <v>4</v>
      </c>
      <c r="P513" s="5" t="n">
        <v>1</v>
      </c>
      <c r="Q513" s="5" t="n">
        <v>-3</v>
      </c>
      <c r="R513" s="5" t="n">
        <v>8</v>
      </c>
      <c r="S513" s="5" t="n">
        <v>6</v>
      </c>
      <c r="T513" s="5" t="s">
        <v>1314</v>
      </c>
      <c r="U513" s="6"/>
      <c r="V513" s="6"/>
      <c r="W513" s="6"/>
      <c r="X513" s="6"/>
      <c r="Y513" s="7" t="str">
        <f aca="false">IF(COUNT(U513:X513)=4,(W513-X513)/2,"")</f>
        <v/>
      </c>
      <c r="Z513" s="7" t="str">
        <f aca="false">IF(COUNT(U513:X513)=4,(U513-V513)/2,"")</f>
        <v/>
      </c>
      <c r="AA513" s="7" t="str">
        <f aca="false">IF(COUNT(U513:X513)=4,MAX(1,MIN(10,ROUNDUP(5-Z513,0))),"")</f>
        <v/>
      </c>
      <c r="AB513" s="7" t="str">
        <f aca="false">IF(COUNT(U513:X513)=4,MAX(1,MIN(10,ROUNDUP(Y513+5,0))),"")</f>
        <v/>
      </c>
      <c r="AC513" s="6"/>
      <c r="AD513" s="6"/>
    </row>
    <row r="514" customFormat="false" ht="15" hidden="false" customHeight="true" outlineLevel="0" collapsed="false">
      <c r="A514" s="5" t="n">
        <v>513</v>
      </c>
      <c r="B514" s="5" t="s">
        <v>1315</v>
      </c>
      <c r="C514" s="5" t="s">
        <v>171</v>
      </c>
      <c r="D514" s="5" t="s">
        <v>172</v>
      </c>
      <c r="E514" s="5" t="n">
        <v>215</v>
      </c>
      <c r="F514" s="5" t="s">
        <v>1316</v>
      </c>
      <c r="G514" s="5" t="n">
        <v>4</v>
      </c>
      <c r="H514" s="5" t="s">
        <v>53</v>
      </c>
      <c r="I514" s="5" t="s">
        <v>54</v>
      </c>
      <c r="J514" s="5" t="s">
        <v>181</v>
      </c>
      <c r="K514" s="5" t="s">
        <v>235</v>
      </c>
      <c r="L514" s="5" t="n">
        <v>5</v>
      </c>
      <c r="M514" s="5" t="n">
        <v>4</v>
      </c>
      <c r="N514" s="5" t="n">
        <v>7</v>
      </c>
      <c r="O514" s="5" t="n">
        <v>4</v>
      </c>
      <c r="P514" s="5" t="n">
        <v>1.5</v>
      </c>
      <c r="Q514" s="5" t="n">
        <v>0.5</v>
      </c>
      <c r="R514" s="5" t="n">
        <v>5</v>
      </c>
      <c r="S514" s="5" t="n">
        <v>7</v>
      </c>
      <c r="T514" s="5" t="s">
        <v>1317</v>
      </c>
      <c r="U514" s="6"/>
      <c r="V514" s="6"/>
      <c r="W514" s="6"/>
      <c r="X514" s="6"/>
      <c r="Y514" s="7" t="str">
        <f aca="false">IF(COUNT(U514:X514)=4,(W514-X514)/2,"")</f>
        <v/>
      </c>
      <c r="Z514" s="7" t="str">
        <f aca="false">IF(COUNT(U514:X514)=4,(U514-V514)/2,"")</f>
        <v/>
      </c>
      <c r="AA514" s="7" t="str">
        <f aca="false">IF(COUNT(U514:X514)=4,MAX(1,MIN(10,ROUNDUP(5-Z514,0))),"")</f>
        <v/>
      </c>
      <c r="AB514" s="7" t="str">
        <f aca="false">IF(COUNT(U514:X514)=4,MAX(1,MIN(10,ROUNDUP(Y514+5,0))),"")</f>
        <v/>
      </c>
      <c r="AC514" s="6"/>
      <c r="AD514" s="6"/>
    </row>
    <row r="515" customFormat="false" ht="15" hidden="false" customHeight="true" outlineLevel="0" collapsed="false">
      <c r="A515" s="5" t="n">
        <v>514</v>
      </c>
      <c r="B515" s="5" t="s">
        <v>1318</v>
      </c>
      <c r="C515" s="5" t="s">
        <v>127</v>
      </c>
      <c r="D515" s="5" t="s">
        <v>128</v>
      </c>
      <c r="E515" s="5" t="n">
        <v>215</v>
      </c>
      <c r="F515" s="5" t="s">
        <v>1319</v>
      </c>
      <c r="G515" s="5" t="n">
        <v>4</v>
      </c>
      <c r="H515" s="5" t="s">
        <v>53</v>
      </c>
      <c r="I515" s="5" t="s">
        <v>54</v>
      </c>
      <c r="J515" s="5" t="s">
        <v>117</v>
      </c>
      <c r="K515" s="5" t="s">
        <v>117</v>
      </c>
      <c r="L515" s="5" t="n">
        <v>3</v>
      </c>
      <c r="M515" s="5" t="n">
        <v>1</v>
      </c>
      <c r="N515" s="5" t="n">
        <v>2</v>
      </c>
      <c r="O515" s="5" t="n">
        <v>7</v>
      </c>
      <c r="P515" s="5" t="n">
        <v>-2.5</v>
      </c>
      <c r="Q515" s="5" t="n">
        <v>1</v>
      </c>
      <c r="R515" s="5" t="n">
        <v>4</v>
      </c>
      <c r="S515" s="5" t="n">
        <v>3</v>
      </c>
      <c r="T515" s="5" t="s">
        <v>465</v>
      </c>
      <c r="U515" s="6"/>
      <c r="V515" s="6"/>
      <c r="W515" s="6"/>
      <c r="X515" s="6"/>
      <c r="Y515" s="7" t="str">
        <f aca="false">IF(COUNT(U515:X515)=4,(W515-X515)/2,"")</f>
        <v/>
      </c>
      <c r="Z515" s="7" t="str">
        <f aca="false">IF(COUNT(U515:X515)=4,(U515-V515)/2,"")</f>
        <v/>
      </c>
      <c r="AA515" s="7" t="str">
        <f aca="false">IF(COUNT(U515:X515)=4,MAX(1,MIN(10,ROUNDUP(5-Z515,0))),"")</f>
        <v/>
      </c>
      <c r="AB515" s="7" t="str">
        <f aca="false">IF(COUNT(U515:X515)=4,MAX(1,MIN(10,ROUNDUP(Y515+5,0))),"")</f>
        <v/>
      </c>
      <c r="AC515" s="6"/>
      <c r="AD515" s="6"/>
    </row>
    <row r="516" customFormat="false" ht="15" hidden="false" customHeight="true" outlineLevel="0" collapsed="false">
      <c r="A516" s="5" t="n">
        <v>515</v>
      </c>
      <c r="B516" s="5" t="s">
        <v>1320</v>
      </c>
      <c r="C516" s="5" t="s">
        <v>171</v>
      </c>
      <c r="D516" s="5" t="s">
        <v>172</v>
      </c>
      <c r="E516" s="5" t="n">
        <v>215</v>
      </c>
      <c r="F516" s="5" t="s">
        <v>1321</v>
      </c>
      <c r="G516" s="5" t="n">
        <v>4</v>
      </c>
      <c r="H516" s="5" t="s">
        <v>53</v>
      </c>
      <c r="I516" s="5" t="s">
        <v>54</v>
      </c>
      <c r="J516" s="5" t="s">
        <v>181</v>
      </c>
      <c r="K516" s="5" t="s">
        <v>279</v>
      </c>
      <c r="L516" s="5" t="n">
        <v>4</v>
      </c>
      <c r="M516" s="5" t="n">
        <v>4</v>
      </c>
      <c r="N516" s="5" t="n">
        <v>5</v>
      </c>
      <c r="O516" s="5" t="n">
        <v>7</v>
      </c>
      <c r="P516" s="5" t="n">
        <v>-1</v>
      </c>
      <c r="Q516" s="5" t="n">
        <v>0</v>
      </c>
      <c r="R516" s="5" t="n">
        <v>5</v>
      </c>
      <c r="S516" s="5" t="n">
        <v>4</v>
      </c>
      <c r="T516" s="5" t="s">
        <v>1266</v>
      </c>
      <c r="U516" s="6"/>
      <c r="V516" s="6"/>
      <c r="W516" s="6"/>
      <c r="X516" s="6"/>
      <c r="Y516" s="7" t="str">
        <f aca="false">IF(COUNT(U516:X516)=4,(W516-X516)/2,"")</f>
        <v/>
      </c>
      <c r="Z516" s="7" t="str">
        <f aca="false">IF(COUNT(U516:X516)=4,(U516-V516)/2,"")</f>
        <v/>
      </c>
      <c r="AA516" s="7" t="str">
        <f aca="false">IF(COUNT(U516:X516)=4,MAX(1,MIN(10,ROUNDUP(5-Z516,0))),"")</f>
        <v/>
      </c>
      <c r="AB516" s="7" t="str">
        <f aca="false">IF(COUNT(U516:X516)=4,MAX(1,MIN(10,ROUNDUP(Y516+5,0))),"")</f>
        <v/>
      </c>
      <c r="AC516" s="6"/>
      <c r="AD516" s="6"/>
    </row>
    <row r="517" customFormat="false" ht="15" hidden="false" customHeight="true" outlineLevel="0" collapsed="false">
      <c r="A517" s="5" t="n">
        <v>516</v>
      </c>
      <c r="B517" s="5" t="s">
        <v>1322</v>
      </c>
      <c r="C517" s="5" t="s">
        <v>171</v>
      </c>
      <c r="D517" s="5" t="s">
        <v>172</v>
      </c>
      <c r="E517" s="5" t="n">
        <v>213</v>
      </c>
      <c r="F517" s="5" t="s">
        <v>1323</v>
      </c>
      <c r="G517" s="5" t="n">
        <v>4</v>
      </c>
      <c r="H517" s="5" t="s">
        <v>53</v>
      </c>
      <c r="I517" s="5" t="s">
        <v>54</v>
      </c>
      <c r="J517" s="5" t="s">
        <v>181</v>
      </c>
      <c r="K517" s="5" t="s">
        <v>443</v>
      </c>
      <c r="L517" s="5" t="n">
        <v>5</v>
      </c>
      <c r="M517" s="5" t="n">
        <v>3</v>
      </c>
      <c r="N517" s="5" t="n">
        <v>4</v>
      </c>
      <c r="O517" s="5" t="n">
        <v>8</v>
      </c>
      <c r="P517" s="5" t="n">
        <v>-2</v>
      </c>
      <c r="Q517" s="5" t="n">
        <v>1</v>
      </c>
      <c r="R517" s="5" t="n">
        <v>4</v>
      </c>
      <c r="S517" s="5" t="n">
        <v>3</v>
      </c>
      <c r="T517" s="5" t="s">
        <v>1324</v>
      </c>
      <c r="U517" s="6"/>
      <c r="V517" s="6"/>
      <c r="W517" s="6"/>
      <c r="X517" s="6"/>
      <c r="Y517" s="7" t="str">
        <f aca="false">IF(COUNT(U517:X517)=4,(W517-X517)/2,"")</f>
        <v/>
      </c>
      <c r="Z517" s="7" t="str">
        <f aca="false">IF(COUNT(U517:X517)=4,(U517-V517)/2,"")</f>
        <v/>
      </c>
      <c r="AA517" s="7" t="str">
        <f aca="false">IF(COUNT(U517:X517)=4,MAX(1,MIN(10,ROUNDUP(5-Z517,0))),"")</f>
        <v/>
      </c>
      <c r="AB517" s="7" t="str">
        <f aca="false">IF(COUNT(U517:X517)=4,MAX(1,MIN(10,ROUNDUP(Y517+5,0))),"")</f>
        <v/>
      </c>
      <c r="AC517" s="6"/>
      <c r="AD517" s="6"/>
    </row>
    <row r="518" customFormat="false" ht="15" hidden="false" customHeight="true" outlineLevel="0" collapsed="false">
      <c r="A518" s="5" t="n">
        <v>517</v>
      </c>
      <c r="B518" s="5" t="s">
        <v>1325</v>
      </c>
      <c r="C518" s="5" t="s">
        <v>145</v>
      </c>
      <c r="D518" s="5" t="s">
        <v>51</v>
      </c>
      <c r="E518" s="5" t="n">
        <v>212</v>
      </c>
      <c r="F518" s="5" t="s">
        <v>1326</v>
      </c>
      <c r="G518" s="5" t="n">
        <v>4</v>
      </c>
      <c r="H518" s="5" t="s">
        <v>53</v>
      </c>
      <c r="I518" s="5" t="s">
        <v>54</v>
      </c>
      <c r="J518" s="5" t="s">
        <v>55</v>
      </c>
      <c r="K518" s="5" t="s">
        <v>55</v>
      </c>
      <c r="L518" s="5" t="n">
        <v>5</v>
      </c>
      <c r="M518" s="5" t="n">
        <v>2</v>
      </c>
      <c r="N518" s="5" t="n">
        <v>8</v>
      </c>
      <c r="O518" s="5" t="n">
        <v>2</v>
      </c>
      <c r="P518" s="5" t="n">
        <v>3</v>
      </c>
      <c r="Q518" s="5" t="n">
        <v>1.5</v>
      </c>
      <c r="R518" s="5" t="n">
        <v>4</v>
      </c>
      <c r="S518" s="5" t="n">
        <v>8</v>
      </c>
      <c r="T518" s="5" t="s">
        <v>1327</v>
      </c>
      <c r="U518" s="6"/>
      <c r="V518" s="6"/>
      <c r="W518" s="6"/>
      <c r="X518" s="6"/>
      <c r="Y518" s="7" t="str">
        <f aca="false">IF(COUNT(U518:X518)=4,(W518-X518)/2,"")</f>
        <v/>
      </c>
      <c r="Z518" s="7" t="str">
        <f aca="false">IF(COUNT(U518:X518)=4,(U518-V518)/2,"")</f>
        <v/>
      </c>
      <c r="AA518" s="7" t="str">
        <f aca="false">IF(COUNT(U518:X518)=4,MAX(1,MIN(10,ROUNDUP(5-Z518,0))),"")</f>
        <v/>
      </c>
      <c r="AB518" s="7" t="str">
        <f aca="false">IF(COUNT(U518:X518)=4,MAX(1,MIN(10,ROUNDUP(Y518+5,0))),"")</f>
        <v/>
      </c>
      <c r="AC518" s="6"/>
      <c r="AD518" s="6"/>
    </row>
    <row r="519" customFormat="false" ht="15" hidden="false" customHeight="true" outlineLevel="0" collapsed="false">
      <c r="A519" s="5" t="n">
        <v>518</v>
      </c>
      <c r="B519" s="5" t="s">
        <v>1328</v>
      </c>
      <c r="C519" s="5" t="s">
        <v>145</v>
      </c>
      <c r="D519" s="5" t="s">
        <v>51</v>
      </c>
      <c r="E519" s="5" t="n">
        <v>212</v>
      </c>
      <c r="F519" s="5" t="s">
        <v>1329</v>
      </c>
      <c r="G519" s="5" t="n">
        <v>4</v>
      </c>
      <c r="H519" s="5" t="s">
        <v>53</v>
      </c>
      <c r="I519" s="5" t="s">
        <v>54</v>
      </c>
      <c r="J519" s="5" t="s">
        <v>181</v>
      </c>
      <c r="K519" s="5" t="s">
        <v>235</v>
      </c>
      <c r="L519" s="5" t="n">
        <v>4</v>
      </c>
      <c r="M519" s="5" t="n">
        <v>4</v>
      </c>
      <c r="N519" s="5" t="n">
        <v>7</v>
      </c>
      <c r="O519" s="5" t="n">
        <v>4</v>
      </c>
      <c r="P519" s="5" t="n">
        <v>1.5</v>
      </c>
      <c r="Q519" s="5" t="n">
        <v>0</v>
      </c>
      <c r="R519" s="5" t="n">
        <v>5</v>
      </c>
      <c r="S519" s="5" t="n">
        <v>7</v>
      </c>
      <c r="T519" s="5" t="s">
        <v>1330</v>
      </c>
      <c r="U519" s="6"/>
      <c r="V519" s="6"/>
      <c r="W519" s="6"/>
      <c r="X519" s="6"/>
      <c r="Y519" s="7" t="str">
        <f aca="false">IF(COUNT(U519:X519)=4,(W519-X519)/2,"")</f>
        <v/>
      </c>
      <c r="Z519" s="7" t="str">
        <f aca="false">IF(COUNT(U519:X519)=4,(U519-V519)/2,"")</f>
        <v/>
      </c>
      <c r="AA519" s="7" t="str">
        <f aca="false">IF(COUNT(U519:X519)=4,MAX(1,MIN(10,ROUNDUP(5-Z519,0))),"")</f>
        <v/>
      </c>
      <c r="AB519" s="7" t="str">
        <f aca="false">IF(COUNT(U519:X519)=4,MAX(1,MIN(10,ROUNDUP(Y519+5,0))),"")</f>
        <v/>
      </c>
      <c r="AC519" s="6"/>
      <c r="AD519" s="6"/>
    </row>
    <row r="520" customFormat="false" ht="15" hidden="false" customHeight="true" outlineLevel="0" collapsed="false">
      <c r="A520" s="5" t="n">
        <v>519</v>
      </c>
      <c r="B520" s="5" t="s">
        <v>1331</v>
      </c>
      <c r="C520" s="5" t="s">
        <v>203</v>
      </c>
      <c r="D520" s="5" t="s">
        <v>204</v>
      </c>
      <c r="E520" s="5" t="n">
        <v>212</v>
      </c>
      <c r="F520" s="5" t="s">
        <v>1331</v>
      </c>
      <c r="G520" s="5" t="n">
        <v>4</v>
      </c>
      <c r="H520" s="5" t="s">
        <v>53</v>
      </c>
      <c r="I520" s="5" t="s">
        <v>54</v>
      </c>
      <c r="J520" s="5" t="s">
        <v>117</v>
      </c>
      <c r="K520" s="5" t="s">
        <v>117</v>
      </c>
      <c r="L520" s="5" t="n">
        <v>3</v>
      </c>
      <c r="M520" s="5" t="n">
        <v>1</v>
      </c>
      <c r="N520" s="5" t="n">
        <v>2</v>
      </c>
      <c r="O520" s="5" t="n">
        <v>8</v>
      </c>
      <c r="P520" s="5" t="n">
        <v>-3</v>
      </c>
      <c r="Q520" s="5" t="n">
        <v>1</v>
      </c>
      <c r="R520" s="5" t="n">
        <v>4</v>
      </c>
      <c r="S520" s="5" t="n">
        <v>2</v>
      </c>
      <c r="T520" s="5" t="s">
        <v>482</v>
      </c>
      <c r="U520" s="6"/>
      <c r="V520" s="6"/>
      <c r="W520" s="6"/>
      <c r="X520" s="6"/>
      <c r="Y520" s="7" t="str">
        <f aca="false">IF(COUNT(U520:X520)=4,(W520-X520)/2,"")</f>
        <v/>
      </c>
      <c r="Z520" s="7" t="str">
        <f aca="false">IF(COUNT(U520:X520)=4,(U520-V520)/2,"")</f>
        <v/>
      </c>
      <c r="AA520" s="7" t="str">
        <f aca="false">IF(COUNT(U520:X520)=4,MAX(1,MIN(10,ROUNDUP(5-Z520,0))),"")</f>
        <v/>
      </c>
      <c r="AB520" s="7" t="str">
        <f aca="false">IF(COUNT(U520:X520)=4,MAX(1,MIN(10,ROUNDUP(Y520+5,0))),"")</f>
        <v/>
      </c>
      <c r="AC520" s="6"/>
      <c r="AD520" s="6"/>
    </row>
    <row r="521" customFormat="false" ht="15" hidden="false" customHeight="true" outlineLevel="0" collapsed="false">
      <c r="A521" s="5" t="n">
        <v>520</v>
      </c>
      <c r="B521" s="5" t="s">
        <v>1332</v>
      </c>
      <c r="C521" s="5" t="s">
        <v>171</v>
      </c>
      <c r="D521" s="5" t="s">
        <v>172</v>
      </c>
      <c r="E521" s="5" t="n">
        <v>212</v>
      </c>
      <c r="F521" s="5" t="s">
        <v>1333</v>
      </c>
      <c r="G521" s="5" t="n">
        <v>4</v>
      </c>
      <c r="H521" s="5" t="s">
        <v>53</v>
      </c>
      <c r="I521" s="5" t="s">
        <v>54</v>
      </c>
      <c r="J521" s="5" t="s">
        <v>181</v>
      </c>
      <c r="K521" s="5" t="s">
        <v>443</v>
      </c>
      <c r="L521" s="5" t="n">
        <v>3</v>
      </c>
      <c r="M521" s="5" t="n">
        <v>6</v>
      </c>
      <c r="N521" s="5" t="n">
        <v>4</v>
      </c>
      <c r="O521" s="5" t="n">
        <v>8</v>
      </c>
      <c r="P521" s="5" t="n">
        <v>-2</v>
      </c>
      <c r="Q521" s="5" t="n">
        <v>-1.5</v>
      </c>
      <c r="R521" s="5" t="n">
        <v>7</v>
      </c>
      <c r="S521" s="5" t="n">
        <v>3</v>
      </c>
      <c r="T521" s="5" t="s">
        <v>1334</v>
      </c>
      <c r="U521" s="6"/>
      <c r="V521" s="6"/>
      <c r="W521" s="6"/>
      <c r="X521" s="6"/>
      <c r="Y521" s="7" t="str">
        <f aca="false">IF(COUNT(U521:X521)=4,(W521-X521)/2,"")</f>
        <v/>
      </c>
      <c r="Z521" s="7" t="str">
        <f aca="false">IF(COUNT(U521:X521)=4,(U521-V521)/2,"")</f>
        <v/>
      </c>
      <c r="AA521" s="7" t="str">
        <f aca="false">IF(COUNT(U521:X521)=4,MAX(1,MIN(10,ROUNDUP(5-Z521,0))),"")</f>
        <v/>
      </c>
      <c r="AB521" s="7" t="str">
        <f aca="false">IF(COUNT(U521:X521)=4,MAX(1,MIN(10,ROUNDUP(Y521+5,0))),"")</f>
        <v/>
      </c>
      <c r="AC521" s="6"/>
      <c r="AD521" s="6"/>
    </row>
    <row r="522" customFormat="false" ht="15" hidden="false" customHeight="true" outlineLevel="0" collapsed="false">
      <c r="A522" s="5" t="n">
        <v>521</v>
      </c>
      <c r="B522" s="5" t="s">
        <v>1335</v>
      </c>
      <c r="C522" s="5" t="s">
        <v>145</v>
      </c>
      <c r="D522" s="5" t="s">
        <v>51</v>
      </c>
      <c r="E522" s="5" t="n">
        <v>211</v>
      </c>
      <c r="F522" s="5" t="s">
        <v>1336</v>
      </c>
      <c r="G522" s="5" t="n">
        <v>4</v>
      </c>
      <c r="H522" s="5" t="s">
        <v>53</v>
      </c>
      <c r="I522" s="5" t="s">
        <v>54</v>
      </c>
      <c r="J522" s="5" t="s">
        <v>55</v>
      </c>
      <c r="K522" s="5" t="s">
        <v>55</v>
      </c>
      <c r="L522" s="5" t="n">
        <v>4</v>
      </c>
      <c r="M522" s="5" t="n">
        <v>3</v>
      </c>
      <c r="N522" s="5" t="n">
        <v>6</v>
      </c>
      <c r="O522" s="5" t="n">
        <v>4</v>
      </c>
      <c r="P522" s="5" t="n">
        <v>1</v>
      </c>
      <c r="Q522" s="5" t="n">
        <v>0.5</v>
      </c>
      <c r="R522" s="5" t="n">
        <v>5</v>
      </c>
      <c r="S522" s="5" t="n">
        <v>6</v>
      </c>
      <c r="T522" s="5" t="s">
        <v>1337</v>
      </c>
      <c r="U522" s="6"/>
      <c r="V522" s="6"/>
      <c r="W522" s="6"/>
      <c r="X522" s="6"/>
      <c r="Y522" s="7" t="str">
        <f aca="false">IF(COUNT(U522:X522)=4,(W522-X522)/2,"")</f>
        <v/>
      </c>
      <c r="Z522" s="7" t="str">
        <f aca="false">IF(COUNT(U522:X522)=4,(U522-V522)/2,"")</f>
        <v/>
      </c>
      <c r="AA522" s="7" t="str">
        <f aca="false">IF(COUNT(U522:X522)=4,MAX(1,MIN(10,ROUNDUP(5-Z522,0))),"")</f>
        <v/>
      </c>
      <c r="AB522" s="7" t="str">
        <f aca="false">IF(COUNT(U522:X522)=4,MAX(1,MIN(10,ROUNDUP(Y522+5,0))),"")</f>
        <v/>
      </c>
      <c r="AC522" s="6"/>
      <c r="AD522" s="6"/>
    </row>
    <row r="523" customFormat="false" ht="15" hidden="false" customHeight="true" outlineLevel="0" collapsed="false">
      <c r="A523" s="5" t="n">
        <v>522</v>
      </c>
      <c r="B523" s="5" t="s">
        <v>1338</v>
      </c>
      <c r="C523" s="5" t="s">
        <v>171</v>
      </c>
      <c r="D523" s="5" t="s">
        <v>172</v>
      </c>
      <c r="E523" s="5" t="n">
        <v>211</v>
      </c>
      <c r="F523" s="5" t="s">
        <v>1339</v>
      </c>
      <c r="G523" s="5" t="n">
        <v>4</v>
      </c>
      <c r="H523" s="5" t="s">
        <v>53</v>
      </c>
      <c r="I523" s="5" t="s">
        <v>54</v>
      </c>
      <c r="J523" s="5" t="s">
        <v>181</v>
      </c>
      <c r="K523" s="5" t="s">
        <v>309</v>
      </c>
      <c r="L523" s="5" t="n">
        <v>2</v>
      </c>
      <c r="M523" s="5" t="n">
        <v>5</v>
      </c>
      <c r="N523" s="5" t="n">
        <v>5</v>
      </c>
      <c r="O523" s="5" t="n">
        <v>4</v>
      </c>
      <c r="P523" s="5" t="n">
        <v>0.5</v>
      </c>
      <c r="Q523" s="5" t="n">
        <v>-1.5</v>
      </c>
      <c r="R523" s="5" t="n">
        <v>7</v>
      </c>
      <c r="S523" s="5" t="n">
        <v>6</v>
      </c>
      <c r="T523" s="5" t="s">
        <v>1340</v>
      </c>
      <c r="U523" s="6"/>
      <c r="V523" s="6"/>
      <c r="W523" s="6"/>
      <c r="X523" s="6"/>
      <c r="Y523" s="7" t="str">
        <f aca="false">IF(COUNT(U523:X523)=4,(W523-X523)/2,"")</f>
        <v/>
      </c>
      <c r="Z523" s="7" t="str">
        <f aca="false">IF(COUNT(U523:X523)=4,(U523-V523)/2,"")</f>
        <v/>
      </c>
      <c r="AA523" s="7" t="str">
        <f aca="false">IF(COUNT(U523:X523)=4,MAX(1,MIN(10,ROUNDUP(5-Z523,0))),"")</f>
        <v/>
      </c>
      <c r="AB523" s="7" t="str">
        <f aca="false">IF(COUNT(U523:X523)=4,MAX(1,MIN(10,ROUNDUP(Y523+5,0))),"")</f>
        <v/>
      </c>
      <c r="AC523" s="6"/>
      <c r="AD523" s="6"/>
    </row>
    <row r="524" customFormat="false" ht="15" hidden="false" customHeight="true" outlineLevel="0" collapsed="false">
      <c r="A524" s="5" t="n">
        <v>523</v>
      </c>
      <c r="B524" s="5" t="s">
        <v>1341</v>
      </c>
      <c r="C524" s="5" t="s">
        <v>145</v>
      </c>
      <c r="D524" s="5" t="s">
        <v>51</v>
      </c>
      <c r="E524" s="5" t="n">
        <v>210</v>
      </c>
      <c r="F524" s="5" t="s">
        <v>1342</v>
      </c>
      <c r="G524" s="5" t="n">
        <v>4</v>
      </c>
      <c r="H524" s="5" t="s">
        <v>53</v>
      </c>
      <c r="I524" s="5" t="s">
        <v>54</v>
      </c>
      <c r="J524" s="5" t="s">
        <v>55</v>
      </c>
      <c r="K524" s="5" t="s">
        <v>55</v>
      </c>
      <c r="L524" s="5" t="n">
        <v>5</v>
      </c>
      <c r="M524" s="5" t="n">
        <v>2</v>
      </c>
      <c r="N524" s="5" t="n">
        <v>9</v>
      </c>
      <c r="O524" s="5" t="n">
        <v>2</v>
      </c>
      <c r="P524" s="5" t="n">
        <v>3.5</v>
      </c>
      <c r="Q524" s="5" t="n">
        <v>1.5</v>
      </c>
      <c r="R524" s="5" t="n">
        <v>4</v>
      </c>
      <c r="S524" s="5" t="n">
        <v>9</v>
      </c>
      <c r="T524" s="5" t="s">
        <v>1343</v>
      </c>
      <c r="U524" s="6"/>
      <c r="V524" s="6"/>
      <c r="W524" s="6"/>
      <c r="X524" s="6"/>
      <c r="Y524" s="7" t="str">
        <f aca="false">IF(COUNT(U524:X524)=4,(W524-X524)/2,"")</f>
        <v/>
      </c>
      <c r="Z524" s="7" t="str">
        <f aca="false">IF(COUNT(U524:X524)=4,(U524-V524)/2,"")</f>
        <v/>
      </c>
      <c r="AA524" s="7" t="str">
        <f aca="false">IF(COUNT(U524:X524)=4,MAX(1,MIN(10,ROUNDUP(5-Z524,0))),"")</f>
        <v/>
      </c>
      <c r="AB524" s="7" t="str">
        <f aca="false">IF(COUNT(U524:X524)=4,MAX(1,MIN(10,ROUNDUP(Y524+5,0))),"")</f>
        <v/>
      </c>
      <c r="AC524" s="6"/>
      <c r="AD524" s="6"/>
    </row>
    <row r="525" customFormat="false" ht="15" hidden="false" customHeight="true" outlineLevel="0" collapsed="false">
      <c r="A525" s="5" t="n">
        <v>524</v>
      </c>
      <c r="B525" s="5" t="s">
        <v>1344</v>
      </c>
      <c r="C525" s="5" t="s">
        <v>203</v>
      </c>
      <c r="D525" s="5" t="s">
        <v>204</v>
      </c>
      <c r="E525" s="5" t="n">
        <v>210</v>
      </c>
      <c r="F525" s="5" t="s">
        <v>1345</v>
      </c>
      <c r="G525" s="5" t="n">
        <v>4</v>
      </c>
      <c r="H525" s="5" t="s">
        <v>53</v>
      </c>
      <c r="I525" s="5" t="s">
        <v>54</v>
      </c>
      <c r="J525" s="5" t="s">
        <v>117</v>
      </c>
      <c r="K525" s="5" t="s">
        <v>117</v>
      </c>
      <c r="L525" s="5" t="n">
        <v>3</v>
      </c>
      <c r="M525" s="5" t="n">
        <v>3</v>
      </c>
      <c r="N525" s="5" t="n">
        <v>8</v>
      </c>
      <c r="O525" s="5" t="n">
        <v>2</v>
      </c>
      <c r="P525" s="5" t="n">
        <v>3</v>
      </c>
      <c r="Q525" s="5" t="n">
        <v>0</v>
      </c>
      <c r="R525" s="5" t="n">
        <v>5</v>
      </c>
      <c r="S525" s="5" t="n">
        <v>8</v>
      </c>
      <c r="T525" s="5" t="s">
        <v>1346</v>
      </c>
      <c r="U525" s="6"/>
      <c r="V525" s="6"/>
      <c r="W525" s="6"/>
      <c r="X525" s="6"/>
      <c r="Y525" s="7" t="str">
        <f aca="false">IF(COUNT(U525:X525)=4,(W525-X525)/2,"")</f>
        <v/>
      </c>
      <c r="Z525" s="7" t="str">
        <f aca="false">IF(COUNT(U525:X525)=4,(U525-V525)/2,"")</f>
        <v/>
      </c>
      <c r="AA525" s="7" t="str">
        <f aca="false">IF(COUNT(U525:X525)=4,MAX(1,MIN(10,ROUNDUP(5-Z525,0))),"")</f>
        <v/>
      </c>
      <c r="AB525" s="7" t="str">
        <f aca="false">IF(COUNT(U525:X525)=4,MAX(1,MIN(10,ROUNDUP(Y525+5,0))),"")</f>
        <v/>
      </c>
      <c r="AC525" s="6"/>
      <c r="AD525" s="6"/>
    </row>
    <row r="526" customFormat="false" ht="15" hidden="false" customHeight="true" outlineLevel="0" collapsed="false">
      <c r="A526" s="5" t="n">
        <v>525</v>
      </c>
      <c r="B526" s="5" t="s">
        <v>1347</v>
      </c>
      <c r="C526" s="5" t="s">
        <v>58</v>
      </c>
      <c r="D526" s="5" t="s">
        <v>59</v>
      </c>
      <c r="E526" s="5" t="n">
        <v>210</v>
      </c>
      <c r="F526" s="5" t="s">
        <v>1347</v>
      </c>
      <c r="G526" s="5" t="n">
        <v>3</v>
      </c>
      <c r="H526" s="5" t="s">
        <v>53</v>
      </c>
      <c r="I526" s="5" t="s">
        <v>54</v>
      </c>
      <c r="J526" s="5" t="s">
        <v>117</v>
      </c>
      <c r="K526" s="5" t="s">
        <v>117</v>
      </c>
      <c r="L526" s="5" t="n">
        <v>3</v>
      </c>
      <c r="M526" s="5" t="n">
        <v>1</v>
      </c>
      <c r="N526" s="5" t="n">
        <v>7</v>
      </c>
      <c r="O526" s="5" t="n">
        <v>3</v>
      </c>
      <c r="P526" s="5" t="n">
        <v>2</v>
      </c>
      <c r="Q526" s="5" t="n">
        <v>1</v>
      </c>
      <c r="R526" s="5" t="n">
        <v>4</v>
      </c>
      <c r="S526" s="5" t="n">
        <v>7</v>
      </c>
      <c r="T526" s="5" t="s">
        <v>1348</v>
      </c>
      <c r="U526" s="6"/>
      <c r="V526" s="6"/>
      <c r="W526" s="6"/>
      <c r="X526" s="6"/>
      <c r="Y526" s="7" t="str">
        <f aca="false">IF(COUNT(U526:X526)=4,(W526-X526)/2,"")</f>
        <v/>
      </c>
      <c r="Z526" s="7" t="str">
        <f aca="false">IF(COUNT(U526:X526)=4,(U526-V526)/2,"")</f>
        <v/>
      </c>
      <c r="AA526" s="7" t="str">
        <f aca="false">IF(COUNT(U526:X526)=4,MAX(1,MIN(10,ROUNDUP(5-Z526,0))),"")</f>
        <v/>
      </c>
      <c r="AB526" s="7" t="str">
        <f aca="false">IF(COUNT(U526:X526)=4,MAX(1,MIN(10,ROUNDUP(Y526+5,0))),"")</f>
        <v/>
      </c>
      <c r="AC526" s="6"/>
      <c r="AD526" s="6"/>
    </row>
    <row r="527" customFormat="false" ht="15" hidden="false" customHeight="true" outlineLevel="0" collapsed="false">
      <c r="A527" s="5" t="n">
        <v>526</v>
      </c>
      <c r="B527" s="5" t="s">
        <v>1349</v>
      </c>
      <c r="C527" s="5" t="s">
        <v>203</v>
      </c>
      <c r="D527" s="5" t="s">
        <v>204</v>
      </c>
      <c r="E527" s="5" t="n">
        <v>209</v>
      </c>
      <c r="F527" s="5" t="s">
        <v>1350</v>
      </c>
      <c r="G527" s="5" t="n">
        <v>4</v>
      </c>
      <c r="H527" s="5" t="s">
        <v>53</v>
      </c>
      <c r="I527" s="5" t="s">
        <v>54</v>
      </c>
      <c r="J527" s="5" t="s">
        <v>117</v>
      </c>
      <c r="K527" s="5" t="s">
        <v>117</v>
      </c>
      <c r="L527" s="5" t="n">
        <v>3</v>
      </c>
      <c r="M527" s="5" t="n">
        <v>1</v>
      </c>
      <c r="N527" s="5" t="n">
        <v>1</v>
      </c>
      <c r="O527" s="5" t="n">
        <v>8</v>
      </c>
      <c r="P527" s="5" t="n">
        <v>-3.5</v>
      </c>
      <c r="Q527" s="5" t="n">
        <v>1</v>
      </c>
      <c r="R527" s="5" t="n">
        <v>4</v>
      </c>
      <c r="S527" s="5" t="n">
        <v>2</v>
      </c>
      <c r="T527" s="5" t="s">
        <v>537</v>
      </c>
      <c r="U527" s="6"/>
      <c r="V527" s="6"/>
      <c r="W527" s="6"/>
      <c r="X527" s="6"/>
      <c r="Y527" s="7" t="str">
        <f aca="false">IF(COUNT(U527:X527)=4,(W527-X527)/2,"")</f>
        <v/>
      </c>
      <c r="Z527" s="7" t="str">
        <f aca="false">IF(COUNT(U527:X527)=4,(U527-V527)/2,"")</f>
        <v/>
      </c>
      <c r="AA527" s="7" t="str">
        <f aca="false">IF(COUNT(U527:X527)=4,MAX(1,MIN(10,ROUNDUP(5-Z527,0))),"")</f>
        <v/>
      </c>
      <c r="AB527" s="7" t="str">
        <f aca="false">IF(COUNT(U527:X527)=4,MAX(1,MIN(10,ROUNDUP(Y527+5,0))),"")</f>
        <v/>
      </c>
      <c r="AC527" s="6"/>
      <c r="AD527" s="6"/>
    </row>
    <row r="528" customFormat="false" ht="15" hidden="false" customHeight="true" outlineLevel="0" collapsed="false">
      <c r="A528" s="5" t="n">
        <v>527</v>
      </c>
      <c r="B528" s="5" t="s">
        <v>1351</v>
      </c>
      <c r="C528" s="5" t="s">
        <v>171</v>
      </c>
      <c r="D528" s="5" t="s">
        <v>172</v>
      </c>
      <c r="E528" s="5" t="n">
        <v>209</v>
      </c>
      <c r="F528" s="5" t="s">
        <v>1352</v>
      </c>
      <c r="G528" s="5" t="n">
        <v>4</v>
      </c>
      <c r="H528" s="5" t="s">
        <v>53</v>
      </c>
      <c r="I528" s="5" t="s">
        <v>54</v>
      </c>
      <c r="J528" s="5" t="s">
        <v>181</v>
      </c>
      <c r="K528" s="5" t="s">
        <v>443</v>
      </c>
      <c r="L528" s="5" t="n">
        <v>5</v>
      </c>
      <c r="M528" s="5" t="n">
        <v>3</v>
      </c>
      <c r="N528" s="5" t="n">
        <v>4</v>
      </c>
      <c r="O528" s="5" t="n">
        <v>8</v>
      </c>
      <c r="P528" s="5" t="n">
        <v>-2</v>
      </c>
      <c r="Q528" s="5" t="n">
        <v>1</v>
      </c>
      <c r="R528" s="5" t="n">
        <v>4</v>
      </c>
      <c r="S528" s="5" t="n">
        <v>3</v>
      </c>
      <c r="T528" s="5" t="s">
        <v>114</v>
      </c>
      <c r="U528" s="6"/>
      <c r="V528" s="6"/>
      <c r="W528" s="6"/>
      <c r="X528" s="6"/>
      <c r="Y528" s="7" t="str">
        <f aca="false">IF(COUNT(U528:X528)=4,(W528-X528)/2,"")</f>
        <v/>
      </c>
      <c r="Z528" s="7" t="str">
        <f aca="false">IF(COUNT(U528:X528)=4,(U528-V528)/2,"")</f>
        <v/>
      </c>
      <c r="AA528" s="7" t="str">
        <f aca="false">IF(COUNT(U528:X528)=4,MAX(1,MIN(10,ROUNDUP(5-Z528,0))),"")</f>
        <v/>
      </c>
      <c r="AB528" s="7" t="str">
        <f aca="false">IF(COUNT(U528:X528)=4,MAX(1,MIN(10,ROUNDUP(Y528+5,0))),"")</f>
        <v/>
      </c>
      <c r="AC528" s="6"/>
      <c r="AD528" s="6"/>
    </row>
    <row r="529" customFormat="false" ht="15" hidden="false" customHeight="true" outlineLevel="0" collapsed="false">
      <c r="A529" s="5" t="n">
        <v>528</v>
      </c>
      <c r="B529" s="5" t="s">
        <v>1353</v>
      </c>
      <c r="C529" s="5" t="s">
        <v>145</v>
      </c>
      <c r="D529" s="5" t="s">
        <v>51</v>
      </c>
      <c r="E529" s="5" t="n">
        <v>208</v>
      </c>
      <c r="F529" s="5" t="s">
        <v>1354</v>
      </c>
      <c r="G529" s="5" t="n">
        <v>4</v>
      </c>
      <c r="H529" s="5" t="s">
        <v>53</v>
      </c>
      <c r="I529" s="5" t="s">
        <v>54</v>
      </c>
      <c r="J529" s="5" t="s">
        <v>55</v>
      </c>
      <c r="K529" s="5" t="s">
        <v>55</v>
      </c>
      <c r="L529" s="5" t="n">
        <v>6</v>
      </c>
      <c r="M529" s="5" t="n">
        <v>2</v>
      </c>
      <c r="N529" s="5" t="n">
        <v>5</v>
      </c>
      <c r="O529" s="5" t="n">
        <v>8</v>
      </c>
      <c r="P529" s="5" t="n">
        <v>-1.5</v>
      </c>
      <c r="Q529" s="5" t="n">
        <v>2</v>
      </c>
      <c r="R529" s="5" t="n">
        <v>3</v>
      </c>
      <c r="S529" s="5" t="n">
        <v>4</v>
      </c>
      <c r="T529" s="5" t="s">
        <v>1355</v>
      </c>
      <c r="U529" s="6"/>
      <c r="V529" s="6"/>
      <c r="W529" s="6"/>
      <c r="X529" s="6"/>
      <c r="Y529" s="7" t="str">
        <f aca="false">IF(COUNT(U529:X529)=4,(W529-X529)/2,"")</f>
        <v/>
      </c>
      <c r="Z529" s="7" t="str">
        <f aca="false">IF(COUNT(U529:X529)=4,(U529-V529)/2,"")</f>
        <v/>
      </c>
      <c r="AA529" s="7" t="str">
        <f aca="false">IF(COUNT(U529:X529)=4,MAX(1,MIN(10,ROUNDUP(5-Z529,0))),"")</f>
        <v/>
      </c>
      <c r="AB529" s="7" t="str">
        <f aca="false">IF(COUNT(U529:X529)=4,MAX(1,MIN(10,ROUNDUP(Y529+5,0))),"")</f>
        <v/>
      </c>
      <c r="AC529" s="6"/>
      <c r="AD529" s="6"/>
    </row>
    <row r="530" customFormat="false" ht="15" hidden="false" customHeight="true" outlineLevel="0" collapsed="false">
      <c r="A530" s="5" t="n">
        <v>529</v>
      </c>
      <c r="B530" s="5" t="s">
        <v>1356</v>
      </c>
      <c r="C530" s="5" t="s">
        <v>171</v>
      </c>
      <c r="D530" s="5" t="s">
        <v>172</v>
      </c>
      <c r="E530" s="5" t="n">
        <v>208</v>
      </c>
      <c r="F530" s="5" t="s">
        <v>1357</v>
      </c>
      <c r="G530" s="5" t="n">
        <v>4</v>
      </c>
      <c r="H530" s="5" t="s">
        <v>53</v>
      </c>
      <c r="I530" s="5" t="s">
        <v>54</v>
      </c>
      <c r="J530" s="5" t="s">
        <v>181</v>
      </c>
      <c r="K530" s="5" t="s">
        <v>551</v>
      </c>
      <c r="L530" s="5" t="n">
        <v>2</v>
      </c>
      <c r="M530" s="5" t="n">
        <v>5</v>
      </c>
      <c r="N530" s="5" t="n">
        <v>8</v>
      </c>
      <c r="O530" s="5" t="n">
        <v>2</v>
      </c>
      <c r="P530" s="5" t="n">
        <v>3</v>
      </c>
      <c r="Q530" s="5" t="n">
        <v>-1.5</v>
      </c>
      <c r="R530" s="5" t="n">
        <v>7</v>
      </c>
      <c r="S530" s="5" t="n">
        <v>8</v>
      </c>
      <c r="T530" s="5" t="s">
        <v>1358</v>
      </c>
      <c r="U530" s="6"/>
      <c r="V530" s="6"/>
      <c r="W530" s="6"/>
      <c r="X530" s="6"/>
      <c r="Y530" s="7" t="str">
        <f aca="false">IF(COUNT(U530:X530)=4,(W530-X530)/2,"")</f>
        <v/>
      </c>
      <c r="Z530" s="7" t="str">
        <f aca="false">IF(COUNT(U530:X530)=4,(U530-V530)/2,"")</f>
        <v/>
      </c>
      <c r="AA530" s="7" t="str">
        <f aca="false">IF(COUNT(U530:X530)=4,MAX(1,MIN(10,ROUNDUP(5-Z530,0))),"")</f>
        <v/>
      </c>
      <c r="AB530" s="7" t="str">
        <f aca="false">IF(COUNT(U530:X530)=4,MAX(1,MIN(10,ROUNDUP(Y530+5,0))),"")</f>
        <v/>
      </c>
      <c r="AC530" s="6"/>
      <c r="AD530" s="6"/>
    </row>
    <row r="531" customFormat="false" ht="15" hidden="false" customHeight="true" outlineLevel="0" collapsed="false">
      <c r="A531" s="5" t="n">
        <v>530</v>
      </c>
      <c r="B531" s="5" t="s">
        <v>1359</v>
      </c>
      <c r="C531" s="5" t="s">
        <v>171</v>
      </c>
      <c r="D531" s="5" t="s">
        <v>172</v>
      </c>
      <c r="E531" s="5" t="n">
        <v>207</v>
      </c>
      <c r="F531" s="5" t="s">
        <v>1360</v>
      </c>
      <c r="G531" s="5" t="n">
        <v>4</v>
      </c>
      <c r="H531" s="5" t="s">
        <v>53</v>
      </c>
      <c r="I531" s="5" t="s">
        <v>54</v>
      </c>
      <c r="J531" s="5" t="s">
        <v>181</v>
      </c>
      <c r="K531" s="5" t="s">
        <v>309</v>
      </c>
      <c r="L531" s="5" t="n">
        <v>2</v>
      </c>
      <c r="M531" s="5" t="n">
        <v>5</v>
      </c>
      <c r="N531" s="5" t="n">
        <v>5</v>
      </c>
      <c r="O531" s="5" t="n">
        <v>4</v>
      </c>
      <c r="P531" s="5" t="n">
        <v>0.5</v>
      </c>
      <c r="Q531" s="5" t="n">
        <v>-1.5</v>
      </c>
      <c r="R531" s="5" t="n">
        <v>7</v>
      </c>
      <c r="S531" s="5" t="n">
        <v>6</v>
      </c>
      <c r="T531" s="5" t="s">
        <v>1361</v>
      </c>
      <c r="U531" s="6"/>
      <c r="V531" s="6"/>
      <c r="W531" s="6"/>
      <c r="X531" s="6"/>
      <c r="Y531" s="7" t="str">
        <f aca="false">IF(COUNT(U531:X531)=4,(W531-X531)/2,"")</f>
        <v/>
      </c>
      <c r="Z531" s="7" t="str">
        <f aca="false">IF(COUNT(U531:X531)=4,(U531-V531)/2,"")</f>
        <v/>
      </c>
      <c r="AA531" s="7" t="str">
        <f aca="false">IF(COUNT(U531:X531)=4,MAX(1,MIN(10,ROUNDUP(5-Z531,0))),"")</f>
        <v/>
      </c>
      <c r="AB531" s="7" t="str">
        <f aca="false">IF(COUNT(U531:X531)=4,MAX(1,MIN(10,ROUNDUP(Y531+5,0))),"")</f>
        <v/>
      </c>
      <c r="AC531" s="6"/>
      <c r="AD531" s="6"/>
    </row>
    <row r="532" customFormat="false" ht="15" hidden="false" customHeight="true" outlineLevel="0" collapsed="false">
      <c r="A532" s="5" t="n">
        <v>531</v>
      </c>
      <c r="B532" s="5" t="s">
        <v>1362</v>
      </c>
      <c r="C532" s="5" t="s">
        <v>171</v>
      </c>
      <c r="D532" s="5" t="s">
        <v>172</v>
      </c>
      <c r="E532" s="5" t="n">
        <v>207</v>
      </c>
      <c r="F532" s="5" t="s">
        <v>1363</v>
      </c>
      <c r="G532" s="5" t="n">
        <v>4</v>
      </c>
      <c r="H532" s="5" t="s">
        <v>53</v>
      </c>
      <c r="I532" s="5" t="s">
        <v>54</v>
      </c>
      <c r="J532" s="5" t="s">
        <v>181</v>
      </c>
      <c r="K532" s="5" t="s">
        <v>223</v>
      </c>
      <c r="L532" s="5" t="n">
        <v>3</v>
      </c>
      <c r="M532" s="5" t="n">
        <v>4</v>
      </c>
      <c r="N532" s="5" t="n">
        <v>6</v>
      </c>
      <c r="O532" s="5" t="n">
        <v>4</v>
      </c>
      <c r="P532" s="5" t="n">
        <v>1</v>
      </c>
      <c r="Q532" s="5" t="n">
        <v>-0.5</v>
      </c>
      <c r="R532" s="5" t="n">
        <v>6</v>
      </c>
      <c r="S532" s="5" t="n">
        <v>6</v>
      </c>
      <c r="T532" s="5" t="s">
        <v>1364</v>
      </c>
      <c r="U532" s="6"/>
      <c r="V532" s="6"/>
      <c r="W532" s="6"/>
      <c r="X532" s="6"/>
      <c r="Y532" s="7" t="str">
        <f aca="false">IF(COUNT(U532:X532)=4,(W532-X532)/2,"")</f>
        <v/>
      </c>
      <c r="Z532" s="7" t="str">
        <f aca="false">IF(COUNT(U532:X532)=4,(U532-V532)/2,"")</f>
        <v/>
      </c>
      <c r="AA532" s="7" t="str">
        <f aca="false">IF(COUNT(U532:X532)=4,MAX(1,MIN(10,ROUNDUP(5-Z532,0))),"")</f>
        <v/>
      </c>
      <c r="AB532" s="7" t="str">
        <f aca="false">IF(COUNT(U532:X532)=4,MAX(1,MIN(10,ROUNDUP(Y532+5,0))),"")</f>
        <v/>
      </c>
      <c r="AC532" s="6"/>
      <c r="AD532" s="6"/>
    </row>
    <row r="533" customFormat="false" ht="15" hidden="false" customHeight="true" outlineLevel="0" collapsed="false">
      <c r="A533" s="5" t="n">
        <v>532</v>
      </c>
      <c r="B533" s="5" t="s">
        <v>1365</v>
      </c>
      <c r="C533" s="5" t="s">
        <v>145</v>
      </c>
      <c r="D533" s="5" t="s">
        <v>51</v>
      </c>
      <c r="E533" s="5" t="n">
        <v>206</v>
      </c>
      <c r="F533" s="5" t="s">
        <v>1366</v>
      </c>
      <c r="G533" s="5" t="n">
        <v>4</v>
      </c>
      <c r="H533" s="5" t="s">
        <v>53</v>
      </c>
      <c r="I533" s="5" t="s">
        <v>54</v>
      </c>
      <c r="J533" s="5" t="s">
        <v>181</v>
      </c>
      <c r="K533" s="5" t="s">
        <v>279</v>
      </c>
      <c r="L533" s="5" t="n">
        <v>3</v>
      </c>
      <c r="M533" s="5" t="n">
        <v>7</v>
      </c>
      <c r="N533" s="5" t="n">
        <v>5</v>
      </c>
      <c r="O533" s="5" t="n">
        <v>7</v>
      </c>
      <c r="P533" s="5" t="n">
        <v>-1</v>
      </c>
      <c r="Q533" s="5" t="n">
        <v>-2</v>
      </c>
      <c r="R533" s="5" t="n">
        <v>7</v>
      </c>
      <c r="S533" s="5" t="n">
        <v>4</v>
      </c>
      <c r="T533" s="5" t="s">
        <v>796</v>
      </c>
      <c r="U533" s="6"/>
      <c r="V533" s="6"/>
      <c r="W533" s="6"/>
      <c r="X533" s="6"/>
      <c r="Y533" s="7" t="str">
        <f aca="false">IF(COUNT(U533:X533)=4,(W533-X533)/2,"")</f>
        <v/>
      </c>
      <c r="Z533" s="7" t="str">
        <f aca="false">IF(COUNT(U533:X533)=4,(U533-V533)/2,"")</f>
        <v/>
      </c>
      <c r="AA533" s="7" t="str">
        <f aca="false">IF(COUNT(U533:X533)=4,MAX(1,MIN(10,ROUNDUP(5-Z533,0))),"")</f>
        <v/>
      </c>
      <c r="AB533" s="7" t="str">
        <f aca="false">IF(COUNT(U533:X533)=4,MAX(1,MIN(10,ROUNDUP(Y533+5,0))),"")</f>
        <v/>
      </c>
      <c r="AC533" s="6"/>
      <c r="AD533" s="6"/>
    </row>
    <row r="534" customFormat="false" ht="15" hidden="false" customHeight="true" outlineLevel="0" collapsed="false">
      <c r="A534" s="5" t="n">
        <v>533</v>
      </c>
      <c r="B534" s="5" t="s">
        <v>1367</v>
      </c>
      <c r="C534" s="5" t="s">
        <v>108</v>
      </c>
      <c r="D534" s="5" t="s">
        <v>109</v>
      </c>
      <c r="E534" s="5" t="n">
        <v>206</v>
      </c>
      <c r="F534" s="5" t="s">
        <v>1368</v>
      </c>
      <c r="G534" s="5" t="n">
        <v>4</v>
      </c>
      <c r="H534" s="5" t="s">
        <v>53</v>
      </c>
      <c r="I534" s="5" t="s">
        <v>64</v>
      </c>
      <c r="J534" s="5"/>
      <c r="K534" s="5"/>
      <c r="L534" s="5" t="n">
        <v>2</v>
      </c>
      <c r="M534" s="5" t="n">
        <v>7</v>
      </c>
      <c r="N534" s="5" t="n">
        <v>3</v>
      </c>
      <c r="O534" s="5" t="n">
        <v>6</v>
      </c>
      <c r="P534" s="5" t="n">
        <v>-1.5</v>
      </c>
      <c r="Q534" s="5" t="n">
        <v>-2.5</v>
      </c>
      <c r="R534" s="5" t="n">
        <v>8</v>
      </c>
      <c r="S534" s="5" t="n">
        <v>4</v>
      </c>
      <c r="T534" s="5" t="s">
        <v>1258</v>
      </c>
      <c r="U534" s="6"/>
      <c r="V534" s="6"/>
      <c r="W534" s="6"/>
      <c r="X534" s="6"/>
      <c r="Y534" s="7" t="str">
        <f aca="false">IF(COUNT(U534:X534)=4,(W534-X534)/2,"")</f>
        <v/>
      </c>
      <c r="Z534" s="7" t="str">
        <f aca="false">IF(COUNT(U534:X534)=4,(U534-V534)/2,"")</f>
        <v/>
      </c>
      <c r="AA534" s="7" t="str">
        <f aca="false">IF(COUNT(U534:X534)=4,MAX(1,MIN(10,ROUNDUP(5-Z534,0))),"")</f>
        <v/>
      </c>
      <c r="AB534" s="7" t="str">
        <f aca="false">IF(COUNT(U534:X534)=4,MAX(1,MIN(10,ROUNDUP(Y534+5,0))),"")</f>
        <v/>
      </c>
      <c r="AC534" s="6"/>
      <c r="AD534" s="6"/>
    </row>
    <row r="535" customFormat="false" ht="15" hidden="false" customHeight="true" outlineLevel="0" collapsed="false">
      <c r="A535" s="5" t="n">
        <v>534</v>
      </c>
      <c r="B535" s="5" t="s">
        <v>1369</v>
      </c>
      <c r="C535" s="5" t="s">
        <v>108</v>
      </c>
      <c r="D535" s="5" t="s">
        <v>109</v>
      </c>
      <c r="E535" s="5" t="n">
        <v>206</v>
      </c>
      <c r="F535" s="5" t="s">
        <v>1369</v>
      </c>
      <c r="G535" s="5" t="n">
        <v>4</v>
      </c>
      <c r="H535" s="5" t="s">
        <v>53</v>
      </c>
      <c r="I535" s="5" t="s">
        <v>54</v>
      </c>
      <c r="J535" s="5" t="s">
        <v>117</v>
      </c>
      <c r="K535" s="5" t="s">
        <v>117</v>
      </c>
      <c r="L535" s="5" t="n">
        <v>3</v>
      </c>
      <c r="M535" s="5" t="n">
        <v>1</v>
      </c>
      <c r="N535" s="5" t="n">
        <v>2</v>
      </c>
      <c r="O535" s="5" t="n">
        <v>7</v>
      </c>
      <c r="P535" s="5" t="n">
        <v>-2.5</v>
      </c>
      <c r="Q535" s="5" t="n">
        <v>1</v>
      </c>
      <c r="R535" s="5" t="n">
        <v>4</v>
      </c>
      <c r="S535" s="5" t="n">
        <v>3</v>
      </c>
      <c r="T535" s="5" t="s">
        <v>643</v>
      </c>
      <c r="U535" s="6"/>
      <c r="V535" s="6"/>
      <c r="W535" s="6"/>
      <c r="X535" s="6"/>
      <c r="Y535" s="7" t="str">
        <f aca="false">IF(COUNT(U535:X535)=4,(W535-X535)/2,"")</f>
        <v/>
      </c>
      <c r="Z535" s="7" t="str">
        <f aca="false">IF(COUNT(U535:X535)=4,(U535-V535)/2,"")</f>
        <v/>
      </c>
      <c r="AA535" s="7" t="str">
        <f aca="false">IF(COUNT(U535:X535)=4,MAX(1,MIN(10,ROUNDUP(5-Z535,0))),"")</f>
        <v/>
      </c>
      <c r="AB535" s="7" t="str">
        <f aca="false">IF(COUNT(U535:X535)=4,MAX(1,MIN(10,ROUNDUP(Y535+5,0))),"")</f>
        <v/>
      </c>
      <c r="AC535" s="6"/>
      <c r="AD535" s="6"/>
    </row>
    <row r="536" customFormat="false" ht="15" hidden="false" customHeight="true" outlineLevel="0" collapsed="false">
      <c r="A536" s="5" t="n">
        <v>535</v>
      </c>
      <c r="B536" s="5" t="s">
        <v>1370</v>
      </c>
      <c r="C536" s="5" t="s">
        <v>145</v>
      </c>
      <c r="D536" s="5" t="s">
        <v>51</v>
      </c>
      <c r="E536" s="5" t="n">
        <v>205</v>
      </c>
      <c r="F536" s="5" t="s">
        <v>1371</v>
      </c>
      <c r="G536" s="5" t="n">
        <v>4</v>
      </c>
      <c r="H536" s="5" t="s">
        <v>53</v>
      </c>
      <c r="I536" s="5" t="s">
        <v>54</v>
      </c>
      <c r="J536" s="5" t="s">
        <v>55</v>
      </c>
      <c r="K536" s="5" t="s">
        <v>55</v>
      </c>
      <c r="L536" s="5" t="n">
        <v>5</v>
      </c>
      <c r="M536" s="5" t="n">
        <v>2</v>
      </c>
      <c r="N536" s="5" t="n">
        <v>3</v>
      </c>
      <c r="O536" s="5" t="n">
        <v>8</v>
      </c>
      <c r="P536" s="5" t="n">
        <v>-2.5</v>
      </c>
      <c r="Q536" s="5" t="n">
        <v>1.5</v>
      </c>
      <c r="R536" s="5" t="n">
        <v>4</v>
      </c>
      <c r="S536" s="5" t="n">
        <v>3</v>
      </c>
      <c r="T536" s="5" t="s">
        <v>1372</v>
      </c>
      <c r="U536" s="6"/>
      <c r="V536" s="6"/>
      <c r="W536" s="6"/>
      <c r="X536" s="6"/>
      <c r="Y536" s="7" t="str">
        <f aca="false">IF(COUNT(U536:X536)=4,(W536-X536)/2,"")</f>
        <v/>
      </c>
      <c r="Z536" s="7" t="str">
        <f aca="false">IF(COUNT(U536:X536)=4,(U536-V536)/2,"")</f>
        <v/>
      </c>
      <c r="AA536" s="7" t="str">
        <f aca="false">IF(COUNT(U536:X536)=4,MAX(1,MIN(10,ROUNDUP(5-Z536,0))),"")</f>
        <v/>
      </c>
      <c r="AB536" s="7" t="str">
        <f aca="false">IF(COUNT(U536:X536)=4,MAX(1,MIN(10,ROUNDUP(Y536+5,0))),"")</f>
        <v/>
      </c>
      <c r="AC536" s="6"/>
      <c r="AD536" s="6"/>
    </row>
    <row r="537" customFormat="false" ht="15" hidden="false" customHeight="true" outlineLevel="0" collapsed="false">
      <c r="A537" s="5" t="n">
        <v>536</v>
      </c>
      <c r="B537" s="5" t="s">
        <v>1373</v>
      </c>
      <c r="C537" s="5" t="s">
        <v>145</v>
      </c>
      <c r="D537" s="5" t="s">
        <v>51</v>
      </c>
      <c r="E537" s="5" t="n">
        <v>205</v>
      </c>
      <c r="F537" s="5" t="s">
        <v>1374</v>
      </c>
      <c r="G537" s="5" t="n">
        <v>4</v>
      </c>
      <c r="H537" s="5" t="s">
        <v>53</v>
      </c>
      <c r="I537" s="5" t="s">
        <v>54</v>
      </c>
      <c r="J537" s="5" t="s">
        <v>181</v>
      </c>
      <c r="K537" s="5" t="s">
        <v>413</v>
      </c>
      <c r="L537" s="5" t="n">
        <v>5</v>
      </c>
      <c r="M537" s="5" t="n">
        <v>3</v>
      </c>
      <c r="N537" s="5" t="n">
        <v>3</v>
      </c>
      <c r="O537" s="5" t="n">
        <v>8</v>
      </c>
      <c r="P537" s="5" t="n">
        <v>-2.5</v>
      </c>
      <c r="Q537" s="5" t="n">
        <v>1</v>
      </c>
      <c r="R537" s="5" t="n">
        <v>4</v>
      </c>
      <c r="S537" s="5" t="n">
        <v>3</v>
      </c>
      <c r="T537" s="5" t="s">
        <v>1375</v>
      </c>
      <c r="U537" s="6"/>
      <c r="V537" s="6"/>
      <c r="W537" s="6"/>
      <c r="X537" s="6"/>
      <c r="Y537" s="7" t="str">
        <f aca="false">IF(COUNT(U537:X537)=4,(W537-X537)/2,"")</f>
        <v/>
      </c>
      <c r="Z537" s="7" t="str">
        <f aca="false">IF(COUNT(U537:X537)=4,(U537-V537)/2,"")</f>
        <v/>
      </c>
      <c r="AA537" s="7" t="str">
        <f aca="false">IF(COUNT(U537:X537)=4,MAX(1,MIN(10,ROUNDUP(5-Z537,0))),"")</f>
        <v/>
      </c>
      <c r="AB537" s="7" t="str">
        <f aca="false">IF(COUNT(U537:X537)=4,MAX(1,MIN(10,ROUNDUP(Y537+5,0))),"")</f>
        <v/>
      </c>
      <c r="AC537" s="6"/>
      <c r="AD537" s="6"/>
    </row>
    <row r="538" customFormat="false" ht="15" hidden="false" customHeight="true" outlineLevel="0" collapsed="false">
      <c r="A538" s="5" t="n">
        <v>537</v>
      </c>
      <c r="B538" s="5" t="s">
        <v>1376</v>
      </c>
      <c r="C538" s="5" t="s">
        <v>171</v>
      </c>
      <c r="D538" s="5" t="s">
        <v>172</v>
      </c>
      <c r="E538" s="5" t="n">
        <v>205</v>
      </c>
      <c r="F538" s="5" t="s">
        <v>1376</v>
      </c>
      <c r="G538" s="5" t="n">
        <v>4</v>
      </c>
      <c r="H538" s="5" t="s">
        <v>53</v>
      </c>
      <c r="I538" s="5" t="s">
        <v>54</v>
      </c>
      <c r="J538" s="5" t="s">
        <v>181</v>
      </c>
      <c r="K538" s="5" t="s">
        <v>235</v>
      </c>
      <c r="L538" s="5" t="n">
        <v>4</v>
      </c>
      <c r="M538" s="5" t="n">
        <v>4</v>
      </c>
      <c r="N538" s="5" t="n">
        <v>7</v>
      </c>
      <c r="O538" s="5" t="n">
        <v>4</v>
      </c>
      <c r="P538" s="5" t="n">
        <v>1.5</v>
      </c>
      <c r="Q538" s="5" t="n">
        <v>0</v>
      </c>
      <c r="R538" s="5" t="n">
        <v>5</v>
      </c>
      <c r="S538" s="5" t="n">
        <v>7</v>
      </c>
      <c r="T538" s="5" t="s">
        <v>1377</v>
      </c>
      <c r="U538" s="6"/>
      <c r="V538" s="6"/>
      <c r="W538" s="6"/>
      <c r="X538" s="6"/>
      <c r="Y538" s="7" t="str">
        <f aca="false">IF(COUNT(U538:X538)=4,(W538-X538)/2,"")</f>
        <v/>
      </c>
      <c r="Z538" s="7" t="str">
        <f aca="false">IF(COUNT(U538:X538)=4,(U538-V538)/2,"")</f>
        <v/>
      </c>
      <c r="AA538" s="7" t="str">
        <f aca="false">IF(COUNT(U538:X538)=4,MAX(1,MIN(10,ROUNDUP(5-Z538,0))),"")</f>
        <v/>
      </c>
      <c r="AB538" s="7" t="str">
        <f aca="false">IF(COUNT(U538:X538)=4,MAX(1,MIN(10,ROUNDUP(Y538+5,0))),"")</f>
        <v/>
      </c>
      <c r="AC538" s="6"/>
      <c r="AD538" s="6"/>
    </row>
    <row r="539" customFormat="false" ht="15" hidden="false" customHeight="true" outlineLevel="0" collapsed="false">
      <c r="A539" s="5" t="n">
        <v>538</v>
      </c>
      <c r="B539" s="5" t="s">
        <v>1378</v>
      </c>
      <c r="C539" s="5" t="s">
        <v>145</v>
      </c>
      <c r="D539" s="5" t="s">
        <v>51</v>
      </c>
      <c r="E539" s="5" t="n">
        <v>205</v>
      </c>
      <c r="F539" s="5" t="s">
        <v>1379</v>
      </c>
      <c r="G539" s="5" t="n">
        <v>4</v>
      </c>
      <c r="H539" s="5" t="s">
        <v>53</v>
      </c>
      <c r="I539" s="5" t="s">
        <v>54</v>
      </c>
      <c r="J539" s="5" t="s">
        <v>181</v>
      </c>
      <c r="K539" s="5" t="s">
        <v>673</v>
      </c>
      <c r="L539" s="5" t="n">
        <v>4</v>
      </c>
      <c r="M539" s="5" t="n">
        <v>4</v>
      </c>
      <c r="N539" s="5" t="n">
        <v>5</v>
      </c>
      <c r="O539" s="5" t="n">
        <v>6</v>
      </c>
      <c r="P539" s="5" t="n">
        <v>-0.5</v>
      </c>
      <c r="Q539" s="5" t="n">
        <v>0</v>
      </c>
      <c r="R539" s="5" t="n">
        <v>5</v>
      </c>
      <c r="S539" s="5" t="n">
        <v>5</v>
      </c>
      <c r="T539" s="5" t="s">
        <v>1380</v>
      </c>
      <c r="U539" s="6"/>
      <c r="V539" s="6"/>
      <c r="W539" s="6"/>
      <c r="X539" s="6"/>
      <c r="Y539" s="7" t="str">
        <f aca="false">IF(COUNT(U539:X539)=4,(W539-X539)/2,"")</f>
        <v/>
      </c>
      <c r="Z539" s="7" t="str">
        <f aca="false">IF(COUNT(U539:X539)=4,(U539-V539)/2,"")</f>
        <v/>
      </c>
      <c r="AA539" s="7" t="str">
        <f aca="false">IF(COUNT(U539:X539)=4,MAX(1,MIN(10,ROUNDUP(5-Z539,0))),"")</f>
        <v/>
      </c>
      <c r="AB539" s="7" t="str">
        <f aca="false">IF(COUNT(U539:X539)=4,MAX(1,MIN(10,ROUNDUP(Y539+5,0))),"")</f>
        <v/>
      </c>
      <c r="AC539" s="6"/>
      <c r="AD539" s="6"/>
    </row>
    <row r="540" customFormat="false" ht="15" hidden="false" customHeight="true" outlineLevel="0" collapsed="false">
      <c r="A540" s="5" t="n">
        <v>539</v>
      </c>
      <c r="B540" s="5" t="s">
        <v>1381</v>
      </c>
      <c r="C540" s="5" t="s">
        <v>171</v>
      </c>
      <c r="D540" s="5" t="s">
        <v>172</v>
      </c>
      <c r="E540" s="5" t="n">
        <v>205</v>
      </c>
      <c r="F540" s="5" t="s">
        <v>1382</v>
      </c>
      <c r="G540" s="5" t="n">
        <v>4</v>
      </c>
      <c r="H540" s="5" t="s">
        <v>53</v>
      </c>
      <c r="I540" s="5" t="s">
        <v>54</v>
      </c>
      <c r="J540" s="5" t="s">
        <v>181</v>
      </c>
      <c r="K540" s="5" t="s">
        <v>511</v>
      </c>
      <c r="L540" s="5" t="n">
        <v>2</v>
      </c>
      <c r="M540" s="5" t="n">
        <v>6</v>
      </c>
      <c r="N540" s="5" t="n">
        <v>5</v>
      </c>
      <c r="O540" s="5" t="n">
        <v>5</v>
      </c>
      <c r="P540" s="5" t="n">
        <v>0</v>
      </c>
      <c r="Q540" s="5" t="n">
        <v>-2</v>
      </c>
      <c r="R540" s="5" t="n">
        <v>7</v>
      </c>
      <c r="S540" s="5" t="n">
        <v>5</v>
      </c>
      <c r="T540" s="5" t="s">
        <v>1383</v>
      </c>
      <c r="U540" s="6"/>
      <c r="V540" s="6"/>
      <c r="W540" s="6"/>
      <c r="X540" s="6"/>
      <c r="Y540" s="7" t="str">
        <f aca="false">IF(COUNT(U540:X540)=4,(W540-X540)/2,"")</f>
        <v/>
      </c>
      <c r="Z540" s="7" t="str">
        <f aca="false">IF(COUNT(U540:X540)=4,(U540-V540)/2,"")</f>
        <v/>
      </c>
      <c r="AA540" s="7" t="str">
        <f aca="false">IF(COUNT(U540:X540)=4,MAX(1,MIN(10,ROUNDUP(5-Z540,0))),"")</f>
        <v/>
      </c>
      <c r="AB540" s="7" t="str">
        <f aca="false">IF(COUNT(U540:X540)=4,MAX(1,MIN(10,ROUNDUP(Y540+5,0))),"")</f>
        <v/>
      </c>
      <c r="AC540" s="6"/>
      <c r="AD540" s="6"/>
    </row>
    <row r="541" customFormat="false" ht="15" hidden="false" customHeight="true" outlineLevel="0" collapsed="false">
      <c r="A541" s="5" t="n">
        <v>540</v>
      </c>
      <c r="B541" s="5" t="s">
        <v>1384</v>
      </c>
      <c r="C541" s="5" t="s">
        <v>171</v>
      </c>
      <c r="D541" s="5" t="s">
        <v>172</v>
      </c>
      <c r="E541" s="5" t="n">
        <v>204</v>
      </c>
      <c r="F541" s="5" t="s">
        <v>1385</v>
      </c>
      <c r="G541" s="5" t="n">
        <v>4</v>
      </c>
      <c r="H541" s="5" t="s">
        <v>53</v>
      </c>
      <c r="I541" s="5" t="s">
        <v>81</v>
      </c>
      <c r="J541" s="5" t="s">
        <v>174</v>
      </c>
      <c r="K541" s="5" t="s">
        <v>175</v>
      </c>
      <c r="L541" s="5" t="n">
        <v>9</v>
      </c>
      <c r="M541" s="5" t="n">
        <v>1</v>
      </c>
      <c r="N541" s="5" t="n">
        <v>3</v>
      </c>
      <c r="O541" s="5" t="n">
        <v>9</v>
      </c>
      <c r="P541" s="5" t="n">
        <v>-3</v>
      </c>
      <c r="Q541" s="5" t="n">
        <v>4</v>
      </c>
      <c r="R541" s="5" t="n">
        <v>1</v>
      </c>
      <c r="S541" s="5" t="n">
        <v>2</v>
      </c>
      <c r="T541" s="5" t="s">
        <v>430</v>
      </c>
      <c r="U541" s="6"/>
      <c r="V541" s="6"/>
      <c r="W541" s="6"/>
      <c r="X541" s="6"/>
      <c r="Y541" s="7" t="str">
        <f aca="false">IF(COUNT(U541:X541)=4,(W541-X541)/2,"")</f>
        <v/>
      </c>
      <c r="Z541" s="7" t="str">
        <f aca="false">IF(COUNT(U541:X541)=4,(U541-V541)/2,"")</f>
        <v/>
      </c>
      <c r="AA541" s="7" t="str">
        <f aca="false">IF(COUNT(U541:X541)=4,MAX(1,MIN(10,ROUNDUP(5-Z541,0))),"")</f>
        <v/>
      </c>
      <c r="AB541" s="7" t="str">
        <f aca="false">IF(COUNT(U541:X541)=4,MAX(1,MIN(10,ROUNDUP(Y541+5,0))),"")</f>
        <v/>
      </c>
      <c r="AC541" s="6"/>
      <c r="AD541" s="6"/>
    </row>
    <row r="542" customFormat="false" ht="15" hidden="false" customHeight="true" outlineLevel="0" collapsed="false">
      <c r="A542" s="5" t="n">
        <v>541</v>
      </c>
      <c r="B542" s="5" t="s">
        <v>1386</v>
      </c>
      <c r="C542" s="5" t="s">
        <v>203</v>
      </c>
      <c r="D542" s="5" t="s">
        <v>204</v>
      </c>
      <c r="E542" s="5" t="n">
        <v>204</v>
      </c>
      <c r="F542" s="5" t="s">
        <v>1387</v>
      </c>
      <c r="G542" s="5" t="n">
        <v>4</v>
      </c>
      <c r="H542" s="5" t="s">
        <v>53</v>
      </c>
      <c r="I542" s="5" t="s">
        <v>54</v>
      </c>
      <c r="J542" s="5" t="s">
        <v>117</v>
      </c>
      <c r="K542" s="5" t="s">
        <v>117</v>
      </c>
      <c r="L542" s="5" t="n">
        <v>3</v>
      </c>
      <c r="M542" s="5" t="n">
        <v>3</v>
      </c>
      <c r="N542" s="5" t="n">
        <v>8</v>
      </c>
      <c r="O542" s="5" t="n">
        <v>2</v>
      </c>
      <c r="P542" s="5" t="n">
        <v>3</v>
      </c>
      <c r="Q542" s="5" t="n">
        <v>0</v>
      </c>
      <c r="R542" s="5" t="n">
        <v>5</v>
      </c>
      <c r="S542" s="5" t="n">
        <v>8</v>
      </c>
      <c r="T542" s="5" t="s">
        <v>1388</v>
      </c>
      <c r="U542" s="6"/>
      <c r="V542" s="6"/>
      <c r="W542" s="6"/>
      <c r="X542" s="6"/>
      <c r="Y542" s="7" t="str">
        <f aca="false">IF(COUNT(U542:X542)=4,(W542-X542)/2,"")</f>
        <v/>
      </c>
      <c r="Z542" s="7" t="str">
        <f aca="false">IF(COUNT(U542:X542)=4,(U542-V542)/2,"")</f>
        <v/>
      </c>
      <c r="AA542" s="7" t="str">
        <f aca="false">IF(COUNT(U542:X542)=4,MAX(1,MIN(10,ROUNDUP(5-Z542,0))),"")</f>
        <v/>
      </c>
      <c r="AB542" s="7" t="str">
        <f aca="false">IF(COUNT(U542:X542)=4,MAX(1,MIN(10,ROUNDUP(Y542+5,0))),"")</f>
        <v/>
      </c>
      <c r="AC542" s="6"/>
      <c r="AD542" s="6"/>
    </row>
    <row r="543" customFormat="false" ht="15" hidden="false" customHeight="true" outlineLevel="0" collapsed="false">
      <c r="A543" s="5" t="n">
        <v>542</v>
      </c>
      <c r="B543" s="5" t="s">
        <v>1389</v>
      </c>
      <c r="C543" s="5" t="s">
        <v>171</v>
      </c>
      <c r="D543" s="5" t="s">
        <v>172</v>
      </c>
      <c r="E543" s="5" t="n">
        <v>204</v>
      </c>
      <c r="F543" s="5" t="s">
        <v>1390</v>
      </c>
      <c r="G543" s="5" t="n">
        <v>4</v>
      </c>
      <c r="H543" s="5" t="s">
        <v>53</v>
      </c>
      <c r="I543" s="5" t="s">
        <v>54</v>
      </c>
      <c r="J543" s="5" t="s">
        <v>181</v>
      </c>
      <c r="K543" s="5" t="s">
        <v>443</v>
      </c>
      <c r="L543" s="5" t="n">
        <v>5</v>
      </c>
      <c r="M543" s="5" t="n">
        <v>3</v>
      </c>
      <c r="N543" s="5" t="n">
        <v>4</v>
      </c>
      <c r="O543" s="5" t="n">
        <v>8</v>
      </c>
      <c r="P543" s="5" t="n">
        <v>-2</v>
      </c>
      <c r="Q543" s="5" t="n">
        <v>1</v>
      </c>
      <c r="R543" s="5" t="n">
        <v>4</v>
      </c>
      <c r="S543" s="5" t="n">
        <v>3</v>
      </c>
      <c r="T543" s="5" t="s">
        <v>1391</v>
      </c>
      <c r="U543" s="6"/>
      <c r="V543" s="6"/>
      <c r="W543" s="6"/>
      <c r="X543" s="6"/>
      <c r="Y543" s="7" t="str">
        <f aca="false">IF(COUNT(U543:X543)=4,(W543-X543)/2,"")</f>
        <v/>
      </c>
      <c r="Z543" s="7" t="str">
        <f aca="false">IF(COUNT(U543:X543)=4,(U543-V543)/2,"")</f>
        <v/>
      </c>
      <c r="AA543" s="7" t="str">
        <f aca="false">IF(COUNT(U543:X543)=4,MAX(1,MIN(10,ROUNDUP(5-Z543,0))),"")</f>
        <v/>
      </c>
      <c r="AB543" s="7" t="str">
        <f aca="false">IF(COUNT(U543:X543)=4,MAX(1,MIN(10,ROUNDUP(Y543+5,0))),"")</f>
        <v/>
      </c>
      <c r="AC543" s="6"/>
      <c r="AD543" s="6"/>
    </row>
    <row r="544" customFormat="false" ht="15" hidden="false" customHeight="true" outlineLevel="0" collapsed="false">
      <c r="A544" s="5" t="n">
        <v>543</v>
      </c>
      <c r="B544" s="5" t="s">
        <v>1392</v>
      </c>
      <c r="C544" s="5" t="s">
        <v>145</v>
      </c>
      <c r="D544" s="5" t="s">
        <v>51</v>
      </c>
      <c r="E544" s="5" t="n">
        <v>203</v>
      </c>
      <c r="F544" s="5" t="s">
        <v>1393</v>
      </c>
      <c r="G544" s="5" t="n">
        <v>4</v>
      </c>
      <c r="H544" s="5" t="s">
        <v>53</v>
      </c>
      <c r="I544" s="5" t="s">
        <v>54</v>
      </c>
      <c r="J544" s="5" t="s">
        <v>181</v>
      </c>
      <c r="K544" s="5" t="s">
        <v>235</v>
      </c>
      <c r="L544" s="5" t="n">
        <v>4</v>
      </c>
      <c r="M544" s="5" t="n">
        <v>4</v>
      </c>
      <c r="N544" s="5" t="n">
        <v>7</v>
      </c>
      <c r="O544" s="5" t="n">
        <v>4</v>
      </c>
      <c r="P544" s="5" t="n">
        <v>1.5</v>
      </c>
      <c r="Q544" s="5" t="n">
        <v>0</v>
      </c>
      <c r="R544" s="5" t="n">
        <v>5</v>
      </c>
      <c r="S544" s="5" t="n">
        <v>7</v>
      </c>
      <c r="T544" s="5" t="s">
        <v>723</v>
      </c>
      <c r="U544" s="6"/>
      <c r="V544" s="6"/>
      <c r="W544" s="6"/>
      <c r="X544" s="6"/>
      <c r="Y544" s="7" t="str">
        <f aca="false">IF(COUNT(U544:X544)=4,(W544-X544)/2,"")</f>
        <v/>
      </c>
      <c r="Z544" s="7" t="str">
        <f aca="false">IF(COUNT(U544:X544)=4,(U544-V544)/2,"")</f>
        <v/>
      </c>
      <c r="AA544" s="7" t="str">
        <f aca="false">IF(COUNT(U544:X544)=4,MAX(1,MIN(10,ROUNDUP(5-Z544,0))),"")</f>
        <v/>
      </c>
      <c r="AB544" s="7" t="str">
        <f aca="false">IF(COUNT(U544:X544)=4,MAX(1,MIN(10,ROUNDUP(Y544+5,0))),"")</f>
        <v/>
      </c>
      <c r="AC544" s="6"/>
      <c r="AD544" s="6"/>
    </row>
    <row r="545" customFormat="false" ht="15" hidden="false" customHeight="true" outlineLevel="0" collapsed="false">
      <c r="A545" s="5" t="n">
        <v>544</v>
      </c>
      <c r="B545" s="5" t="s">
        <v>1394</v>
      </c>
      <c r="C545" s="5" t="s">
        <v>145</v>
      </c>
      <c r="D545" s="5" t="s">
        <v>51</v>
      </c>
      <c r="E545" s="5" t="n">
        <v>201</v>
      </c>
      <c r="F545" s="5" t="s">
        <v>1395</v>
      </c>
      <c r="G545" s="5" t="n">
        <v>4</v>
      </c>
      <c r="H545" s="5" t="s">
        <v>53</v>
      </c>
      <c r="I545" s="5" t="s">
        <v>54</v>
      </c>
      <c r="J545" s="5" t="s">
        <v>55</v>
      </c>
      <c r="K545" s="5" t="s">
        <v>55</v>
      </c>
      <c r="L545" s="5" t="n">
        <v>4</v>
      </c>
      <c r="M545" s="5" t="n">
        <v>3</v>
      </c>
      <c r="N545" s="5" t="n">
        <v>3</v>
      </c>
      <c r="O545" s="5" t="n">
        <v>6</v>
      </c>
      <c r="P545" s="5" t="n">
        <v>-1.5</v>
      </c>
      <c r="Q545" s="5" t="n">
        <v>0.5</v>
      </c>
      <c r="R545" s="5" t="n">
        <v>5</v>
      </c>
      <c r="S545" s="5" t="n">
        <v>4</v>
      </c>
      <c r="T545" s="5" t="s">
        <v>1396</v>
      </c>
      <c r="U545" s="6"/>
      <c r="V545" s="6"/>
      <c r="W545" s="6"/>
      <c r="X545" s="6"/>
      <c r="Y545" s="7" t="str">
        <f aca="false">IF(COUNT(U545:X545)=4,(W545-X545)/2,"")</f>
        <v/>
      </c>
      <c r="Z545" s="7" t="str">
        <f aca="false">IF(COUNT(U545:X545)=4,(U545-V545)/2,"")</f>
        <v/>
      </c>
      <c r="AA545" s="7" t="str">
        <f aca="false">IF(COUNT(U545:X545)=4,MAX(1,MIN(10,ROUNDUP(5-Z545,0))),"")</f>
        <v/>
      </c>
      <c r="AB545" s="7" t="str">
        <f aca="false">IF(COUNT(U545:X545)=4,MAX(1,MIN(10,ROUNDUP(Y545+5,0))),"")</f>
        <v/>
      </c>
      <c r="AC545" s="6"/>
      <c r="AD545" s="6"/>
    </row>
    <row r="546" customFormat="false" ht="15" hidden="false" customHeight="true" outlineLevel="0" collapsed="false">
      <c r="A546" s="5" t="n">
        <v>545</v>
      </c>
      <c r="B546" s="5" t="s">
        <v>1397</v>
      </c>
      <c r="C546" s="5" t="s">
        <v>203</v>
      </c>
      <c r="D546" s="5" t="s">
        <v>204</v>
      </c>
      <c r="E546" s="5" t="n">
        <v>201</v>
      </c>
      <c r="F546" s="5" t="s">
        <v>1398</v>
      </c>
      <c r="G546" s="5" t="n">
        <v>4</v>
      </c>
      <c r="H546" s="5" t="s">
        <v>53</v>
      </c>
      <c r="I546" s="5" t="s">
        <v>54</v>
      </c>
      <c r="J546" s="5" t="s">
        <v>117</v>
      </c>
      <c r="K546" s="5" t="s">
        <v>117</v>
      </c>
      <c r="L546" s="5" t="n">
        <v>3</v>
      </c>
      <c r="M546" s="5" t="n">
        <v>2</v>
      </c>
      <c r="N546" s="5" t="n">
        <v>2</v>
      </c>
      <c r="O546" s="5" t="n">
        <v>8</v>
      </c>
      <c r="P546" s="5" t="n">
        <v>-3</v>
      </c>
      <c r="Q546" s="5" t="n">
        <v>0.5</v>
      </c>
      <c r="R546" s="5" t="n">
        <v>5</v>
      </c>
      <c r="S546" s="5" t="n">
        <v>2</v>
      </c>
      <c r="T546" s="5" t="s">
        <v>1399</v>
      </c>
      <c r="U546" s="6"/>
      <c r="V546" s="6"/>
      <c r="W546" s="6"/>
      <c r="X546" s="6"/>
      <c r="Y546" s="7" t="str">
        <f aca="false">IF(COUNT(U546:X546)=4,(W546-X546)/2,"")</f>
        <v/>
      </c>
      <c r="Z546" s="7" t="str">
        <f aca="false">IF(COUNT(U546:X546)=4,(U546-V546)/2,"")</f>
        <v/>
      </c>
      <c r="AA546" s="7" t="str">
        <f aca="false">IF(COUNT(U546:X546)=4,MAX(1,MIN(10,ROUNDUP(5-Z546,0))),"")</f>
        <v/>
      </c>
      <c r="AB546" s="7" t="str">
        <f aca="false">IF(COUNT(U546:X546)=4,MAX(1,MIN(10,ROUNDUP(Y546+5,0))),"")</f>
        <v/>
      </c>
      <c r="AC546" s="6"/>
      <c r="AD546" s="6"/>
    </row>
    <row r="547" customFormat="false" ht="15" hidden="false" customHeight="true" outlineLevel="0" collapsed="false">
      <c r="A547" s="5" t="n">
        <v>546</v>
      </c>
      <c r="B547" s="5" t="s">
        <v>1400</v>
      </c>
      <c r="C547" s="5" t="s">
        <v>171</v>
      </c>
      <c r="D547" s="5" t="s">
        <v>172</v>
      </c>
      <c r="E547" s="5" t="n">
        <v>201</v>
      </c>
      <c r="F547" s="5" t="s">
        <v>1401</v>
      </c>
      <c r="G547" s="5" t="n">
        <v>4</v>
      </c>
      <c r="H547" s="5" t="s">
        <v>53</v>
      </c>
      <c r="I547" s="5" t="s">
        <v>54</v>
      </c>
      <c r="J547" s="5" t="s">
        <v>181</v>
      </c>
      <c r="K547" s="5" t="s">
        <v>413</v>
      </c>
      <c r="L547" s="5" t="n">
        <v>5</v>
      </c>
      <c r="M547" s="5" t="n">
        <v>3</v>
      </c>
      <c r="N547" s="5" t="n">
        <v>3</v>
      </c>
      <c r="O547" s="5" t="n">
        <v>8</v>
      </c>
      <c r="P547" s="5" t="n">
        <v>-2.5</v>
      </c>
      <c r="Q547" s="5" t="n">
        <v>1</v>
      </c>
      <c r="R547" s="5" t="n">
        <v>4</v>
      </c>
      <c r="S547" s="5" t="n">
        <v>3</v>
      </c>
      <c r="T547" s="5" t="s">
        <v>367</v>
      </c>
      <c r="U547" s="6"/>
      <c r="V547" s="6"/>
      <c r="W547" s="6"/>
      <c r="X547" s="6"/>
      <c r="Y547" s="7" t="str">
        <f aca="false">IF(COUNT(U547:X547)=4,(W547-X547)/2,"")</f>
        <v/>
      </c>
      <c r="Z547" s="7" t="str">
        <f aca="false">IF(COUNT(U547:X547)=4,(U547-V547)/2,"")</f>
        <v/>
      </c>
      <c r="AA547" s="7" t="str">
        <f aca="false">IF(COUNT(U547:X547)=4,MAX(1,MIN(10,ROUNDUP(5-Z547,0))),"")</f>
        <v/>
      </c>
      <c r="AB547" s="7" t="str">
        <f aca="false">IF(COUNT(U547:X547)=4,MAX(1,MIN(10,ROUNDUP(Y547+5,0))),"")</f>
        <v/>
      </c>
      <c r="AC547" s="6"/>
      <c r="AD547" s="6"/>
    </row>
    <row r="548" customFormat="false" ht="15" hidden="false" customHeight="true" outlineLevel="0" collapsed="false">
      <c r="A548" s="5" t="n">
        <v>547</v>
      </c>
      <c r="B548" s="5" t="s">
        <v>1402</v>
      </c>
      <c r="C548" s="5" t="s">
        <v>145</v>
      </c>
      <c r="D548" s="5" t="s">
        <v>51</v>
      </c>
      <c r="E548" s="5" t="n">
        <v>201</v>
      </c>
      <c r="F548" s="5" t="s">
        <v>1403</v>
      </c>
      <c r="G548" s="5" t="n">
        <v>4</v>
      </c>
      <c r="H548" s="5" t="s">
        <v>53</v>
      </c>
      <c r="I548" s="5" t="s">
        <v>54</v>
      </c>
      <c r="J548" s="5" t="s">
        <v>55</v>
      </c>
      <c r="K548" s="5" t="s">
        <v>55</v>
      </c>
      <c r="L548" s="5" t="n">
        <v>7</v>
      </c>
      <c r="M548" s="5" t="n">
        <v>2</v>
      </c>
      <c r="N548" s="5" t="n">
        <v>4</v>
      </c>
      <c r="O548" s="5" t="n">
        <v>8</v>
      </c>
      <c r="P548" s="5" t="n">
        <v>-2</v>
      </c>
      <c r="Q548" s="5" t="n">
        <v>2.5</v>
      </c>
      <c r="R548" s="5" t="n">
        <v>3</v>
      </c>
      <c r="S548" s="5" t="n">
        <v>3</v>
      </c>
      <c r="T548" s="5" t="s">
        <v>1404</v>
      </c>
      <c r="U548" s="6"/>
      <c r="V548" s="6"/>
      <c r="W548" s="6"/>
      <c r="X548" s="6"/>
      <c r="Y548" s="7" t="str">
        <f aca="false">IF(COUNT(U548:X548)=4,(W548-X548)/2,"")</f>
        <v/>
      </c>
      <c r="Z548" s="7" t="str">
        <f aca="false">IF(COUNT(U548:X548)=4,(U548-V548)/2,"")</f>
        <v/>
      </c>
      <c r="AA548" s="7" t="str">
        <f aca="false">IF(COUNT(U548:X548)=4,MAX(1,MIN(10,ROUNDUP(5-Z548,0))),"")</f>
        <v/>
      </c>
      <c r="AB548" s="7" t="str">
        <f aca="false">IF(COUNT(U548:X548)=4,MAX(1,MIN(10,ROUNDUP(Y548+5,0))),"")</f>
        <v/>
      </c>
      <c r="AC548" s="6"/>
      <c r="AD548" s="6"/>
    </row>
    <row r="549" customFormat="false" ht="15" hidden="false" customHeight="true" outlineLevel="0" collapsed="false">
      <c r="A549" s="5" t="n">
        <v>548</v>
      </c>
      <c r="B549" s="5" t="s">
        <v>1405</v>
      </c>
      <c r="C549" s="5" t="s">
        <v>203</v>
      </c>
      <c r="D549" s="5" t="s">
        <v>204</v>
      </c>
      <c r="E549" s="5" t="n">
        <v>201</v>
      </c>
      <c r="F549" s="5" t="s">
        <v>1405</v>
      </c>
      <c r="G549" s="5" t="n">
        <v>4</v>
      </c>
      <c r="H549" s="5" t="s">
        <v>53</v>
      </c>
      <c r="I549" s="5" t="s">
        <v>54</v>
      </c>
      <c r="J549" s="5" t="s">
        <v>117</v>
      </c>
      <c r="K549" s="5" t="s">
        <v>117</v>
      </c>
      <c r="L549" s="5" t="n">
        <v>4</v>
      </c>
      <c r="M549" s="5" t="n">
        <v>2</v>
      </c>
      <c r="N549" s="5" t="n">
        <v>2</v>
      </c>
      <c r="O549" s="5" t="n">
        <v>7</v>
      </c>
      <c r="P549" s="5" t="n">
        <v>-2.5</v>
      </c>
      <c r="Q549" s="5" t="n">
        <v>1</v>
      </c>
      <c r="R549" s="5" t="n">
        <v>4</v>
      </c>
      <c r="S549" s="5" t="n">
        <v>3</v>
      </c>
      <c r="T549" s="5" t="s">
        <v>1406</v>
      </c>
      <c r="U549" s="6"/>
      <c r="V549" s="6"/>
      <c r="W549" s="6"/>
      <c r="X549" s="6"/>
      <c r="Y549" s="7" t="str">
        <f aca="false">IF(COUNT(U549:X549)=4,(W549-X549)/2,"")</f>
        <v/>
      </c>
      <c r="Z549" s="7" t="str">
        <f aca="false">IF(COUNT(U549:X549)=4,(U549-V549)/2,"")</f>
        <v/>
      </c>
      <c r="AA549" s="7" t="str">
        <f aca="false">IF(COUNT(U549:X549)=4,MAX(1,MIN(10,ROUNDUP(5-Z549,0))),"")</f>
        <v/>
      </c>
      <c r="AB549" s="7" t="str">
        <f aca="false">IF(COUNT(U549:X549)=4,MAX(1,MIN(10,ROUNDUP(Y549+5,0))),"")</f>
        <v/>
      </c>
      <c r="AC549" s="6"/>
      <c r="AD549" s="6"/>
    </row>
    <row r="550" customFormat="false" ht="15" hidden="false" customHeight="true" outlineLevel="0" collapsed="false">
      <c r="A550" s="5" t="n">
        <v>549</v>
      </c>
      <c r="B550" s="5" t="s">
        <v>1407</v>
      </c>
      <c r="C550" s="5" t="s">
        <v>145</v>
      </c>
      <c r="D550" s="5" t="s">
        <v>51</v>
      </c>
      <c r="E550" s="5" t="n">
        <v>200</v>
      </c>
      <c r="F550" s="5" t="s">
        <v>1408</v>
      </c>
      <c r="G550" s="5" t="n">
        <v>4</v>
      </c>
      <c r="H550" s="5" t="s">
        <v>53</v>
      </c>
      <c r="I550" s="5" t="s">
        <v>54</v>
      </c>
      <c r="J550" s="5" t="s">
        <v>55</v>
      </c>
      <c r="K550" s="5" t="s">
        <v>55</v>
      </c>
      <c r="L550" s="5" t="n">
        <v>5</v>
      </c>
      <c r="M550" s="5" t="n">
        <v>2</v>
      </c>
      <c r="N550" s="5" t="n">
        <v>4</v>
      </c>
      <c r="O550" s="5" t="n">
        <v>8</v>
      </c>
      <c r="P550" s="5" t="n">
        <v>-2</v>
      </c>
      <c r="Q550" s="5" t="n">
        <v>1.5</v>
      </c>
      <c r="R550" s="5" t="n">
        <v>4</v>
      </c>
      <c r="S550" s="5" t="n">
        <v>3</v>
      </c>
      <c r="T550" s="5" t="s">
        <v>1409</v>
      </c>
      <c r="U550" s="6"/>
      <c r="V550" s="6"/>
      <c r="W550" s="6"/>
      <c r="X550" s="6"/>
      <c r="Y550" s="7" t="str">
        <f aca="false">IF(COUNT(U550:X550)=4,(W550-X550)/2,"")</f>
        <v/>
      </c>
      <c r="Z550" s="7" t="str">
        <f aca="false">IF(COUNT(U550:X550)=4,(U550-V550)/2,"")</f>
        <v/>
      </c>
      <c r="AA550" s="7" t="str">
        <f aca="false">IF(COUNT(U550:X550)=4,MAX(1,MIN(10,ROUNDUP(5-Z550,0))),"")</f>
        <v/>
      </c>
      <c r="AB550" s="7" t="str">
        <f aca="false">IF(COUNT(U550:X550)=4,MAX(1,MIN(10,ROUNDUP(Y550+5,0))),"")</f>
        <v/>
      </c>
      <c r="AC550" s="6"/>
      <c r="AD550" s="6"/>
    </row>
    <row r="551" customFormat="false" ht="15" hidden="false" customHeight="true" outlineLevel="0" collapsed="false">
      <c r="A551" s="5" t="n">
        <v>550</v>
      </c>
      <c r="B551" s="5" t="s">
        <v>1410</v>
      </c>
      <c r="C551" s="5" t="s">
        <v>171</v>
      </c>
      <c r="D551" s="5" t="s">
        <v>172</v>
      </c>
      <c r="E551" s="5" t="n">
        <v>200</v>
      </c>
      <c r="F551" s="5" t="s">
        <v>1411</v>
      </c>
      <c r="G551" s="5" t="n">
        <v>4</v>
      </c>
      <c r="H551" s="5" t="s">
        <v>53</v>
      </c>
      <c r="I551" s="5" t="s">
        <v>81</v>
      </c>
      <c r="J551" s="5" t="s">
        <v>174</v>
      </c>
      <c r="K551" s="5" t="s">
        <v>175</v>
      </c>
      <c r="L551" s="5" t="n">
        <v>7</v>
      </c>
      <c r="M551" s="5" t="n">
        <v>1</v>
      </c>
      <c r="N551" s="5" t="n">
        <v>6</v>
      </c>
      <c r="O551" s="5" t="n">
        <v>5</v>
      </c>
      <c r="P551" s="5" t="n">
        <v>0.5</v>
      </c>
      <c r="Q551" s="5" t="n">
        <v>3</v>
      </c>
      <c r="R551" s="5" t="n">
        <v>2</v>
      </c>
      <c r="S551" s="5" t="n">
        <v>6</v>
      </c>
      <c r="T551" s="5" t="s">
        <v>325</v>
      </c>
      <c r="U551" s="6"/>
      <c r="V551" s="6"/>
      <c r="W551" s="6"/>
      <c r="X551" s="6"/>
      <c r="Y551" s="7" t="str">
        <f aca="false">IF(COUNT(U551:X551)=4,(W551-X551)/2,"")</f>
        <v/>
      </c>
      <c r="Z551" s="7" t="str">
        <f aca="false">IF(COUNT(U551:X551)=4,(U551-V551)/2,"")</f>
        <v/>
      </c>
      <c r="AA551" s="7" t="str">
        <f aca="false">IF(COUNT(U551:X551)=4,MAX(1,MIN(10,ROUNDUP(5-Z551,0))),"")</f>
        <v/>
      </c>
      <c r="AB551" s="7" t="str">
        <f aca="false">IF(COUNT(U551:X551)=4,MAX(1,MIN(10,ROUNDUP(Y551+5,0))),"")</f>
        <v/>
      </c>
      <c r="AC551" s="6"/>
      <c r="AD551" s="6"/>
    </row>
    <row r="552" customFormat="false" ht="15" hidden="false" customHeight="true" outlineLevel="0" collapsed="false">
      <c r="A552" s="5" t="n">
        <v>551</v>
      </c>
      <c r="B552" s="5" t="s">
        <v>1412</v>
      </c>
      <c r="C552" s="5" t="s">
        <v>171</v>
      </c>
      <c r="D552" s="5" t="s">
        <v>172</v>
      </c>
      <c r="E552" s="5" t="n">
        <v>198</v>
      </c>
      <c r="F552" s="5" t="s">
        <v>1413</v>
      </c>
      <c r="G552" s="5" t="n">
        <v>4</v>
      </c>
      <c r="H552" s="5" t="s">
        <v>53</v>
      </c>
      <c r="I552" s="5" t="s">
        <v>54</v>
      </c>
      <c r="J552" s="5" t="s">
        <v>181</v>
      </c>
      <c r="K552" s="5" t="s">
        <v>511</v>
      </c>
      <c r="L552" s="5" t="n">
        <v>2</v>
      </c>
      <c r="M552" s="5" t="n">
        <v>6</v>
      </c>
      <c r="N552" s="5" t="n">
        <v>7</v>
      </c>
      <c r="O552" s="5" t="n">
        <v>4</v>
      </c>
      <c r="P552" s="5" t="n">
        <v>1.5</v>
      </c>
      <c r="Q552" s="5" t="n">
        <v>-2</v>
      </c>
      <c r="R552" s="5" t="n">
        <v>7</v>
      </c>
      <c r="S552" s="5" t="n">
        <v>7</v>
      </c>
      <c r="T552" s="5" t="s">
        <v>1380</v>
      </c>
      <c r="U552" s="6"/>
      <c r="V552" s="6"/>
      <c r="W552" s="6"/>
      <c r="X552" s="6"/>
      <c r="Y552" s="7" t="str">
        <f aca="false">IF(COUNT(U552:X552)=4,(W552-X552)/2,"")</f>
        <v/>
      </c>
      <c r="Z552" s="7" t="str">
        <f aca="false">IF(COUNT(U552:X552)=4,(U552-V552)/2,"")</f>
        <v/>
      </c>
      <c r="AA552" s="7" t="str">
        <f aca="false">IF(COUNT(U552:X552)=4,MAX(1,MIN(10,ROUNDUP(5-Z552,0))),"")</f>
        <v/>
      </c>
      <c r="AB552" s="7" t="str">
        <f aca="false">IF(COUNT(U552:X552)=4,MAX(1,MIN(10,ROUNDUP(Y552+5,0))),"")</f>
        <v/>
      </c>
      <c r="AC552" s="6"/>
      <c r="AD552" s="6"/>
    </row>
    <row r="553" customFormat="false" ht="15" hidden="false" customHeight="true" outlineLevel="0" collapsed="false">
      <c r="A553" s="5" t="n">
        <v>552</v>
      </c>
      <c r="B553" s="5" t="s">
        <v>1414</v>
      </c>
      <c r="C553" s="5" t="s">
        <v>171</v>
      </c>
      <c r="D553" s="5" t="s">
        <v>172</v>
      </c>
      <c r="E553" s="5" t="n">
        <v>198</v>
      </c>
      <c r="F553" s="5" t="s">
        <v>1414</v>
      </c>
      <c r="G553" s="5" t="n">
        <v>4</v>
      </c>
      <c r="H553" s="5" t="s">
        <v>53</v>
      </c>
      <c r="I553" s="5" t="s">
        <v>54</v>
      </c>
      <c r="J553" s="5" t="s">
        <v>181</v>
      </c>
      <c r="K553" s="5" t="s">
        <v>221</v>
      </c>
      <c r="L553" s="5" t="n">
        <v>3</v>
      </c>
      <c r="M553" s="5" t="n">
        <v>6</v>
      </c>
      <c r="N553" s="5" t="n">
        <v>6</v>
      </c>
      <c r="O553" s="5" t="n">
        <v>5</v>
      </c>
      <c r="P553" s="5" t="n">
        <v>0.5</v>
      </c>
      <c r="Q553" s="5" t="n">
        <v>-1.5</v>
      </c>
      <c r="R553" s="5" t="n">
        <v>7</v>
      </c>
      <c r="S553" s="5" t="n">
        <v>6</v>
      </c>
      <c r="T553" s="5" t="s">
        <v>1415</v>
      </c>
      <c r="U553" s="6"/>
      <c r="V553" s="6"/>
      <c r="W553" s="6"/>
      <c r="X553" s="6"/>
      <c r="Y553" s="7" t="str">
        <f aca="false">IF(COUNT(U553:X553)=4,(W553-X553)/2,"")</f>
        <v/>
      </c>
      <c r="Z553" s="7" t="str">
        <f aca="false">IF(COUNT(U553:X553)=4,(U553-V553)/2,"")</f>
        <v/>
      </c>
      <c r="AA553" s="7" t="str">
        <f aca="false">IF(COUNT(U553:X553)=4,MAX(1,MIN(10,ROUNDUP(5-Z553,0))),"")</f>
        <v/>
      </c>
      <c r="AB553" s="7" t="str">
        <f aca="false">IF(COUNT(U553:X553)=4,MAX(1,MIN(10,ROUNDUP(Y553+5,0))),"")</f>
        <v/>
      </c>
      <c r="AC553" s="6"/>
      <c r="AD553" s="6"/>
    </row>
    <row r="554" customFormat="false" ht="15" hidden="false" customHeight="true" outlineLevel="0" collapsed="false">
      <c r="A554" s="5" t="n">
        <v>553</v>
      </c>
      <c r="B554" s="5" t="s">
        <v>1416</v>
      </c>
      <c r="C554" s="5" t="s">
        <v>171</v>
      </c>
      <c r="D554" s="5" t="s">
        <v>172</v>
      </c>
      <c r="E554" s="5" t="n">
        <v>198</v>
      </c>
      <c r="F554" s="5" t="s">
        <v>1417</v>
      </c>
      <c r="G554" s="5" t="n">
        <v>4</v>
      </c>
      <c r="H554" s="5" t="s">
        <v>53</v>
      </c>
      <c r="I554" s="5" t="s">
        <v>54</v>
      </c>
      <c r="J554" s="5" t="s">
        <v>181</v>
      </c>
      <c r="K554" s="5" t="s">
        <v>223</v>
      </c>
      <c r="L554" s="5" t="n">
        <v>4</v>
      </c>
      <c r="M554" s="5" t="n">
        <v>4</v>
      </c>
      <c r="N554" s="5" t="n">
        <v>6</v>
      </c>
      <c r="O554" s="5" t="n">
        <v>5</v>
      </c>
      <c r="P554" s="5" t="n">
        <v>0.5</v>
      </c>
      <c r="Q554" s="5" t="n">
        <v>0</v>
      </c>
      <c r="R554" s="5" t="n">
        <v>5</v>
      </c>
      <c r="S554" s="5" t="n">
        <v>6</v>
      </c>
      <c r="T554" s="5" t="s">
        <v>1418</v>
      </c>
      <c r="U554" s="6"/>
      <c r="V554" s="6"/>
      <c r="W554" s="6"/>
      <c r="X554" s="6"/>
      <c r="Y554" s="7" t="str">
        <f aca="false">IF(COUNT(U554:X554)=4,(W554-X554)/2,"")</f>
        <v/>
      </c>
      <c r="Z554" s="7" t="str">
        <f aca="false">IF(COUNT(U554:X554)=4,(U554-V554)/2,"")</f>
        <v/>
      </c>
      <c r="AA554" s="7" t="str">
        <f aca="false">IF(COUNT(U554:X554)=4,MAX(1,MIN(10,ROUNDUP(5-Z554,0))),"")</f>
        <v/>
      </c>
      <c r="AB554" s="7" t="str">
        <f aca="false">IF(COUNT(U554:X554)=4,MAX(1,MIN(10,ROUNDUP(Y554+5,0))),"")</f>
        <v/>
      </c>
      <c r="AC554" s="6"/>
      <c r="AD554" s="6"/>
    </row>
    <row r="555" customFormat="false" ht="15" hidden="false" customHeight="true" outlineLevel="0" collapsed="false">
      <c r="A555" s="5" t="n">
        <v>554</v>
      </c>
      <c r="B555" s="5" t="s">
        <v>1419</v>
      </c>
      <c r="C555" s="5" t="s">
        <v>145</v>
      </c>
      <c r="D555" s="5" t="s">
        <v>51</v>
      </c>
      <c r="E555" s="5" t="n">
        <v>198</v>
      </c>
      <c r="F555" s="5" t="s">
        <v>1420</v>
      </c>
      <c r="G555" s="5" t="n">
        <v>4</v>
      </c>
      <c r="H555" s="5" t="s">
        <v>53</v>
      </c>
      <c r="I555" s="5" t="s">
        <v>54</v>
      </c>
      <c r="J555" s="5" t="s">
        <v>181</v>
      </c>
      <c r="K555" s="5" t="s">
        <v>574</v>
      </c>
      <c r="L555" s="5" t="n">
        <v>3</v>
      </c>
      <c r="M555" s="5" t="n">
        <v>5</v>
      </c>
      <c r="N555" s="5" t="n">
        <v>4</v>
      </c>
      <c r="O555" s="5" t="n">
        <v>7</v>
      </c>
      <c r="P555" s="5" t="n">
        <v>-1.5</v>
      </c>
      <c r="Q555" s="5" t="n">
        <v>-1</v>
      </c>
      <c r="R555" s="5" t="n">
        <v>6</v>
      </c>
      <c r="S555" s="5" t="n">
        <v>4</v>
      </c>
      <c r="T555" s="5" t="s">
        <v>1421</v>
      </c>
      <c r="U555" s="6"/>
      <c r="V555" s="6"/>
      <c r="W555" s="6"/>
      <c r="X555" s="6"/>
      <c r="Y555" s="7" t="str">
        <f aca="false">IF(COUNT(U555:X555)=4,(W555-X555)/2,"")</f>
        <v/>
      </c>
      <c r="Z555" s="7" t="str">
        <f aca="false">IF(COUNT(U555:X555)=4,(U555-V555)/2,"")</f>
        <v/>
      </c>
      <c r="AA555" s="7" t="str">
        <f aca="false">IF(COUNT(U555:X555)=4,MAX(1,MIN(10,ROUNDUP(5-Z555,0))),"")</f>
        <v/>
      </c>
      <c r="AB555" s="7" t="str">
        <f aca="false">IF(COUNT(U555:X555)=4,MAX(1,MIN(10,ROUNDUP(Y555+5,0))),"")</f>
        <v/>
      </c>
      <c r="AC555" s="6"/>
      <c r="AD555" s="6"/>
    </row>
    <row r="556" customFormat="false" ht="15" hidden="false" customHeight="true" outlineLevel="0" collapsed="false">
      <c r="A556" s="5" t="n">
        <v>555</v>
      </c>
      <c r="B556" s="5" t="s">
        <v>1422</v>
      </c>
      <c r="C556" s="5" t="s">
        <v>145</v>
      </c>
      <c r="D556" s="5" t="s">
        <v>51</v>
      </c>
      <c r="E556" s="5" t="n">
        <v>197</v>
      </c>
      <c r="F556" s="5" t="s">
        <v>1423</v>
      </c>
      <c r="G556" s="5" t="n">
        <v>4</v>
      </c>
      <c r="H556" s="5" t="s">
        <v>53</v>
      </c>
      <c r="I556" s="5" t="s">
        <v>54</v>
      </c>
      <c r="J556" s="5" t="s">
        <v>55</v>
      </c>
      <c r="K556" s="5" t="s">
        <v>55</v>
      </c>
      <c r="L556" s="5" t="n">
        <v>5</v>
      </c>
      <c r="M556" s="5" t="n">
        <v>2</v>
      </c>
      <c r="N556" s="5" t="n">
        <v>9</v>
      </c>
      <c r="O556" s="5" t="n">
        <v>2</v>
      </c>
      <c r="P556" s="5" t="n">
        <v>3.5</v>
      </c>
      <c r="Q556" s="5" t="n">
        <v>1.5</v>
      </c>
      <c r="R556" s="5" t="n">
        <v>4</v>
      </c>
      <c r="S556" s="5" t="n">
        <v>9</v>
      </c>
      <c r="T556" s="5" t="s">
        <v>1424</v>
      </c>
      <c r="U556" s="6"/>
      <c r="V556" s="6"/>
      <c r="W556" s="6"/>
      <c r="X556" s="6"/>
      <c r="Y556" s="7" t="str">
        <f aca="false">IF(COUNT(U556:X556)=4,(W556-X556)/2,"")</f>
        <v/>
      </c>
      <c r="Z556" s="7" t="str">
        <f aca="false">IF(COUNT(U556:X556)=4,(U556-V556)/2,"")</f>
        <v/>
      </c>
      <c r="AA556" s="7" t="str">
        <f aca="false">IF(COUNT(U556:X556)=4,MAX(1,MIN(10,ROUNDUP(5-Z556,0))),"")</f>
        <v/>
      </c>
      <c r="AB556" s="7" t="str">
        <f aca="false">IF(COUNT(U556:X556)=4,MAX(1,MIN(10,ROUNDUP(Y556+5,0))),"")</f>
        <v/>
      </c>
      <c r="AC556" s="6"/>
      <c r="AD556" s="6"/>
    </row>
    <row r="557" customFormat="false" ht="15" hidden="false" customHeight="true" outlineLevel="0" collapsed="false">
      <c r="A557" s="5" t="n">
        <v>556</v>
      </c>
      <c r="B557" s="5" t="s">
        <v>1425</v>
      </c>
      <c r="C557" s="5" t="s">
        <v>171</v>
      </c>
      <c r="D557" s="5" t="s">
        <v>172</v>
      </c>
      <c r="E557" s="5" t="n">
        <v>197</v>
      </c>
      <c r="F557" s="5" t="s">
        <v>1426</v>
      </c>
      <c r="G557" s="5" t="n">
        <v>4</v>
      </c>
      <c r="H557" s="5" t="s">
        <v>53</v>
      </c>
      <c r="I557" s="5" t="s">
        <v>54</v>
      </c>
      <c r="J557" s="5" t="s">
        <v>181</v>
      </c>
      <c r="K557" s="5" t="s">
        <v>333</v>
      </c>
      <c r="L557" s="5" t="n">
        <v>2</v>
      </c>
      <c r="M557" s="5" t="n">
        <v>4</v>
      </c>
      <c r="N557" s="5" t="n">
        <v>8</v>
      </c>
      <c r="O557" s="5" t="n">
        <v>2</v>
      </c>
      <c r="P557" s="5" t="n">
        <v>3</v>
      </c>
      <c r="Q557" s="5" t="n">
        <v>-1</v>
      </c>
      <c r="R557" s="5" t="n">
        <v>6</v>
      </c>
      <c r="S557" s="5" t="n">
        <v>8</v>
      </c>
      <c r="T557" s="5" t="s">
        <v>1427</v>
      </c>
      <c r="U557" s="6"/>
      <c r="V557" s="6"/>
      <c r="W557" s="6"/>
      <c r="X557" s="6"/>
      <c r="Y557" s="7" t="str">
        <f aca="false">IF(COUNT(U557:X557)=4,(W557-X557)/2,"")</f>
        <v/>
      </c>
      <c r="Z557" s="7" t="str">
        <f aca="false">IF(COUNT(U557:X557)=4,(U557-V557)/2,"")</f>
        <v/>
      </c>
      <c r="AA557" s="7" t="str">
        <f aca="false">IF(COUNT(U557:X557)=4,MAX(1,MIN(10,ROUNDUP(5-Z557,0))),"")</f>
        <v/>
      </c>
      <c r="AB557" s="7" t="str">
        <f aca="false">IF(COUNT(U557:X557)=4,MAX(1,MIN(10,ROUNDUP(Y557+5,0))),"")</f>
        <v/>
      </c>
      <c r="AC557" s="6"/>
      <c r="AD557" s="6"/>
    </row>
    <row r="558" customFormat="false" ht="15" hidden="false" customHeight="true" outlineLevel="0" collapsed="false">
      <c r="A558" s="5" t="n">
        <v>557</v>
      </c>
      <c r="B558" s="5" t="s">
        <v>1428</v>
      </c>
      <c r="C558" s="5" t="s">
        <v>171</v>
      </c>
      <c r="D558" s="5" t="s">
        <v>172</v>
      </c>
      <c r="E558" s="5" t="n">
        <v>197</v>
      </c>
      <c r="F558" s="5" t="s">
        <v>1429</v>
      </c>
      <c r="G558" s="5" t="n">
        <v>4</v>
      </c>
      <c r="H558" s="5" t="s">
        <v>53</v>
      </c>
      <c r="I558" s="5" t="s">
        <v>54</v>
      </c>
      <c r="J558" s="5" t="s">
        <v>181</v>
      </c>
      <c r="K558" s="5" t="s">
        <v>221</v>
      </c>
      <c r="L558" s="5" t="n">
        <v>2</v>
      </c>
      <c r="M558" s="5" t="n">
        <v>5</v>
      </c>
      <c r="N558" s="5" t="n">
        <v>6</v>
      </c>
      <c r="O558" s="5" t="n">
        <v>5</v>
      </c>
      <c r="P558" s="5" t="n">
        <v>0.5</v>
      </c>
      <c r="Q558" s="5" t="n">
        <v>-1.5</v>
      </c>
      <c r="R558" s="5" t="n">
        <v>7</v>
      </c>
      <c r="S558" s="5" t="n">
        <v>6</v>
      </c>
      <c r="T558" s="5" t="s">
        <v>294</v>
      </c>
      <c r="U558" s="6"/>
      <c r="V558" s="6"/>
      <c r="W558" s="6"/>
      <c r="X558" s="6"/>
      <c r="Y558" s="7" t="str">
        <f aca="false">IF(COUNT(U558:X558)=4,(W558-X558)/2,"")</f>
        <v/>
      </c>
      <c r="Z558" s="7" t="str">
        <f aca="false">IF(COUNT(U558:X558)=4,(U558-V558)/2,"")</f>
        <v/>
      </c>
      <c r="AA558" s="7" t="str">
        <f aca="false">IF(COUNT(U558:X558)=4,MAX(1,MIN(10,ROUNDUP(5-Z558,0))),"")</f>
        <v/>
      </c>
      <c r="AB558" s="7" t="str">
        <f aca="false">IF(COUNT(U558:X558)=4,MAX(1,MIN(10,ROUNDUP(Y558+5,0))),"")</f>
        <v/>
      </c>
      <c r="AC558" s="6"/>
      <c r="AD558" s="6"/>
    </row>
    <row r="559" customFormat="false" ht="15" hidden="false" customHeight="true" outlineLevel="0" collapsed="false">
      <c r="A559" s="5" t="n">
        <v>558</v>
      </c>
      <c r="B559" s="5" t="s">
        <v>1430</v>
      </c>
      <c r="C559" s="5" t="s">
        <v>145</v>
      </c>
      <c r="D559" s="5" t="s">
        <v>51</v>
      </c>
      <c r="E559" s="5" t="n">
        <v>196</v>
      </c>
      <c r="F559" s="5" t="s">
        <v>1431</v>
      </c>
      <c r="G559" s="5" t="n">
        <v>4</v>
      </c>
      <c r="H559" s="5" t="s">
        <v>53</v>
      </c>
      <c r="I559" s="5" t="s">
        <v>54</v>
      </c>
      <c r="J559" s="5" t="s">
        <v>181</v>
      </c>
      <c r="K559" s="5" t="s">
        <v>235</v>
      </c>
      <c r="L559" s="5" t="n">
        <v>5</v>
      </c>
      <c r="M559" s="5" t="n">
        <v>6</v>
      </c>
      <c r="N559" s="5" t="n">
        <v>7</v>
      </c>
      <c r="O559" s="5" t="n">
        <v>4</v>
      </c>
      <c r="P559" s="5" t="n">
        <v>1.5</v>
      </c>
      <c r="Q559" s="5" t="n">
        <v>-0.5</v>
      </c>
      <c r="R559" s="5" t="n">
        <v>6</v>
      </c>
      <c r="S559" s="5" t="n">
        <v>7</v>
      </c>
      <c r="T559" s="5" t="s">
        <v>1432</v>
      </c>
      <c r="U559" s="6"/>
      <c r="V559" s="6"/>
      <c r="W559" s="6"/>
      <c r="X559" s="6"/>
      <c r="Y559" s="7" t="str">
        <f aca="false">IF(COUNT(U559:X559)=4,(W559-X559)/2,"")</f>
        <v/>
      </c>
      <c r="Z559" s="7" t="str">
        <f aca="false">IF(COUNT(U559:X559)=4,(U559-V559)/2,"")</f>
        <v/>
      </c>
      <c r="AA559" s="7" t="str">
        <f aca="false">IF(COUNT(U559:X559)=4,MAX(1,MIN(10,ROUNDUP(5-Z559,0))),"")</f>
        <v/>
      </c>
      <c r="AB559" s="7" t="str">
        <f aca="false">IF(COUNT(U559:X559)=4,MAX(1,MIN(10,ROUNDUP(Y559+5,0))),"")</f>
        <v/>
      </c>
      <c r="AC559" s="6"/>
      <c r="AD559" s="6"/>
    </row>
    <row r="560" customFormat="false" ht="15" hidden="false" customHeight="true" outlineLevel="0" collapsed="false">
      <c r="A560" s="5" t="n">
        <v>559</v>
      </c>
      <c r="B560" s="5" t="s">
        <v>1433</v>
      </c>
      <c r="C560" s="5" t="s">
        <v>171</v>
      </c>
      <c r="D560" s="5" t="s">
        <v>172</v>
      </c>
      <c r="E560" s="5" t="n">
        <v>196</v>
      </c>
      <c r="F560" s="5" t="s">
        <v>1434</v>
      </c>
      <c r="G560" s="5" t="n">
        <v>4</v>
      </c>
      <c r="H560" s="5" t="s">
        <v>53</v>
      </c>
      <c r="I560" s="5" t="s">
        <v>54</v>
      </c>
      <c r="J560" s="5" t="s">
        <v>181</v>
      </c>
      <c r="K560" s="5" t="s">
        <v>413</v>
      </c>
      <c r="L560" s="5" t="n">
        <v>5</v>
      </c>
      <c r="M560" s="5" t="n">
        <v>4</v>
      </c>
      <c r="N560" s="5" t="n">
        <v>3</v>
      </c>
      <c r="O560" s="5" t="n">
        <v>8</v>
      </c>
      <c r="P560" s="5" t="n">
        <v>-2.5</v>
      </c>
      <c r="Q560" s="5" t="n">
        <v>0.5</v>
      </c>
      <c r="R560" s="5" t="n">
        <v>5</v>
      </c>
      <c r="S560" s="5" t="n">
        <v>3</v>
      </c>
      <c r="T560" s="5" t="s">
        <v>1435</v>
      </c>
      <c r="U560" s="6"/>
      <c r="V560" s="6"/>
      <c r="W560" s="6"/>
      <c r="X560" s="6"/>
      <c r="Y560" s="7" t="str">
        <f aca="false">IF(COUNT(U560:X560)=4,(W560-X560)/2,"")</f>
        <v/>
      </c>
      <c r="Z560" s="7" t="str">
        <f aca="false">IF(COUNT(U560:X560)=4,(U560-V560)/2,"")</f>
        <v/>
      </c>
      <c r="AA560" s="7" t="str">
        <f aca="false">IF(COUNT(U560:X560)=4,MAX(1,MIN(10,ROUNDUP(5-Z560,0))),"")</f>
        <v/>
      </c>
      <c r="AB560" s="7" t="str">
        <f aca="false">IF(COUNT(U560:X560)=4,MAX(1,MIN(10,ROUNDUP(Y560+5,0))),"")</f>
        <v/>
      </c>
      <c r="AC560" s="6"/>
      <c r="AD560" s="6"/>
    </row>
    <row r="561" customFormat="false" ht="15" hidden="false" customHeight="true" outlineLevel="0" collapsed="false">
      <c r="A561" s="5" t="n">
        <v>560</v>
      </c>
      <c r="B561" s="5" t="s">
        <v>1436</v>
      </c>
      <c r="C561" s="5" t="s">
        <v>203</v>
      </c>
      <c r="D561" s="5" t="s">
        <v>204</v>
      </c>
      <c r="E561" s="5" t="n">
        <v>196</v>
      </c>
      <c r="F561" s="5" t="s">
        <v>1436</v>
      </c>
      <c r="G561" s="5" t="n">
        <v>4</v>
      </c>
      <c r="H561" s="5" t="s">
        <v>53</v>
      </c>
      <c r="I561" s="5" t="s">
        <v>54</v>
      </c>
      <c r="J561" s="5" t="s">
        <v>117</v>
      </c>
      <c r="K561" s="5" t="s">
        <v>117</v>
      </c>
      <c r="L561" s="5" t="n">
        <v>4</v>
      </c>
      <c r="M561" s="5" t="n">
        <v>1</v>
      </c>
      <c r="N561" s="5" t="n">
        <v>2</v>
      </c>
      <c r="O561" s="5" t="n">
        <v>8</v>
      </c>
      <c r="P561" s="5" t="n">
        <v>-3</v>
      </c>
      <c r="Q561" s="5" t="n">
        <v>1.5</v>
      </c>
      <c r="R561" s="5" t="n">
        <v>4</v>
      </c>
      <c r="S561" s="5" t="n">
        <v>2</v>
      </c>
      <c r="T561" s="5" t="s">
        <v>1437</v>
      </c>
      <c r="U561" s="6"/>
      <c r="V561" s="6"/>
      <c r="W561" s="6"/>
      <c r="X561" s="6"/>
      <c r="Y561" s="7" t="str">
        <f aca="false">IF(COUNT(U561:X561)=4,(W561-X561)/2,"")</f>
        <v/>
      </c>
      <c r="Z561" s="7" t="str">
        <f aca="false">IF(COUNT(U561:X561)=4,(U561-V561)/2,"")</f>
        <v/>
      </c>
      <c r="AA561" s="7" t="str">
        <f aca="false">IF(COUNT(U561:X561)=4,MAX(1,MIN(10,ROUNDUP(5-Z561,0))),"")</f>
        <v/>
      </c>
      <c r="AB561" s="7" t="str">
        <f aca="false">IF(COUNT(U561:X561)=4,MAX(1,MIN(10,ROUNDUP(Y561+5,0))),"")</f>
        <v/>
      </c>
      <c r="AC561" s="6"/>
      <c r="AD561" s="6"/>
    </row>
    <row r="562" customFormat="false" ht="15" hidden="false" customHeight="true" outlineLevel="0" collapsed="false">
      <c r="A562" s="5" t="n">
        <v>561</v>
      </c>
      <c r="B562" s="5" t="s">
        <v>1438</v>
      </c>
      <c r="C562" s="5" t="s">
        <v>108</v>
      </c>
      <c r="D562" s="5" t="s">
        <v>109</v>
      </c>
      <c r="E562" s="5" t="n">
        <v>195</v>
      </c>
      <c r="F562" s="5" t="s">
        <v>1438</v>
      </c>
      <c r="G562" s="5" t="n">
        <v>4</v>
      </c>
      <c r="H562" s="5" t="s">
        <v>53</v>
      </c>
      <c r="I562" s="5" t="s">
        <v>54</v>
      </c>
      <c r="J562" s="5" t="s">
        <v>181</v>
      </c>
      <c r="K562" s="5" t="s">
        <v>221</v>
      </c>
      <c r="L562" s="5" t="n">
        <v>2</v>
      </c>
      <c r="M562" s="5" t="n">
        <v>5</v>
      </c>
      <c r="N562" s="5" t="n">
        <v>7</v>
      </c>
      <c r="O562" s="5" t="n">
        <v>7</v>
      </c>
      <c r="P562" s="5" t="n">
        <v>0</v>
      </c>
      <c r="Q562" s="5" t="n">
        <v>-1.5</v>
      </c>
      <c r="R562" s="5" t="n">
        <v>7</v>
      </c>
      <c r="S562" s="5" t="n">
        <v>5</v>
      </c>
      <c r="T562" s="5" t="s">
        <v>1439</v>
      </c>
      <c r="U562" s="6"/>
      <c r="V562" s="6"/>
      <c r="W562" s="6"/>
      <c r="X562" s="6"/>
      <c r="Y562" s="7" t="str">
        <f aca="false">IF(COUNT(U562:X562)=4,(W562-X562)/2,"")</f>
        <v/>
      </c>
      <c r="Z562" s="7" t="str">
        <f aca="false">IF(COUNT(U562:X562)=4,(U562-V562)/2,"")</f>
        <v/>
      </c>
      <c r="AA562" s="7" t="str">
        <f aca="false">IF(COUNT(U562:X562)=4,MAX(1,MIN(10,ROUNDUP(5-Z562,0))),"")</f>
        <v/>
      </c>
      <c r="AB562" s="7" t="str">
        <f aca="false">IF(COUNT(U562:X562)=4,MAX(1,MIN(10,ROUNDUP(Y562+5,0))),"")</f>
        <v/>
      </c>
      <c r="AC562" s="6"/>
      <c r="AD562" s="6"/>
    </row>
    <row r="563" customFormat="false" ht="15" hidden="false" customHeight="true" outlineLevel="0" collapsed="false">
      <c r="A563" s="5" t="n">
        <v>562</v>
      </c>
      <c r="B563" s="5" t="s">
        <v>1440</v>
      </c>
      <c r="C563" s="5" t="s">
        <v>203</v>
      </c>
      <c r="D563" s="5" t="s">
        <v>204</v>
      </c>
      <c r="E563" s="5" t="n">
        <v>195</v>
      </c>
      <c r="F563" s="5" t="s">
        <v>1440</v>
      </c>
      <c r="G563" s="5" t="n">
        <v>4</v>
      </c>
      <c r="H563" s="5" t="s">
        <v>53</v>
      </c>
      <c r="I563" s="5" t="s">
        <v>54</v>
      </c>
      <c r="J563" s="5" t="s">
        <v>117</v>
      </c>
      <c r="K563" s="5" t="s">
        <v>117</v>
      </c>
      <c r="L563" s="5" t="n">
        <v>3</v>
      </c>
      <c r="M563" s="5" t="n">
        <v>1</v>
      </c>
      <c r="N563" s="5" t="n">
        <v>2</v>
      </c>
      <c r="O563" s="5" t="n">
        <v>8</v>
      </c>
      <c r="P563" s="5" t="n">
        <v>-3</v>
      </c>
      <c r="Q563" s="5" t="n">
        <v>1</v>
      </c>
      <c r="R563" s="5" t="n">
        <v>4</v>
      </c>
      <c r="S563" s="5" t="n">
        <v>2</v>
      </c>
      <c r="T563" s="5" t="s">
        <v>1441</v>
      </c>
      <c r="U563" s="6"/>
      <c r="V563" s="6"/>
      <c r="W563" s="6"/>
      <c r="X563" s="6"/>
      <c r="Y563" s="7" t="str">
        <f aca="false">IF(COUNT(U563:X563)=4,(W563-X563)/2,"")</f>
        <v/>
      </c>
      <c r="Z563" s="7" t="str">
        <f aca="false">IF(COUNT(U563:X563)=4,(U563-V563)/2,"")</f>
        <v/>
      </c>
      <c r="AA563" s="7" t="str">
        <f aca="false">IF(COUNT(U563:X563)=4,MAX(1,MIN(10,ROUNDUP(5-Z563,0))),"")</f>
        <v/>
      </c>
      <c r="AB563" s="7" t="str">
        <f aca="false">IF(COUNT(U563:X563)=4,MAX(1,MIN(10,ROUNDUP(Y563+5,0))),"")</f>
        <v/>
      </c>
      <c r="AC563" s="6"/>
      <c r="AD563" s="6"/>
    </row>
    <row r="564" customFormat="false" ht="15" hidden="false" customHeight="true" outlineLevel="0" collapsed="false">
      <c r="A564" s="5" t="n">
        <v>563</v>
      </c>
      <c r="B564" s="5" t="s">
        <v>1442</v>
      </c>
      <c r="C564" s="5" t="s">
        <v>145</v>
      </c>
      <c r="D564" s="5" t="s">
        <v>51</v>
      </c>
      <c r="E564" s="5" t="n">
        <v>195</v>
      </c>
      <c r="F564" s="5" t="s">
        <v>1443</v>
      </c>
      <c r="G564" s="5" t="n">
        <v>4</v>
      </c>
      <c r="H564" s="5" t="s">
        <v>53</v>
      </c>
      <c r="I564" s="5" t="s">
        <v>54</v>
      </c>
      <c r="J564" s="5" t="s">
        <v>55</v>
      </c>
      <c r="K564" s="5" t="s">
        <v>55</v>
      </c>
      <c r="L564" s="5" t="n">
        <v>6</v>
      </c>
      <c r="M564" s="5" t="n">
        <v>2</v>
      </c>
      <c r="N564" s="5" t="n">
        <v>5</v>
      </c>
      <c r="O564" s="5" t="n">
        <v>8</v>
      </c>
      <c r="P564" s="5" t="n">
        <v>-1.5</v>
      </c>
      <c r="Q564" s="5" t="n">
        <v>2</v>
      </c>
      <c r="R564" s="5" t="n">
        <v>3</v>
      </c>
      <c r="S564" s="5" t="n">
        <v>4</v>
      </c>
      <c r="T564" s="5" t="s">
        <v>1444</v>
      </c>
      <c r="U564" s="6"/>
      <c r="V564" s="6"/>
      <c r="W564" s="6"/>
      <c r="X564" s="6"/>
      <c r="Y564" s="7" t="str">
        <f aca="false">IF(COUNT(U564:X564)=4,(W564-X564)/2,"")</f>
        <v/>
      </c>
      <c r="Z564" s="7" t="str">
        <f aca="false">IF(COUNT(U564:X564)=4,(U564-V564)/2,"")</f>
        <v/>
      </c>
      <c r="AA564" s="7" t="str">
        <f aca="false">IF(COUNT(U564:X564)=4,MAX(1,MIN(10,ROUNDUP(5-Z564,0))),"")</f>
        <v/>
      </c>
      <c r="AB564" s="7" t="str">
        <f aca="false">IF(COUNT(U564:X564)=4,MAX(1,MIN(10,ROUNDUP(Y564+5,0))),"")</f>
        <v/>
      </c>
      <c r="AC564" s="6"/>
      <c r="AD564" s="6"/>
    </row>
    <row r="565" customFormat="false" ht="15" hidden="false" customHeight="true" outlineLevel="0" collapsed="false">
      <c r="A565" s="5" t="n">
        <v>564</v>
      </c>
      <c r="B565" s="5" t="s">
        <v>1445</v>
      </c>
      <c r="C565" s="5" t="s">
        <v>171</v>
      </c>
      <c r="D565" s="5" t="s">
        <v>172</v>
      </c>
      <c r="E565" s="5" t="n">
        <v>195</v>
      </c>
      <c r="F565" s="5" t="s">
        <v>1446</v>
      </c>
      <c r="G565" s="5" t="n">
        <v>4</v>
      </c>
      <c r="H565" s="5" t="s">
        <v>53</v>
      </c>
      <c r="I565" s="5" t="s">
        <v>54</v>
      </c>
      <c r="J565" s="5" t="s">
        <v>181</v>
      </c>
      <c r="K565" s="5" t="s">
        <v>279</v>
      </c>
      <c r="L565" s="5" t="n">
        <v>5</v>
      </c>
      <c r="M565" s="5" t="n">
        <v>4</v>
      </c>
      <c r="N565" s="5" t="n">
        <v>5</v>
      </c>
      <c r="O565" s="5" t="n">
        <v>7</v>
      </c>
      <c r="P565" s="5" t="n">
        <v>-1</v>
      </c>
      <c r="Q565" s="5" t="n">
        <v>0.5</v>
      </c>
      <c r="R565" s="5" t="n">
        <v>5</v>
      </c>
      <c r="S565" s="5" t="n">
        <v>4</v>
      </c>
      <c r="T565" s="5" t="s">
        <v>1447</v>
      </c>
      <c r="U565" s="6"/>
      <c r="V565" s="6"/>
      <c r="W565" s="6"/>
      <c r="X565" s="6"/>
      <c r="Y565" s="7" t="str">
        <f aca="false">IF(COUNT(U565:X565)=4,(W565-X565)/2,"")</f>
        <v/>
      </c>
      <c r="Z565" s="7" t="str">
        <f aca="false">IF(COUNT(U565:X565)=4,(U565-V565)/2,"")</f>
        <v/>
      </c>
      <c r="AA565" s="7" t="str">
        <f aca="false">IF(COUNT(U565:X565)=4,MAX(1,MIN(10,ROUNDUP(5-Z565,0))),"")</f>
        <v/>
      </c>
      <c r="AB565" s="7" t="str">
        <f aca="false">IF(COUNT(U565:X565)=4,MAX(1,MIN(10,ROUNDUP(Y565+5,0))),"")</f>
        <v/>
      </c>
      <c r="AC565" s="6"/>
      <c r="AD565" s="6"/>
    </row>
    <row r="566" customFormat="false" ht="15" hidden="false" customHeight="true" outlineLevel="0" collapsed="false">
      <c r="A566" s="5" t="n">
        <v>565</v>
      </c>
      <c r="B566" s="5" t="s">
        <v>1448</v>
      </c>
      <c r="C566" s="5" t="s">
        <v>62</v>
      </c>
      <c r="D566" s="5" t="s">
        <v>63</v>
      </c>
      <c r="E566" s="5" t="n">
        <v>195</v>
      </c>
      <c r="F566" s="5" t="s">
        <v>1448</v>
      </c>
      <c r="G566" s="5" t="n">
        <v>3</v>
      </c>
      <c r="H566" s="5" t="s">
        <v>53</v>
      </c>
      <c r="I566" s="5" t="s">
        <v>64</v>
      </c>
      <c r="J566" s="5"/>
      <c r="K566" s="5"/>
      <c r="L566" s="5" t="n">
        <v>0</v>
      </c>
      <c r="M566" s="5" t="n">
        <v>9</v>
      </c>
      <c r="N566" s="5" t="n">
        <v>4</v>
      </c>
      <c r="O566" s="5" t="n">
        <v>6</v>
      </c>
      <c r="P566" s="5" t="n">
        <v>-1</v>
      </c>
      <c r="Q566" s="5" t="n">
        <v>-4.5</v>
      </c>
      <c r="R566" s="5" t="n">
        <v>10</v>
      </c>
      <c r="S566" s="5" t="n">
        <v>4</v>
      </c>
      <c r="T566" s="5" t="s">
        <v>247</v>
      </c>
      <c r="U566" s="6"/>
      <c r="V566" s="6"/>
      <c r="W566" s="6"/>
      <c r="X566" s="6"/>
      <c r="Y566" s="7" t="str">
        <f aca="false">IF(COUNT(U566:X566)=4,(W566-X566)/2,"")</f>
        <v/>
      </c>
      <c r="Z566" s="7" t="str">
        <f aca="false">IF(COUNT(U566:X566)=4,(U566-V566)/2,"")</f>
        <v/>
      </c>
      <c r="AA566" s="7" t="str">
        <f aca="false">IF(COUNT(U566:X566)=4,MAX(1,MIN(10,ROUNDUP(5-Z566,0))),"")</f>
        <v/>
      </c>
      <c r="AB566" s="7" t="str">
        <f aca="false">IF(COUNT(U566:X566)=4,MAX(1,MIN(10,ROUNDUP(Y566+5,0))),"")</f>
        <v/>
      </c>
      <c r="AC566" s="6"/>
      <c r="AD566" s="6"/>
    </row>
    <row r="567" customFormat="false" ht="15" hidden="false" customHeight="true" outlineLevel="0" collapsed="false">
      <c r="A567" s="5" t="n">
        <v>566</v>
      </c>
      <c r="B567" s="5" t="s">
        <v>1449</v>
      </c>
      <c r="C567" s="5" t="s">
        <v>171</v>
      </c>
      <c r="D567" s="5" t="s">
        <v>172</v>
      </c>
      <c r="E567" s="5" t="n">
        <v>195</v>
      </c>
      <c r="F567" s="5" t="s">
        <v>1450</v>
      </c>
      <c r="G567" s="5" t="n">
        <v>4</v>
      </c>
      <c r="H567" s="5" t="s">
        <v>53</v>
      </c>
      <c r="I567" s="5" t="s">
        <v>54</v>
      </c>
      <c r="J567" s="5" t="s">
        <v>181</v>
      </c>
      <c r="K567" s="5" t="s">
        <v>333</v>
      </c>
      <c r="L567" s="5" t="n">
        <v>2</v>
      </c>
      <c r="M567" s="5" t="n">
        <v>4</v>
      </c>
      <c r="N567" s="5" t="n">
        <v>8</v>
      </c>
      <c r="O567" s="5" t="n">
        <v>2</v>
      </c>
      <c r="P567" s="5" t="n">
        <v>3</v>
      </c>
      <c r="Q567" s="5" t="n">
        <v>-1</v>
      </c>
      <c r="R567" s="5" t="n">
        <v>6</v>
      </c>
      <c r="S567" s="5" t="n">
        <v>8</v>
      </c>
      <c r="T567" s="5" t="s">
        <v>1451</v>
      </c>
      <c r="U567" s="6"/>
      <c r="V567" s="6"/>
      <c r="W567" s="6"/>
      <c r="X567" s="6"/>
      <c r="Y567" s="7" t="str">
        <f aca="false">IF(COUNT(U567:X567)=4,(W567-X567)/2,"")</f>
        <v/>
      </c>
      <c r="Z567" s="7" t="str">
        <f aca="false">IF(COUNT(U567:X567)=4,(U567-V567)/2,"")</f>
        <v/>
      </c>
      <c r="AA567" s="7" t="str">
        <f aca="false">IF(COUNT(U567:X567)=4,MAX(1,MIN(10,ROUNDUP(5-Z567,0))),"")</f>
        <v/>
      </c>
      <c r="AB567" s="7" t="str">
        <f aca="false">IF(COUNT(U567:X567)=4,MAX(1,MIN(10,ROUNDUP(Y567+5,0))),"")</f>
        <v/>
      </c>
      <c r="AC567" s="6"/>
      <c r="AD567" s="6"/>
    </row>
    <row r="568" customFormat="false" ht="15" hidden="false" customHeight="true" outlineLevel="0" collapsed="false">
      <c r="A568" s="5" t="n">
        <v>567</v>
      </c>
      <c r="B568" s="5" t="s">
        <v>1452</v>
      </c>
      <c r="C568" s="5" t="s">
        <v>145</v>
      </c>
      <c r="D568" s="5" t="s">
        <v>51</v>
      </c>
      <c r="E568" s="5" t="n">
        <v>195</v>
      </c>
      <c r="F568" s="5" t="s">
        <v>1453</v>
      </c>
      <c r="G568" s="5" t="n">
        <v>4</v>
      </c>
      <c r="H568" s="5" t="s">
        <v>53</v>
      </c>
      <c r="I568" s="5" t="s">
        <v>54</v>
      </c>
      <c r="J568" s="5" t="s">
        <v>55</v>
      </c>
      <c r="K568" s="5" t="s">
        <v>55</v>
      </c>
      <c r="L568" s="5" t="n">
        <v>4</v>
      </c>
      <c r="M568" s="5" t="n">
        <v>3</v>
      </c>
      <c r="N568" s="5" t="n">
        <v>6</v>
      </c>
      <c r="O568" s="5" t="n">
        <v>4</v>
      </c>
      <c r="P568" s="5" t="n">
        <v>1</v>
      </c>
      <c r="Q568" s="5" t="n">
        <v>0.5</v>
      </c>
      <c r="R568" s="5" t="n">
        <v>5</v>
      </c>
      <c r="S568" s="5" t="n">
        <v>6</v>
      </c>
      <c r="T568" s="5" t="s">
        <v>657</v>
      </c>
      <c r="U568" s="6"/>
      <c r="V568" s="6"/>
      <c r="W568" s="6"/>
      <c r="X568" s="6"/>
      <c r="Y568" s="7" t="str">
        <f aca="false">IF(COUNT(U568:X568)=4,(W568-X568)/2,"")</f>
        <v/>
      </c>
      <c r="Z568" s="7" t="str">
        <f aca="false">IF(COUNT(U568:X568)=4,(U568-V568)/2,"")</f>
        <v/>
      </c>
      <c r="AA568" s="7" t="str">
        <f aca="false">IF(COUNT(U568:X568)=4,MAX(1,MIN(10,ROUNDUP(5-Z568,0))),"")</f>
        <v/>
      </c>
      <c r="AB568" s="7" t="str">
        <f aca="false">IF(COUNT(U568:X568)=4,MAX(1,MIN(10,ROUNDUP(Y568+5,0))),"")</f>
        <v/>
      </c>
      <c r="AC568" s="6"/>
      <c r="AD568" s="6"/>
    </row>
    <row r="569" customFormat="false" ht="15" hidden="false" customHeight="true" outlineLevel="0" collapsed="false">
      <c r="A569" s="5" t="n">
        <v>568</v>
      </c>
      <c r="B569" s="5" t="s">
        <v>1454</v>
      </c>
      <c r="C569" s="5" t="s">
        <v>171</v>
      </c>
      <c r="D569" s="5" t="s">
        <v>172</v>
      </c>
      <c r="E569" s="5" t="n">
        <v>195</v>
      </c>
      <c r="F569" s="5" t="s">
        <v>1455</v>
      </c>
      <c r="G569" s="5" t="n">
        <v>4</v>
      </c>
      <c r="H569" s="5" t="s">
        <v>53</v>
      </c>
      <c r="I569" s="5" t="s">
        <v>54</v>
      </c>
      <c r="J569" s="5" t="s">
        <v>181</v>
      </c>
      <c r="K569" s="5" t="s">
        <v>333</v>
      </c>
      <c r="L569" s="5" t="n">
        <v>2</v>
      </c>
      <c r="M569" s="5" t="n">
        <v>4</v>
      </c>
      <c r="N569" s="5" t="n">
        <v>8</v>
      </c>
      <c r="O569" s="5" t="n">
        <v>2</v>
      </c>
      <c r="P569" s="5" t="n">
        <v>3</v>
      </c>
      <c r="Q569" s="5" t="n">
        <v>-1</v>
      </c>
      <c r="R569" s="5" t="n">
        <v>6</v>
      </c>
      <c r="S569" s="5" t="n">
        <v>8</v>
      </c>
      <c r="T569" s="5" t="s">
        <v>1456</v>
      </c>
      <c r="U569" s="6"/>
      <c r="V569" s="6"/>
      <c r="W569" s="6"/>
      <c r="X569" s="6"/>
      <c r="Y569" s="7" t="str">
        <f aca="false">IF(COUNT(U569:X569)=4,(W569-X569)/2,"")</f>
        <v/>
      </c>
      <c r="Z569" s="7" t="str">
        <f aca="false">IF(COUNT(U569:X569)=4,(U569-V569)/2,"")</f>
        <v/>
      </c>
      <c r="AA569" s="7" t="str">
        <f aca="false">IF(COUNT(U569:X569)=4,MAX(1,MIN(10,ROUNDUP(5-Z569,0))),"")</f>
        <v/>
      </c>
      <c r="AB569" s="7" t="str">
        <f aca="false">IF(COUNT(U569:X569)=4,MAX(1,MIN(10,ROUNDUP(Y569+5,0))),"")</f>
        <v/>
      </c>
      <c r="AC569" s="6"/>
      <c r="AD569" s="6"/>
    </row>
    <row r="570" customFormat="false" ht="15" hidden="false" customHeight="true" outlineLevel="0" collapsed="false">
      <c r="A570" s="5" t="n">
        <v>569</v>
      </c>
      <c r="B570" s="5" t="s">
        <v>1457</v>
      </c>
      <c r="C570" s="5" t="s">
        <v>145</v>
      </c>
      <c r="D570" s="5" t="s">
        <v>51</v>
      </c>
      <c r="E570" s="5" t="n">
        <v>194</v>
      </c>
      <c r="F570" s="5" t="s">
        <v>1458</v>
      </c>
      <c r="G570" s="5" t="n">
        <v>4</v>
      </c>
      <c r="H570" s="5" t="s">
        <v>53</v>
      </c>
      <c r="I570" s="5" t="s">
        <v>54</v>
      </c>
      <c r="J570" s="5" t="s">
        <v>55</v>
      </c>
      <c r="K570" s="5" t="s">
        <v>55</v>
      </c>
      <c r="L570" s="5" t="n">
        <v>5</v>
      </c>
      <c r="M570" s="5" t="n">
        <v>2</v>
      </c>
      <c r="N570" s="5" t="n">
        <v>8</v>
      </c>
      <c r="O570" s="5" t="n">
        <v>2</v>
      </c>
      <c r="P570" s="5" t="n">
        <v>3</v>
      </c>
      <c r="Q570" s="5" t="n">
        <v>1.5</v>
      </c>
      <c r="R570" s="5" t="n">
        <v>4</v>
      </c>
      <c r="S570" s="5" t="n">
        <v>8</v>
      </c>
      <c r="T570" s="5" t="s">
        <v>1459</v>
      </c>
      <c r="U570" s="6"/>
      <c r="V570" s="6"/>
      <c r="W570" s="6"/>
      <c r="X570" s="6"/>
      <c r="Y570" s="7" t="str">
        <f aca="false">IF(COUNT(U570:X570)=4,(W570-X570)/2,"")</f>
        <v/>
      </c>
      <c r="Z570" s="7" t="str">
        <f aca="false">IF(COUNT(U570:X570)=4,(U570-V570)/2,"")</f>
        <v/>
      </c>
      <c r="AA570" s="7" t="str">
        <f aca="false">IF(COUNT(U570:X570)=4,MAX(1,MIN(10,ROUNDUP(5-Z570,0))),"")</f>
        <v/>
      </c>
      <c r="AB570" s="7" t="str">
        <f aca="false">IF(COUNT(U570:X570)=4,MAX(1,MIN(10,ROUNDUP(Y570+5,0))),"")</f>
        <v/>
      </c>
      <c r="AC570" s="6"/>
      <c r="AD570" s="6"/>
    </row>
    <row r="571" customFormat="false" ht="15" hidden="false" customHeight="true" outlineLevel="0" collapsed="false">
      <c r="A571" s="5" t="n">
        <v>570</v>
      </c>
      <c r="B571" s="5" t="s">
        <v>1460</v>
      </c>
      <c r="C571" s="5" t="s">
        <v>171</v>
      </c>
      <c r="D571" s="5" t="s">
        <v>172</v>
      </c>
      <c r="E571" s="5" t="n">
        <v>194</v>
      </c>
      <c r="F571" s="5" t="s">
        <v>1461</v>
      </c>
      <c r="G571" s="5" t="n">
        <v>4</v>
      </c>
      <c r="H571" s="5" t="s">
        <v>53</v>
      </c>
      <c r="I571" s="5" t="s">
        <v>81</v>
      </c>
      <c r="J571" s="5" t="s">
        <v>174</v>
      </c>
      <c r="K571" s="5" t="s">
        <v>175</v>
      </c>
      <c r="L571" s="5" t="n">
        <v>9</v>
      </c>
      <c r="M571" s="5" t="n">
        <v>1</v>
      </c>
      <c r="N571" s="5" t="n">
        <v>1</v>
      </c>
      <c r="O571" s="5" t="n">
        <v>10</v>
      </c>
      <c r="P571" s="5" t="n">
        <v>-4.5</v>
      </c>
      <c r="Q571" s="5" t="n">
        <v>4</v>
      </c>
      <c r="R571" s="5" t="n">
        <v>1</v>
      </c>
      <c r="S571" s="5" t="n">
        <v>1</v>
      </c>
      <c r="T571" s="5" t="s">
        <v>1462</v>
      </c>
      <c r="U571" s="6"/>
      <c r="V571" s="6"/>
      <c r="W571" s="6"/>
      <c r="X571" s="6"/>
      <c r="Y571" s="7" t="str">
        <f aca="false">IF(COUNT(U571:X571)=4,(W571-X571)/2,"")</f>
        <v/>
      </c>
      <c r="Z571" s="7" t="str">
        <f aca="false">IF(COUNT(U571:X571)=4,(U571-V571)/2,"")</f>
        <v/>
      </c>
      <c r="AA571" s="7" t="str">
        <f aca="false">IF(COUNT(U571:X571)=4,MAX(1,MIN(10,ROUNDUP(5-Z571,0))),"")</f>
        <v/>
      </c>
      <c r="AB571" s="7" t="str">
        <f aca="false">IF(COUNT(U571:X571)=4,MAX(1,MIN(10,ROUNDUP(Y571+5,0))),"")</f>
        <v/>
      </c>
      <c r="AC571" s="6"/>
      <c r="AD571" s="6"/>
    </row>
    <row r="572" customFormat="false" ht="15" hidden="false" customHeight="true" outlineLevel="0" collapsed="false">
      <c r="A572" s="5" t="n">
        <v>571</v>
      </c>
      <c r="B572" s="5" t="s">
        <v>1463</v>
      </c>
      <c r="C572" s="5" t="s">
        <v>145</v>
      </c>
      <c r="D572" s="5" t="s">
        <v>51</v>
      </c>
      <c r="E572" s="5" t="n">
        <v>194</v>
      </c>
      <c r="F572" s="5" t="s">
        <v>1464</v>
      </c>
      <c r="G572" s="5" t="n">
        <v>4</v>
      </c>
      <c r="H572" s="5" t="s">
        <v>53</v>
      </c>
      <c r="I572" s="5" t="s">
        <v>54</v>
      </c>
      <c r="J572" s="5" t="s">
        <v>55</v>
      </c>
      <c r="K572" s="5" t="s">
        <v>55</v>
      </c>
      <c r="L572" s="5" t="n">
        <v>5</v>
      </c>
      <c r="M572" s="5" t="n">
        <v>3</v>
      </c>
      <c r="N572" s="5" t="n">
        <v>3</v>
      </c>
      <c r="O572" s="5" t="n">
        <v>6</v>
      </c>
      <c r="P572" s="5" t="n">
        <v>-1.5</v>
      </c>
      <c r="Q572" s="5" t="n">
        <v>1</v>
      </c>
      <c r="R572" s="5" t="n">
        <v>4</v>
      </c>
      <c r="S572" s="5" t="n">
        <v>4</v>
      </c>
      <c r="T572" s="5" t="s">
        <v>723</v>
      </c>
      <c r="U572" s="6"/>
      <c r="V572" s="6"/>
      <c r="W572" s="6"/>
      <c r="X572" s="6"/>
      <c r="Y572" s="7" t="str">
        <f aca="false">IF(COUNT(U572:X572)=4,(W572-X572)/2,"")</f>
        <v/>
      </c>
      <c r="Z572" s="7" t="str">
        <f aca="false">IF(COUNT(U572:X572)=4,(U572-V572)/2,"")</f>
        <v/>
      </c>
      <c r="AA572" s="7" t="str">
        <f aca="false">IF(COUNT(U572:X572)=4,MAX(1,MIN(10,ROUNDUP(5-Z572,0))),"")</f>
        <v/>
      </c>
      <c r="AB572" s="7" t="str">
        <f aca="false">IF(COUNT(U572:X572)=4,MAX(1,MIN(10,ROUNDUP(Y572+5,0))),"")</f>
        <v/>
      </c>
      <c r="AC572" s="6"/>
      <c r="AD572" s="6"/>
    </row>
    <row r="573" customFormat="false" ht="15" hidden="false" customHeight="true" outlineLevel="0" collapsed="false">
      <c r="A573" s="5" t="n">
        <v>572</v>
      </c>
      <c r="B573" s="5" t="s">
        <v>1465</v>
      </c>
      <c r="C573" s="5" t="s">
        <v>203</v>
      </c>
      <c r="D573" s="5" t="s">
        <v>204</v>
      </c>
      <c r="E573" s="5" t="n">
        <v>194</v>
      </c>
      <c r="F573" s="5" t="s">
        <v>1466</v>
      </c>
      <c r="G573" s="5" t="n">
        <v>4</v>
      </c>
      <c r="H573" s="5" t="s">
        <v>53</v>
      </c>
      <c r="I573" s="5" t="s">
        <v>54</v>
      </c>
      <c r="J573" s="5" t="s">
        <v>117</v>
      </c>
      <c r="K573" s="5" t="s">
        <v>117</v>
      </c>
      <c r="L573" s="5" t="n">
        <v>3</v>
      </c>
      <c r="M573" s="5" t="n">
        <v>1</v>
      </c>
      <c r="N573" s="5" t="n">
        <v>2</v>
      </c>
      <c r="O573" s="5" t="n">
        <v>8</v>
      </c>
      <c r="P573" s="5" t="n">
        <v>-3</v>
      </c>
      <c r="Q573" s="5" t="n">
        <v>1</v>
      </c>
      <c r="R573" s="5" t="n">
        <v>4</v>
      </c>
      <c r="S573" s="5" t="n">
        <v>2</v>
      </c>
      <c r="T573" s="5" t="s">
        <v>1467</v>
      </c>
      <c r="U573" s="6"/>
      <c r="V573" s="6"/>
      <c r="W573" s="6"/>
      <c r="X573" s="6"/>
      <c r="Y573" s="7" t="str">
        <f aca="false">IF(COUNT(U573:X573)=4,(W573-X573)/2,"")</f>
        <v/>
      </c>
      <c r="Z573" s="7" t="str">
        <f aca="false">IF(COUNT(U573:X573)=4,(U573-V573)/2,"")</f>
        <v/>
      </c>
      <c r="AA573" s="7" t="str">
        <f aca="false">IF(COUNT(U573:X573)=4,MAX(1,MIN(10,ROUNDUP(5-Z573,0))),"")</f>
        <v/>
      </c>
      <c r="AB573" s="7" t="str">
        <f aca="false">IF(COUNT(U573:X573)=4,MAX(1,MIN(10,ROUNDUP(Y573+5,0))),"")</f>
        <v/>
      </c>
      <c r="AC573" s="6"/>
      <c r="AD573" s="6"/>
    </row>
    <row r="574" customFormat="false" ht="15" hidden="false" customHeight="true" outlineLevel="0" collapsed="false">
      <c r="A574" s="5" t="n">
        <v>573</v>
      </c>
      <c r="B574" s="5" t="s">
        <v>1468</v>
      </c>
      <c r="C574" s="5" t="s">
        <v>145</v>
      </c>
      <c r="D574" s="5" t="s">
        <v>51</v>
      </c>
      <c r="E574" s="5" t="n">
        <v>194</v>
      </c>
      <c r="F574" s="5" t="s">
        <v>1469</v>
      </c>
      <c r="G574" s="5" t="n">
        <v>4</v>
      </c>
      <c r="H574" s="5" t="s">
        <v>53</v>
      </c>
      <c r="I574" s="5" t="s">
        <v>54</v>
      </c>
      <c r="J574" s="5" t="s">
        <v>55</v>
      </c>
      <c r="K574" s="5" t="s">
        <v>55</v>
      </c>
      <c r="L574" s="5" t="n">
        <v>4</v>
      </c>
      <c r="M574" s="5" t="n">
        <v>3</v>
      </c>
      <c r="N574" s="5" t="n">
        <v>8</v>
      </c>
      <c r="O574" s="5" t="n">
        <v>4</v>
      </c>
      <c r="P574" s="5" t="n">
        <v>2</v>
      </c>
      <c r="Q574" s="5" t="n">
        <v>0.5</v>
      </c>
      <c r="R574" s="5" t="n">
        <v>5</v>
      </c>
      <c r="S574" s="5" t="n">
        <v>7</v>
      </c>
      <c r="T574" s="5" t="s">
        <v>1470</v>
      </c>
      <c r="U574" s="6"/>
      <c r="V574" s="6"/>
      <c r="W574" s="6"/>
      <c r="X574" s="6"/>
      <c r="Y574" s="7" t="str">
        <f aca="false">IF(COUNT(U574:X574)=4,(W574-X574)/2,"")</f>
        <v/>
      </c>
      <c r="Z574" s="7" t="str">
        <f aca="false">IF(COUNT(U574:X574)=4,(U574-V574)/2,"")</f>
        <v/>
      </c>
      <c r="AA574" s="7" t="str">
        <f aca="false">IF(COUNT(U574:X574)=4,MAX(1,MIN(10,ROUNDUP(5-Z574,0))),"")</f>
        <v/>
      </c>
      <c r="AB574" s="7" t="str">
        <f aca="false">IF(COUNT(U574:X574)=4,MAX(1,MIN(10,ROUNDUP(Y574+5,0))),"")</f>
        <v/>
      </c>
      <c r="AC574" s="6"/>
      <c r="AD574" s="6"/>
    </row>
    <row r="575" customFormat="false" ht="15" hidden="false" customHeight="true" outlineLevel="0" collapsed="false">
      <c r="A575" s="5" t="n">
        <v>574</v>
      </c>
      <c r="B575" s="5" t="s">
        <v>1471</v>
      </c>
      <c r="C575" s="5" t="s">
        <v>145</v>
      </c>
      <c r="D575" s="5" t="s">
        <v>51</v>
      </c>
      <c r="E575" s="5" t="n">
        <v>193</v>
      </c>
      <c r="F575" s="5" t="s">
        <v>1472</v>
      </c>
      <c r="G575" s="5" t="n">
        <v>4</v>
      </c>
      <c r="H575" s="5" t="s">
        <v>53</v>
      </c>
      <c r="I575" s="5" t="s">
        <v>54</v>
      </c>
      <c r="J575" s="5" t="s">
        <v>55</v>
      </c>
      <c r="K575" s="5" t="s">
        <v>55</v>
      </c>
      <c r="L575" s="5" t="n">
        <v>6</v>
      </c>
      <c r="M575" s="5" t="n">
        <v>2</v>
      </c>
      <c r="N575" s="5" t="n">
        <v>3</v>
      </c>
      <c r="O575" s="5" t="n">
        <v>8</v>
      </c>
      <c r="P575" s="5" t="n">
        <v>-2.5</v>
      </c>
      <c r="Q575" s="5" t="n">
        <v>2</v>
      </c>
      <c r="R575" s="5" t="n">
        <v>3</v>
      </c>
      <c r="S575" s="5" t="n">
        <v>3</v>
      </c>
      <c r="T575" s="5" t="s">
        <v>1473</v>
      </c>
      <c r="U575" s="6"/>
      <c r="V575" s="6"/>
      <c r="W575" s="6"/>
      <c r="X575" s="6"/>
      <c r="Y575" s="7" t="str">
        <f aca="false">IF(COUNT(U575:X575)=4,(W575-X575)/2,"")</f>
        <v/>
      </c>
      <c r="Z575" s="7" t="str">
        <f aca="false">IF(COUNT(U575:X575)=4,(U575-V575)/2,"")</f>
        <v/>
      </c>
      <c r="AA575" s="7" t="str">
        <f aca="false">IF(COUNT(U575:X575)=4,MAX(1,MIN(10,ROUNDUP(5-Z575,0))),"")</f>
        <v/>
      </c>
      <c r="AB575" s="7" t="str">
        <f aca="false">IF(COUNT(U575:X575)=4,MAX(1,MIN(10,ROUNDUP(Y575+5,0))),"")</f>
        <v/>
      </c>
      <c r="AC575" s="6"/>
      <c r="AD575" s="6"/>
    </row>
    <row r="576" customFormat="false" ht="15" hidden="false" customHeight="true" outlineLevel="0" collapsed="false">
      <c r="A576" s="5" t="n">
        <v>575</v>
      </c>
      <c r="B576" s="5" t="s">
        <v>1474</v>
      </c>
      <c r="C576" s="5" t="s">
        <v>171</v>
      </c>
      <c r="D576" s="5" t="s">
        <v>172</v>
      </c>
      <c r="E576" s="5" t="n">
        <v>193</v>
      </c>
      <c r="F576" s="5" t="s">
        <v>1475</v>
      </c>
      <c r="G576" s="5" t="n">
        <v>4</v>
      </c>
      <c r="H576" s="5" t="s">
        <v>53</v>
      </c>
      <c r="I576" s="5" t="s">
        <v>54</v>
      </c>
      <c r="J576" s="5" t="s">
        <v>181</v>
      </c>
      <c r="K576" s="5" t="s">
        <v>443</v>
      </c>
      <c r="L576" s="5" t="n">
        <v>5</v>
      </c>
      <c r="M576" s="5" t="n">
        <v>3</v>
      </c>
      <c r="N576" s="5" t="n">
        <v>4</v>
      </c>
      <c r="O576" s="5" t="n">
        <v>8</v>
      </c>
      <c r="P576" s="5" t="n">
        <v>-2</v>
      </c>
      <c r="Q576" s="5" t="n">
        <v>1</v>
      </c>
      <c r="R576" s="5" t="n">
        <v>4</v>
      </c>
      <c r="S576" s="5" t="n">
        <v>3</v>
      </c>
      <c r="T576" s="5" t="s">
        <v>103</v>
      </c>
      <c r="U576" s="6"/>
      <c r="V576" s="6"/>
      <c r="W576" s="6"/>
      <c r="X576" s="6"/>
      <c r="Y576" s="7" t="str">
        <f aca="false">IF(COUNT(U576:X576)=4,(W576-X576)/2,"")</f>
        <v/>
      </c>
      <c r="Z576" s="7" t="str">
        <f aca="false">IF(COUNT(U576:X576)=4,(U576-V576)/2,"")</f>
        <v/>
      </c>
      <c r="AA576" s="7" t="str">
        <f aca="false">IF(COUNT(U576:X576)=4,MAX(1,MIN(10,ROUNDUP(5-Z576,0))),"")</f>
        <v/>
      </c>
      <c r="AB576" s="7" t="str">
        <f aca="false">IF(COUNT(U576:X576)=4,MAX(1,MIN(10,ROUNDUP(Y576+5,0))),"")</f>
        <v/>
      </c>
      <c r="AC576" s="6"/>
      <c r="AD576" s="6"/>
    </row>
    <row r="577" customFormat="false" ht="15" hidden="false" customHeight="true" outlineLevel="0" collapsed="false">
      <c r="A577" s="5" t="n">
        <v>576</v>
      </c>
      <c r="B577" s="5" t="s">
        <v>1476</v>
      </c>
      <c r="C577" s="5" t="s">
        <v>171</v>
      </c>
      <c r="D577" s="5" t="s">
        <v>172</v>
      </c>
      <c r="E577" s="5" t="n">
        <v>193</v>
      </c>
      <c r="F577" s="5" t="s">
        <v>1477</v>
      </c>
      <c r="G577" s="5" t="n">
        <v>4</v>
      </c>
      <c r="H577" s="5" t="s">
        <v>53</v>
      </c>
      <c r="I577" s="5" t="s">
        <v>54</v>
      </c>
      <c r="J577" s="5" t="s">
        <v>181</v>
      </c>
      <c r="K577" s="5" t="s">
        <v>840</v>
      </c>
      <c r="L577" s="5" t="n">
        <v>3</v>
      </c>
      <c r="M577" s="5" t="n">
        <v>8</v>
      </c>
      <c r="N577" s="5" t="n">
        <v>8</v>
      </c>
      <c r="O577" s="5" t="n">
        <v>2</v>
      </c>
      <c r="P577" s="5" t="n">
        <v>3</v>
      </c>
      <c r="Q577" s="5" t="n">
        <v>-2.5</v>
      </c>
      <c r="R577" s="5" t="n">
        <v>8</v>
      </c>
      <c r="S577" s="5" t="n">
        <v>8</v>
      </c>
      <c r="T577" s="5" t="s">
        <v>1478</v>
      </c>
      <c r="U577" s="6"/>
      <c r="V577" s="6"/>
      <c r="W577" s="6"/>
      <c r="X577" s="6"/>
      <c r="Y577" s="7" t="str">
        <f aca="false">IF(COUNT(U577:X577)=4,(W577-X577)/2,"")</f>
        <v/>
      </c>
      <c r="Z577" s="7" t="str">
        <f aca="false">IF(COUNT(U577:X577)=4,(U577-V577)/2,"")</f>
        <v/>
      </c>
      <c r="AA577" s="7" t="str">
        <f aca="false">IF(COUNT(U577:X577)=4,MAX(1,MIN(10,ROUNDUP(5-Z577,0))),"")</f>
        <v/>
      </c>
      <c r="AB577" s="7" t="str">
        <f aca="false">IF(COUNT(U577:X577)=4,MAX(1,MIN(10,ROUNDUP(Y577+5,0))),"")</f>
        <v/>
      </c>
      <c r="AC577" s="6"/>
      <c r="AD577" s="6"/>
    </row>
    <row r="578" customFormat="false" ht="15" hidden="false" customHeight="true" outlineLevel="0" collapsed="false">
      <c r="A578" s="5" t="n">
        <v>577</v>
      </c>
      <c r="B578" s="5" t="s">
        <v>1479</v>
      </c>
      <c r="C578" s="5" t="s">
        <v>171</v>
      </c>
      <c r="D578" s="5" t="s">
        <v>172</v>
      </c>
      <c r="E578" s="5" t="n">
        <v>192</v>
      </c>
      <c r="F578" s="5" t="s">
        <v>1480</v>
      </c>
      <c r="G578" s="5" t="n">
        <v>4</v>
      </c>
      <c r="H578" s="5" t="s">
        <v>53</v>
      </c>
      <c r="I578" s="5" t="s">
        <v>54</v>
      </c>
      <c r="J578" s="5" t="s">
        <v>181</v>
      </c>
      <c r="K578" s="5" t="s">
        <v>511</v>
      </c>
      <c r="L578" s="5" t="n">
        <v>2</v>
      </c>
      <c r="M578" s="5" t="n">
        <v>6</v>
      </c>
      <c r="N578" s="5" t="n">
        <v>5</v>
      </c>
      <c r="O578" s="5" t="n">
        <v>5</v>
      </c>
      <c r="P578" s="5" t="n">
        <v>0</v>
      </c>
      <c r="Q578" s="5" t="n">
        <v>-2</v>
      </c>
      <c r="R578" s="5" t="n">
        <v>7</v>
      </c>
      <c r="S578" s="5" t="n">
        <v>5</v>
      </c>
      <c r="T578" s="5" t="s">
        <v>1481</v>
      </c>
      <c r="U578" s="6"/>
      <c r="V578" s="6"/>
      <c r="W578" s="6"/>
      <c r="X578" s="6"/>
      <c r="Y578" s="7" t="str">
        <f aca="false">IF(COUNT(U578:X578)=4,(W578-X578)/2,"")</f>
        <v/>
      </c>
      <c r="Z578" s="7" t="str">
        <f aca="false">IF(COUNT(U578:X578)=4,(U578-V578)/2,"")</f>
        <v/>
      </c>
      <c r="AA578" s="7" t="str">
        <f aca="false">IF(COUNT(U578:X578)=4,MAX(1,MIN(10,ROUNDUP(5-Z578,0))),"")</f>
        <v/>
      </c>
      <c r="AB578" s="7" t="str">
        <f aca="false">IF(COUNT(U578:X578)=4,MAX(1,MIN(10,ROUNDUP(Y578+5,0))),"")</f>
        <v/>
      </c>
      <c r="AC578" s="6"/>
      <c r="AD578" s="6"/>
    </row>
    <row r="579" customFormat="false" ht="15" hidden="false" customHeight="true" outlineLevel="0" collapsed="false">
      <c r="A579" s="5" t="n">
        <v>578</v>
      </c>
      <c r="B579" s="5" t="s">
        <v>1482</v>
      </c>
      <c r="C579" s="5" t="s">
        <v>108</v>
      </c>
      <c r="D579" s="5" t="s">
        <v>109</v>
      </c>
      <c r="E579" s="5" t="n">
        <v>191</v>
      </c>
      <c r="F579" s="5" t="s">
        <v>1482</v>
      </c>
      <c r="G579" s="5" t="n">
        <v>4</v>
      </c>
      <c r="H579" s="5" t="s">
        <v>53</v>
      </c>
      <c r="I579" s="5" t="s">
        <v>54</v>
      </c>
      <c r="J579" s="5" t="s">
        <v>117</v>
      </c>
      <c r="K579" s="5" t="s">
        <v>117</v>
      </c>
      <c r="L579" s="5" t="n">
        <v>3</v>
      </c>
      <c r="M579" s="5" t="n">
        <v>1</v>
      </c>
      <c r="N579" s="5" t="n">
        <v>1</v>
      </c>
      <c r="O579" s="5" t="n">
        <v>9</v>
      </c>
      <c r="P579" s="5" t="n">
        <v>-4</v>
      </c>
      <c r="Q579" s="5" t="n">
        <v>1</v>
      </c>
      <c r="R579" s="5" t="n">
        <v>4</v>
      </c>
      <c r="S579" s="5" t="n">
        <v>1</v>
      </c>
      <c r="T579" s="5" t="s">
        <v>670</v>
      </c>
      <c r="U579" s="6"/>
      <c r="V579" s="6"/>
      <c r="W579" s="6"/>
      <c r="X579" s="6"/>
      <c r="Y579" s="7" t="str">
        <f aca="false">IF(COUNT(U579:X579)=4,(W579-X579)/2,"")</f>
        <v/>
      </c>
      <c r="Z579" s="7" t="str">
        <f aca="false">IF(COUNT(U579:X579)=4,(U579-V579)/2,"")</f>
        <v/>
      </c>
      <c r="AA579" s="7" t="str">
        <f aca="false">IF(COUNT(U579:X579)=4,MAX(1,MIN(10,ROUNDUP(5-Z579,0))),"")</f>
        <v/>
      </c>
      <c r="AB579" s="7" t="str">
        <f aca="false">IF(COUNT(U579:X579)=4,MAX(1,MIN(10,ROUNDUP(Y579+5,0))),"")</f>
        <v/>
      </c>
      <c r="AC579" s="6"/>
      <c r="AD579" s="6"/>
    </row>
    <row r="580" customFormat="false" ht="15" hidden="false" customHeight="true" outlineLevel="0" collapsed="false">
      <c r="A580" s="5" t="n">
        <v>579</v>
      </c>
      <c r="B580" s="5" t="s">
        <v>1483</v>
      </c>
      <c r="C580" s="5" t="s">
        <v>203</v>
      </c>
      <c r="D580" s="5" t="s">
        <v>204</v>
      </c>
      <c r="E580" s="5" t="n">
        <v>191</v>
      </c>
      <c r="F580" s="5" t="s">
        <v>1483</v>
      </c>
      <c r="G580" s="5" t="n">
        <v>4</v>
      </c>
      <c r="H580" s="5" t="s">
        <v>53</v>
      </c>
      <c r="I580" s="5" t="s">
        <v>54</v>
      </c>
      <c r="J580" s="5" t="s">
        <v>117</v>
      </c>
      <c r="K580" s="5" t="s">
        <v>117</v>
      </c>
      <c r="L580" s="5" t="n">
        <v>3</v>
      </c>
      <c r="M580" s="5" t="n">
        <v>1</v>
      </c>
      <c r="N580" s="5" t="n">
        <v>1</v>
      </c>
      <c r="O580" s="5" t="n">
        <v>9</v>
      </c>
      <c r="P580" s="5" t="n">
        <v>-4</v>
      </c>
      <c r="Q580" s="5" t="n">
        <v>1</v>
      </c>
      <c r="R580" s="5" t="n">
        <v>4</v>
      </c>
      <c r="S580" s="5" t="n">
        <v>1</v>
      </c>
      <c r="T580" s="5" t="s">
        <v>1484</v>
      </c>
      <c r="U580" s="6"/>
      <c r="V580" s="6"/>
      <c r="W580" s="6"/>
      <c r="X580" s="6"/>
      <c r="Y580" s="7" t="str">
        <f aca="false">IF(COUNT(U580:X580)=4,(W580-X580)/2,"")</f>
        <v/>
      </c>
      <c r="Z580" s="7" t="str">
        <f aca="false">IF(COUNT(U580:X580)=4,(U580-V580)/2,"")</f>
        <v/>
      </c>
      <c r="AA580" s="7" t="str">
        <f aca="false">IF(COUNT(U580:X580)=4,MAX(1,MIN(10,ROUNDUP(5-Z580,0))),"")</f>
        <v/>
      </c>
      <c r="AB580" s="7" t="str">
        <f aca="false">IF(COUNT(U580:X580)=4,MAX(1,MIN(10,ROUNDUP(Y580+5,0))),"")</f>
        <v/>
      </c>
      <c r="AC580" s="6"/>
      <c r="AD580" s="6"/>
    </row>
    <row r="581" customFormat="false" ht="15" hidden="false" customHeight="true" outlineLevel="0" collapsed="false">
      <c r="A581" s="5" t="n">
        <v>580</v>
      </c>
      <c r="B581" s="5" t="s">
        <v>1485</v>
      </c>
      <c r="C581" s="5" t="s">
        <v>171</v>
      </c>
      <c r="D581" s="5" t="s">
        <v>172</v>
      </c>
      <c r="E581" s="5" t="n">
        <v>190</v>
      </c>
      <c r="F581" s="5" t="s">
        <v>1486</v>
      </c>
      <c r="G581" s="5" t="n">
        <v>4</v>
      </c>
      <c r="H581" s="5" t="s">
        <v>53</v>
      </c>
      <c r="I581" s="5" t="s">
        <v>54</v>
      </c>
      <c r="J581" s="5" t="s">
        <v>181</v>
      </c>
      <c r="K581" s="5" t="s">
        <v>223</v>
      </c>
      <c r="L581" s="5" t="n">
        <v>3</v>
      </c>
      <c r="M581" s="5" t="n">
        <v>4</v>
      </c>
      <c r="N581" s="5" t="n">
        <v>6</v>
      </c>
      <c r="O581" s="5" t="n">
        <v>4</v>
      </c>
      <c r="P581" s="5" t="n">
        <v>1</v>
      </c>
      <c r="Q581" s="5" t="n">
        <v>-0.5</v>
      </c>
      <c r="R581" s="5" t="n">
        <v>6</v>
      </c>
      <c r="S581" s="5" t="n">
        <v>6</v>
      </c>
      <c r="T581" s="5" t="s">
        <v>1487</v>
      </c>
      <c r="U581" s="6"/>
      <c r="V581" s="6"/>
      <c r="W581" s="6"/>
      <c r="X581" s="6"/>
      <c r="Y581" s="7" t="str">
        <f aca="false">IF(COUNT(U581:X581)=4,(W581-X581)/2,"")</f>
        <v/>
      </c>
      <c r="Z581" s="7" t="str">
        <f aca="false">IF(COUNT(U581:X581)=4,(U581-V581)/2,"")</f>
        <v/>
      </c>
      <c r="AA581" s="7" t="str">
        <f aca="false">IF(COUNT(U581:X581)=4,MAX(1,MIN(10,ROUNDUP(5-Z581,0))),"")</f>
        <v/>
      </c>
      <c r="AB581" s="7" t="str">
        <f aca="false">IF(COUNT(U581:X581)=4,MAX(1,MIN(10,ROUNDUP(Y581+5,0))),"")</f>
        <v/>
      </c>
      <c r="AC581" s="6"/>
      <c r="AD581" s="6"/>
    </row>
    <row r="582" customFormat="false" ht="15" hidden="false" customHeight="true" outlineLevel="0" collapsed="false">
      <c r="A582" s="5" t="n">
        <v>581</v>
      </c>
      <c r="B582" s="5" t="s">
        <v>1488</v>
      </c>
      <c r="C582" s="5" t="s">
        <v>171</v>
      </c>
      <c r="D582" s="5" t="s">
        <v>172</v>
      </c>
      <c r="E582" s="5" t="n">
        <v>190</v>
      </c>
      <c r="F582" s="5" t="s">
        <v>1489</v>
      </c>
      <c r="G582" s="5" t="n">
        <v>4</v>
      </c>
      <c r="H582" s="5" t="s">
        <v>53</v>
      </c>
      <c r="I582" s="5" t="s">
        <v>54</v>
      </c>
      <c r="J582" s="5" t="s">
        <v>181</v>
      </c>
      <c r="K582" s="5" t="s">
        <v>221</v>
      </c>
      <c r="L582" s="5" t="n">
        <v>2</v>
      </c>
      <c r="M582" s="5" t="n">
        <v>5</v>
      </c>
      <c r="N582" s="5" t="n">
        <v>6</v>
      </c>
      <c r="O582" s="5" t="n">
        <v>5</v>
      </c>
      <c r="P582" s="5" t="n">
        <v>0.5</v>
      </c>
      <c r="Q582" s="5" t="n">
        <v>-1.5</v>
      </c>
      <c r="R582" s="5" t="n">
        <v>7</v>
      </c>
      <c r="S582" s="5" t="n">
        <v>6</v>
      </c>
      <c r="T582" s="5" t="s">
        <v>1490</v>
      </c>
      <c r="U582" s="6"/>
      <c r="V582" s="6"/>
      <c r="W582" s="6"/>
      <c r="X582" s="6"/>
      <c r="Y582" s="7" t="str">
        <f aca="false">IF(COUNT(U582:X582)=4,(W582-X582)/2,"")</f>
        <v/>
      </c>
      <c r="Z582" s="7" t="str">
        <f aca="false">IF(COUNT(U582:X582)=4,(U582-V582)/2,"")</f>
        <v/>
      </c>
      <c r="AA582" s="7" t="str">
        <f aca="false">IF(COUNT(U582:X582)=4,MAX(1,MIN(10,ROUNDUP(5-Z582,0))),"")</f>
        <v/>
      </c>
      <c r="AB582" s="7" t="str">
        <f aca="false">IF(COUNT(U582:X582)=4,MAX(1,MIN(10,ROUNDUP(Y582+5,0))),"")</f>
        <v/>
      </c>
      <c r="AC582" s="6"/>
      <c r="AD582" s="6"/>
    </row>
    <row r="583" customFormat="false" ht="15" hidden="false" customHeight="true" outlineLevel="0" collapsed="false">
      <c r="A583" s="5" t="n">
        <v>582</v>
      </c>
      <c r="B583" s="5" t="s">
        <v>1491</v>
      </c>
      <c r="C583" s="5" t="s">
        <v>171</v>
      </c>
      <c r="D583" s="5" t="s">
        <v>172</v>
      </c>
      <c r="E583" s="5" t="n">
        <v>190</v>
      </c>
      <c r="F583" s="5" t="s">
        <v>1492</v>
      </c>
      <c r="G583" s="5" t="n">
        <v>4</v>
      </c>
      <c r="H583" s="5" t="s">
        <v>53</v>
      </c>
      <c r="I583" s="5" t="s">
        <v>54</v>
      </c>
      <c r="J583" s="5" t="s">
        <v>181</v>
      </c>
      <c r="K583" s="5" t="s">
        <v>574</v>
      </c>
      <c r="L583" s="5" t="n">
        <v>3</v>
      </c>
      <c r="M583" s="5" t="n">
        <v>5</v>
      </c>
      <c r="N583" s="5" t="n">
        <v>4</v>
      </c>
      <c r="O583" s="5" t="n">
        <v>7</v>
      </c>
      <c r="P583" s="5" t="n">
        <v>-1.5</v>
      </c>
      <c r="Q583" s="5" t="n">
        <v>-1</v>
      </c>
      <c r="R583" s="5" t="n">
        <v>6</v>
      </c>
      <c r="S583" s="5" t="n">
        <v>4</v>
      </c>
      <c r="T583" s="5" t="s">
        <v>1493</v>
      </c>
      <c r="U583" s="6"/>
      <c r="V583" s="6"/>
      <c r="W583" s="6"/>
      <c r="X583" s="6"/>
      <c r="Y583" s="7" t="str">
        <f aca="false">IF(COUNT(U583:X583)=4,(W583-X583)/2,"")</f>
        <v/>
      </c>
      <c r="Z583" s="7" t="str">
        <f aca="false">IF(COUNT(U583:X583)=4,(U583-V583)/2,"")</f>
        <v/>
      </c>
      <c r="AA583" s="7" t="str">
        <f aca="false">IF(COUNT(U583:X583)=4,MAX(1,MIN(10,ROUNDUP(5-Z583,0))),"")</f>
        <v/>
      </c>
      <c r="AB583" s="7" t="str">
        <f aca="false">IF(COUNT(U583:X583)=4,MAX(1,MIN(10,ROUNDUP(Y583+5,0))),"")</f>
        <v/>
      </c>
      <c r="AC583" s="6"/>
      <c r="AD583" s="6"/>
    </row>
    <row r="584" customFormat="false" ht="15" hidden="false" customHeight="true" outlineLevel="0" collapsed="false">
      <c r="A584" s="5" t="n">
        <v>583</v>
      </c>
      <c r="B584" s="5" t="s">
        <v>1494</v>
      </c>
      <c r="C584" s="5" t="s">
        <v>171</v>
      </c>
      <c r="D584" s="5" t="s">
        <v>172</v>
      </c>
      <c r="E584" s="5" t="n">
        <v>189</v>
      </c>
      <c r="F584" s="5" t="s">
        <v>1495</v>
      </c>
      <c r="G584" s="5" t="n">
        <v>4</v>
      </c>
      <c r="H584" s="5" t="s">
        <v>53</v>
      </c>
      <c r="I584" s="5" t="s">
        <v>54</v>
      </c>
      <c r="J584" s="5" t="s">
        <v>181</v>
      </c>
      <c r="K584" s="5" t="s">
        <v>235</v>
      </c>
      <c r="L584" s="5" t="n">
        <v>4</v>
      </c>
      <c r="M584" s="5" t="n">
        <v>4</v>
      </c>
      <c r="N584" s="5" t="n">
        <v>7</v>
      </c>
      <c r="O584" s="5" t="n">
        <v>4</v>
      </c>
      <c r="P584" s="5" t="n">
        <v>1.5</v>
      </c>
      <c r="Q584" s="5" t="n">
        <v>0</v>
      </c>
      <c r="R584" s="5" t="n">
        <v>5</v>
      </c>
      <c r="S584" s="5" t="n">
        <v>7</v>
      </c>
      <c r="T584" s="5" t="s">
        <v>1496</v>
      </c>
      <c r="U584" s="6"/>
      <c r="V584" s="6"/>
      <c r="W584" s="6"/>
      <c r="X584" s="6"/>
      <c r="Y584" s="7" t="str">
        <f aca="false">IF(COUNT(U584:X584)=4,(W584-X584)/2,"")</f>
        <v/>
      </c>
      <c r="Z584" s="7" t="str">
        <f aca="false">IF(COUNT(U584:X584)=4,(U584-V584)/2,"")</f>
        <v/>
      </c>
      <c r="AA584" s="7" t="str">
        <f aca="false">IF(COUNT(U584:X584)=4,MAX(1,MIN(10,ROUNDUP(5-Z584,0))),"")</f>
        <v/>
      </c>
      <c r="AB584" s="7" t="str">
        <f aca="false">IF(COUNT(U584:X584)=4,MAX(1,MIN(10,ROUNDUP(Y584+5,0))),"")</f>
        <v/>
      </c>
      <c r="AC584" s="6"/>
      <c r="AD584" s="6"/>
    </row>
    <row r="585" customFormat="false" ht="15" hidden="false" customHeight="true" outlineLevel="0" collapsed="false">
      <c r="A585" s="5" t="n">
        <v>584</v>
      </c>
      <c r="B585" s="5" t="s">
        <v>1497</v>
      </c>
      <c r="C585" s="5" t="s">
        <v>203</v>
      </c>
      <c r="D585" s="5" t="s">
        <v>204</v>
      </c>
      <c r="E585" s="5" t="n">
        <v>189</v>
      </c>
      <c r="F585" s="5" t="s">
        <v>1498</v>
      </c>
      <c r="G585" s="5" t="n">
        <v>4</v>
      </c>
      <c r="H585" s="5" t="s">
        <v>53</v>
      </c>
      <c r="I585" s="5" t="s">
        <v>54</v>
      </c>
      <c r="J585" s="5" t="s">
        <v>181</v>
      </c>
      <c r="K585" s="5" t="s">
        <v>223</v>
      </c>
      <c r="L585" s="5" t="n">
        <v>3</v>
      </c>
      <c r="M585" s="5" t="n">
        <v>6</v>
      </c>
      <c r="N585" s="5" t="n">
        <v>8</v>
      </c>
      <c r="O585" s="5" t="n">
        <v>3</v>
      </c>
      <c r="P585" s="5" t="n">
        <v>2.5</v>
      </c>
      <c r="Q585" s="5" t="n">
        <v>-1.5</v>
      </c>
      <c r="R585" s="5" t="n">
        <v>7</v>
      </c>
      <c r="S585" s="5" t="n">
        <v>8</v>
      </c>
      <c r="T585" s="5" t="s">
        <v>1499</v>
      </c>
      <c r="U585" s="6"/>
      <c r="V585" s="6"/>
      <c r="W585" s="6"/>
      <c r="X585" s="6"/>
      <c r="Y585" s="7" t="str">
        <f aca="false">IF(COUNT(U585:X585)=4,(W585-X585)/2,"")</f>
        <v/>
      </c>
      <c r="Z585" s="7" t="str">
        <f aca="false">IF(COUNT(U585:X585)=4,(U585-V585)/2,"")</f>
        <v/>
      </c>
      <c r="AA585" s="7" t="str">
        <f aca="false">IF(COUNT(U585:X585)=4,MAX(1,MIN(10,ROUNDUP(5-Z585,0))),"")</f>
        <v/>
      </c>
      <c r="AB585" s="7" t="str">
        <f aca="false">IF(COUNT(U585:X585)=4,MAX(1,MIN(10,ROUNDUP(Y585+5,0))),"")</f>
        <v/>
      </c>
      <c r="AC585" s="6"/>
      <c r="AD585" s="6"/>
    </row>
    <row r="586" customFormat="false" ht="15" hidden="false" customHeight="true" outlineLevel="0" collapsed="false">
      <c r="A586" s="5" t="n">
        <v>585</v>
      </c>
      <c r="B586" s="5" t="s">
        <v>1500</v>
      </c>
      <c r="C586" s="5" t="s">
        <v>171</v>
      </c>
      <c r="D586" s="5" t="s">
        <v>172</v>
      </c>
      <c r="E586" s="5" t="n">
        <v>189</v>
      </c>
      <c r="F586" s="5" t="s">
        <v>1501</v>
      </c>
      <c r="G586" s="5" t="n">
        <v>4</v>
      </c>
      <c r="H586" s="5" t="s">
        <v>53</v>
      </c>
      <c r="I586" s="5" t="s">
        <v>54</v>
      </c>
      <c r="J586" s="5" t="s">
        <v>181</v>
      </c>
      <c r="K586" s="5" t="s">
        <v>309</v>
      </c>
      <c r="L586" s="5" t="n">
        <v>2</v>
      </c>
      <c r="M586" s="5" t="n">
        <v>5</v>
      </c>
      <c r="N586" s="5" t="n">
        <v>5</v>
      </c>
      <c r="O586" s="5" t="n">
        <v>4</v>
      </c>
      <c r="P586" s="5" t="n">
        <v>0.5</v>
      </c>
      <c r="Q586" s="5" t="n">
        <v>-1.5</v>
      </c>
      <c r="R586" s="5" t="n">
        <v>7</v>
      </c>
      <c r="S586" s="5" t="n">
        <v>6</v>
      </c>
      <c r="T586" s="5" t="s">
        <v>1502</v>
      </c>
      <c r="U586" s="6"/>
      <c r="V586" s="6"/>
      <c r="W586" s="6"/>
      <c r="X586" s="6"/>
      <c r="Y586" s="7" t="str">
        <f aca="false">IF(COUNT(U586:X586)=4,(W586-X586)/2,"")</f>
        <v/>
      </c>
      <c r="Z586" s="7" t="str">
        <f aca="false">IF(COUNT(U586:X586)=4,(U586-V586)/2,"")</f>
        <v/>
      </c>
      <c r="AA586" s="7" t="str">
        <f aca="false">IF(COUNT(U586:X586)=4,MAX(1,MIN(10,ROUNDUP(5-Z586,0))),"")</f>
        <v/>
      </c>
      <c r="AB586" s="7" t="str">
        <f aca="false">IF(COUNT(U586:X586)=4,MAX(1,MIN(10,ROUNDUP(Y586+5,0))),"")</f>
        <v/>
      </c>
      <c r="AC586" s="6"/>
      <c r="AD586" s="6"/>
    </row>
    <row r="587" customFormat="false" ht="15" hidden="false" customHeight="true" outlineLevel="0" collapsed="false">
      <c r="A587" s="5" t="n">
        <v>586</v>
      </c>
      <c r="B587" s="5" t="s">
        <v>1503</v>
      </c>
      <c r="C587" s="5" t="s">
        <v>203</v>
      </c>
      <c r="D587" s="5" t="s">
        <v>204</v>
      </c>
      <c r="E587" s="5" t="n">
        <v>189</v>
      </c>
      <c r="F587" s="5" t="s">
        <v>1504</v>
      </c>
      <c r="G587" s="5" t="n">
        <v>4</v>
      </c>
      <c r="H587" s="5" t="s">
        <v>53</v>
      </c>
      <c r="I587" s="5" t="s">
        <v>54</v>
      </c>
      <c r="J587" s="5" t="s">
        <v>117</v>
      </c>
      <c r="K587" s="5" t="s">
        <v>117</v>
      </c>
      <c r="L587" s="5" t="n">
        <v>3</v>
      </c>
      <c r="M587" s="5" t="n">
        <v>5</v>
      </c>
      <c r="N587" s="5" t="n">
        <v>3</v>
      </c>
      <c r="O587" s="5" t="n">
        <v>7</v>
      </c>
      <c r="P587" s="5" t="n">
        <v>-2</v>
      </c>
      <c r="Q587" s="5" t="n">
        <v>-1</v>
      </c>
      <c r="R587" s="5" t="n">
        <v>6</v>
      </c>
      <c r="S587" s="5" t="n">
        <v>3</v>
      </c>
      <c r="T587" s="5" t="s">
        <v>1505</v>
      </c>
      <c r="U587" s="6"/>
      <c r="V587" s="6"/>
      <c r="W587" s="6"/>
      <c r="X587" s="6"/>
      <c r="Y587" s="7" t="str">
        <f aca="false">IF(COUNT(U587:X587)=4,(W587-X587)/2,"")</f>
        <v/>
      </c>
      <c r="Z587" s="7" t="str">
        <f aca="false">IF(COUNT(U587:X587)=4,(U587-V587)/2,"")</f>
        <v/>
      </c>
      <c r="AA587" s="7" t="str">
        <f aca="false">IF(COUNT(U587:X587)=4,MAX(1,MIN(10,ROUNDUP(5-Z587,0))),"")</f>
        <v/>
      </c>
      <c r="AB587" s="7" t="str">
        <f aca="false">IF(COUNT(U587:X587)=4,MAX(1,MIN(10,ROUNDUP(Y587+5,0))),"")</f>
        <v/>
      </c>
      <c r="AC587" s="6"/>
      <c r="AD587" s="6"/>
    </row>
    <row r="588" customFormat="false" ht="15" hidden="false" customHeight="true" outlineLevel="0" collapsed="false">
      <c r="A588" s="5" t="n">
        <v>587</v>
      </c>
      <c r="B588" s="5" t="s">
        <v>1506</v>
      </c>
      <c r="C588" s="5" t="s">
        <v>171</v>
      </c>
      <c r="D588" s="5" t="s">
        <v>172</v>
      </c>
      <c r="E588" s="5" t="n">
        <v>189</v>
      </c>
      <c r="F588" s="5" t="s">
        <v>1507</v>
      </c>
      <c r="G588" s="5" t="n">
        <v>4</v>
      </c>
      <c r="H588" s="5" t="s">
        <v>53</v>
      </c>
      <c r="I588" s="5" t="s">
        <v>54</v>
      </c>
      <c r="J588" s="5" t="s">
        <v>181</v>
      </c>
      <c r="K588" s="5" t="s">
        <v>413</v>
      </c>
      <c r="L588" s="5" t="n">
        <v>5</v>
      </c>
      <c r="M588" s="5" t="n">
        <v>5</v>
      </c>
      <c r="N588" s="5" t="n">
        <v>3</v>
      </c>
      <c r="O588" s="5" t="n">
        <v>8</v>
      </c>
      <c r="P588" s="5" t="n">
        <v>-2.5</v>
      </c>
      <c r="Q588" s="5" t="n">
        <v>0</v>
      </c>
      <c r="R588" s="5" t="n">
        <v>5</v>
      </c>
      <c r="S588" s="5" t="n">
        <v>3</v>
      </c>
      <c r="T588" s="5" t="s">
        <v>71</v>
      </c>
      <c r="U588" s="6"/>
      <c r="V588" s="6"/>
      <c r="W588" s="6"/>
      <c r="X588" s="6"/>
      <c r="Y588" s="7" t="str">
        <f aca="false">IF(COUNT(U588:X588)=4,(W588-X588)/2,"")</f>
        <v/>
      </c>
      <c r="Z588" s="7" t="str">
        <f aca="false">IF(COUNT(U588:X588)=4,(U588-V588)/2,"")</f>
        <v/>
      </c>
      <c r="AA588" s="7" t="str">
        <f aca="false">IF(COUNT(U588:X588)=4,MAX(1,MIN(10,ROUNDUP(5-Z588,0))),"")</f>
        <v/>
      </c>
      <c r="AB588" s="7" t="str">
        <f aca="false">IF(COUNT(U588:X588)=4,MAX(1,MIN(10,ROUNDUP(Y588+5,0))),"")</f>
        <v/>
      </c>
      <c r="AC588" s="6"/>
      <c r="AD588" s="6"/>
    </row>
    <row r="589" customFormat="false" ht="15" hidden="false" customHeight="true" outlineLevel="0" collapsed="false">
      <c r="A589" s="5" t="n">
        <v>588</v>
      </c>
      <c r="B589" s="5" t="s">
        <v>1508</v>
      </c>
      <c r="C589" s="5" t="s">
        <v>145</v>
      </c>
      <c r="D589" s="5" t="s">
        <v>51</v>
      </c>
      <c r="E589" s="5" t="n">
        <v>188</v>
      </c>
      <c r="F589" s="5" t="s">
        <v>1509</v>
      </c>
      <c r="G589" s="5" t="n">
        <v>4</v>
      </c>
      <c r="H589" s="5" t="s">
        <v>53</v>
      </c>
      <c r="I589" s="5" t="s">
        <v>54</v>
      </c>
      <c r="J589" s="5" t="s">
        <v>55</v>
      </c>
      <c r="K589" s="5" t="s">
        <v>55</v>
      </c>
      <c r="L589" s="5" t="n">
        <v>4</v>
      </c>
      <c r="M589" s="5" t="n">
        <v>3</v>
      </c>
      <c r="N589" s="5" t="n">
        <v>3</v>
      </c>
      <c r="O589" s="5" t="n">
        <v>6</v>
      </c>
      <c r="P589" s="5" t="n">
        <v>-1.5</v>
      </c>
      <c r="Q589" s="5" t="n">
        <v>0.5</v>
      </c>
      <c r="R589" s="5" t="n">
        <v>5</v>
      </c>
      <c r="S589" s="5" t="n">
        <v>4</v>
      </c>
      <c r="T589" s="5" t="s">
        <v>1510</v>
      </c>
      <c r="U589" s="6"/>
      <c r="V589" s="6"/>
      <c r="W589" s="6"/>
      <c r="X589" s="6"/>
      <c r="Y589" s="7" t="str">
        <f aca="false">IF(COUNT(U589:X589)=4,(W589-X589)/2,"")</f>
        <v/>
      </c>
      <c r="Z589" s="7" t="str">
        <f aca="false">IF(COUNT(U589:X589)=4,(U589-V589)/2,"")</f>
        <v/>
      </c>
      <c r="AA589" s="7" t="str">
        <f aca="false">IF(COUNT(U589:X589)=4,MAX(1,MIN(10,ROUNDUP(5-Z589,0))),"")</f>
        <v/>
      </c>
      <c r="AB589" s="7" t="str">
        <f aca="false">IF(COUNT(U589:X589)=4,MAX(1,MIN(10,ROUNDUP(Y589+5,0))),"")</f>
        <v/>
      </c>
      <c r="AC589" s="6"/>
      <c r="AD589" s="6"/>
    </row>
    <row r="590" customFormat="false" ht="15" hidden="false" customHeight="true" outlineLevel="0" collapsed="false">
      <c r="A590" s="5" t="n">
        <v>589</v>
      </c>
      <c r="B590" s="5" t="s">
        <v>1511</v>
      </c>
      <c r="C590" s="5" t="s">
        <v>171</v>
      </c>
      <c r="D590" s="5" t="s">
        <v>172</v>
      </c>
      <c r="E590" s="5" t="n">
        <v>186</v>
      </c>
      <c r="F590" s="5" t="s">
        <v>1512</v>
      </c>
      <c r="G590" s="5" t="n">
        <v>4</v>
      </c>
      <c r="H590" s="5" t="s">
        <v>53</v>
      </c>
      <c r="I590" s="5" t="s">
        <v>54</v>
      </c>
      <c r="J590" s="5" t="s">
        <v>181</v>
      </c>
      <c r="K590" s="5" t="s">
        <v>309</v>
      </c>
      <c r="L590" s="5" t="n">
        <v>2</v>
      </c>
      <c r="M590" s="5" t="n">
        <v>5</v>
      </c>
      <c r="N590" s="5" t="n">
        <v>5</v>
      </c>
      <c r="O590" s="5" t="n">
        <v>4</v>
      </c>
      <c r="P590" s="5" t="n">
        <v>0.5</v>
      </c>
      <c r="Q590" s="5" t="n">
        <v>-1.5</v>
      </c>
      <c r="R590" s="5" t="n">
        <v>7</v>
      </c>
      <c r="S590" s="5" t="n">
        <v>6</v>
      </c>
      <c r="T590" s="5" t="s">
        <v>97</v>
      </c>
      <c r="U590" s="6"/>
      <c r="V590" s="6"/>
      <c r="W590" s="6"/>
      <c r="X590" s="6"/>
      <c r="Y590" s="7" t="str">
        <f aca="false">IF(COUNT(U590:X590)=4,(W590-X590)/2,"")</f>
        <v/>
      </c>
      <c r="Z590" s="7" t="str">
        <f aca="false">IF(COUNT(U590:X590)=4,(U590-V590)/2,"")</f>
        <v/>
      </c>
      <c r="AA590" s="7" t="str">
        <f aca="false">IF(COUNT(U590:X590)=4,MAX(1,MIN(10,ROUNDUP(5-Z590,0))),"")</f>
        <v/>
      </c>
      <c r="AB590" s="7" t="str">
        <f aca="false">IF(COUNT(U590:X590)=4,MAX(1,MIN(10,ROUNDUP(Y590+5,0))),"")</f>
        <v/>
      </c>
      <c r="AC590" s="6"/>
      <c r="AD590" s="6"/>
    </row>
    <row r="591" customFormat="false" ht="15" hidden="false" customHeight="true" outlineLevel="0" collapsed="false">
      <c r="A591" s="5" t="n">
        <v>590</v>
      </c>
      <c r="B591" s="5" t="s">
        <v>1513</v>
      </c>
      <c r="C591" s="5" t="s">
        <v>171</v>
      </c>
      <c r="D591" s="5" t="s">
        <v>172</v>
      </c>
      <c r="E591" s="5" t="n">
        <v>185</v>
      </c>
      <c r="F591" s="5" t="s">
        <v>1513</v>
      </c>
      <c r="G591" s="5" t="n">
        <v>2</v>
      </c>
      <c r="H591" s="5" t="s">
        <v>47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 t="s">
        <v>193</v>
      </c>
      <c r="U591" s="6"/>
      <c r="V591" s="6"/>
      <c r="W591" s="6"/>
      <c r="X591" s="6"/>
      <c r="Y591" s="7" t="str">
        <f aca="false">IF(COUNT(U591:X591)=4,(W591-X591)/2,"")</f>
        <v/>
      </c>
      <c r="Z591" s="7" t="str">
        <f aca="false">IF(COUNT(U591:X591)=4,(U591-V591)/2,"")</f>
        <v/>
      </c>
      <c r="AA591" s="7" t="str">
        <f aca="false">IF(COUNT(U591:X591)=4,MAX(1,MIN(10,ROUNDUP(5-Z591,0))),"")</f>
        <v/>
      </c>
      <c r="AB591" s="7" t="str">
        <f aca="false">IF(COUNT(U591:X591)=4,MAX(1,MIN(10,ROUNDUP(Y591+5,0))),"")</f>
        <v/>
      </c>
      <c r="AC591" s="6"/>
      <c r="AD591" s="6"/>
    </row>
    <row r="592" customFormat="false" ht="15" hidden="false" customHeight="true" outlineLevel="0" collapsed="false">
      <c r="A592" s="5" t="n">
        <v>591</v>
      </c>
      <c r="B592" s="5" t="s">
        <v>1514</v>
      </c>
      <c r="C592" s="5" t="s">
        <v>203</v>
      </c>
      <c r="D592" s="5" t="s">
        <v>204</v>
      </c>
      <c r="E592" s="5" t="n">
        <v>185</v>
      </c>
      <c r="F592" s="5" t="s">
        <v>1515</v>
      </c>
      <c r="G592" s="5" t="n">
        <v>4</v>
      </c>
      <c r="H592" s="5" t="s">
        <v>53</v>
      </c>
      <c r="I592" s="5" t="s">
        <v>54</v>
      </c>
      <c r="J592" s="5" t="s">
        <v>117</v>
      </c>
      <c r="K592" s="5" t="s">
        <v>117</v>
      </c>
      <c r="L592" s="5" t="n">
        <v>5</v>
      </c>
      <c r="M592" s="5" t="n">
        <v>1</v>
      </c>
      <c r="N592" s="5" t="n">
        <v>1</v>
      </c>
      <c r="O592" s="5" t="n">
        <v>9</v>
      </c>
      <c r="P592" s="5" t="n">
        <v>-4</v>
      </c>
      <c r="Q592" s="5" t="n">
        <v>2</v>
      </c>
      <c r="R592" s="5" t="n">
        <v>3</v>
      </c>
      <c r="S592" s="5" t="n">
        <v>1</v>
      </c>
      <c r="T592" s="5" t="s">
        <v>1516</v>
      </c>
      <c r="U592" s="6"/>
      <c r="V592" s="6"/>
      <c r="W592" s="6"/>
      <c r="X592" s="6"/>
      <c r="Y592" s="7" t="str">
        <f aca="false">IF(COUNT(U592:X592)=4,(W592-X592)/2,"")</f>
        <v/>
      </c>
      <c r="Z592" s="7" t="str">
        <f aca="false">IF(COUNT(U592:X592)=4,(U592-V592)/2,"")</f>
        <v/>
      </c>
      <c r="AA592" s="7" t="str">
        <f aca="false">IF(COUNT(U592:X592)=4,MAX(1,MIN(10,ROUNDUP(5-Z592,0))),"")</f>
        <v/>
      </c>
      <c r="AB592" s="7" t="str">
        <f aca="false">IF(COUNT(U592:X592)=4,MAX(1,MIN(10,ROUNDUP(Y592+5,0))),"")</f>
        <v/>
      </c>
      <c r="AC592" s="6"/>
      <c r="AD592" s="6"/>
    </row>
    <row r="593" customFormat="false" ht="15" hidden="false" customHeight="true" outlineLevel="0" collapsed="false">
      <c r="A593" s="5" t="n">
        <v>592</v>
      </c>
      <c r="B593" s="5" t="s">
        <v>1517</v>
      </c>
      <c r="C593" s="5" t="s">
        <v>171</v>
      </c>
      <c r="D593" s="5" t="s">
        <v>172</v>
      </c>
      <c r="E593" s="5" t="n">
        <v>185</v>
      </c>
      <c r="F593" s="5" t="s">
        <v>1518</v>
      </c>
      <c r="G593" s="5" t="n">
        <v>4</v>
      </c>
      <c r="H593" s="5" t="s">
        <v>53</v>
      </c>
      <c r="I593" s="5" t="s">
        <v>81</v>
      </c>
      <c r="J593" s="5" t="s">
        <v>174</v>
      </c>
      <c r="K593" s="5" t="s">
        <v>1180</v>
      </c>
      <c r="L593" s="5" t="n">
        <v>6</v>
      </c>
      <c r="M593" s="5" t="n">
        <v>2</v>
      </c>
      <c r="N593" s="5" t="n">
        <v>3</v>
      </c>
      <c r="O593" s="5" t="n">
        <v>8</v>
      </c>
      <c r="P593" s="5" t="n">
        <v>-2.5</v>
      </c>
      <c r="Q593" s="5" t="n">
        <v>2</v>
      </c>
      <c r="R593" s="5" t="n">
        <v>3</v>
      </c>
      <c r="S593" s="5" t="n">
        <v>3</v>
      </c>
      <c r="T593" s="5" t="s">
        <v>1519</v>
      </c>
      <c r="U593" s="6"/>
      <c r="V593" s="6"/>
      <c r="W593" s="6"/>
      <c r="X593" s="6"/>
      <c r="Y593" s="7" t="str">
        <f aca="false">IF(COUNT(U593:X593)=4,(W593-X593)/2,"")</f>
        <v/>
      </c>
      <c r="Z593" s="7" t="str">
        <f aca="false">IF(COUNT(U593:X593)=4,(U593-V593)/2,"")</f>
        <v/>
      </c>
      <c r="AA593" s="7" t="str">
        <f aca="false">IF(COUNT(U593:X593)=4,MAX(1,MIN(10,ROUNDUP(5-Z593,0))),"")</f>
        <v/>
      </c>
      <c r="AB593" s="7" t="str">
        <f aca="false">IF(COUNT(U593:X593)=4,MAX(1,MIN(10,ROUNDUP(Y593+5,0))),"")</f>
        <v/>
      </c>
      <c r="AC593" s="6"/>
      <c r="AD593" s="6"/>
    </row>
    <row r="594" customFormat="false" ht="15" hidden="false" customHeight="true" outlineLevel="0" collapsed="false">
      <c r="A594" s="5" t="n">
        <v>593</v>
      </c>
      <c r="B594" s="5" t="s">
        <v>1520</v>
      </c>
      <c r="C594" s="5" t="s">
        <v>171</v>
      </c>
      <c r="D594" s="5" t="s">
        <v>172</v>
      </c>
      <c r="E594" s="5" t="n">
        <v>185</v>
      </c>
      <c r="F594" s="5" t="s">
        <v>1521</v>
      </c>
      <c r="G594" s="5" t="n">
        <v>4</v>
      </c>
      <c r="H594" s="5" t="s">
        <v>53</v>
      </c>
      <c r="I594" s="5" t="s">
        <v>81</v>
      </c>
      <c r="J594" s="5" t="s">
        <v>174</v>
      </c>
      <c r="K594" s="5" t="s">
        <v>175</v>
      </c>
      <c r="L594" s="5" t="n">
        <v>7</v>
      </c>
      <c r="M594" s="5" t="n">
        <v>1</v>
      </c>
      <c r="N594" s="5" t="n">
        <v>6</v>
      </c>
      <c r="O594" s="5" t="n">
        <v>5</v>
      </c>
      <c r="P594" s="5" t="n">
        <v>0.5</v>
      </c>
      <c r="Q594" s="5" t="n">
        <v>3</v>
      </c>
      <c r="R594" s="5" t="n">
        <v>2</v>
      </c>
      <c r="S594" s="5" t="n">
        <v>6</v>
      </c>
      <c r="T594" s="5" t="s">
        <v>937</v>
      </c>
      <c r="U594" s="6"/>
      <c r="V594" s="6"/>
      <c r="W594" s="6"/>
      <c r="X594" s="6"/>
      <c r="Y594" s="7" t="str">
        <f aca="false">IF(COUNT(U594:X594)=4,(W594-X594)/2,"")</f>
        <v/>
      </c>
      <c r="Z594" s="7" t="str">
        <f aca="false">IF(COUNT(U594:X594)=4,(U594-V594)/2,"")</f>
        <v/>
      </c>
      <c r="AA594" s="7" t="str">
        <f aca="false">IF(COUNT(U594:X594)=4,MAX(1,MIN(10,ROUNDUP(5-Z594,0))),"")</f>
        <v/>
      </c>
      <c r="AB594" s="7" t="str">
        <f aca="false">IF(COUNT(U594:X594)=4,MAX(1,MIN(10,ROUNDUP(Y594+5,0))),"")</f>
        <v/>
      </c>
      <c r="AC594" s="6"/>
      <c r="AD594" s="6"/>
    </row>
    <row r="595" customFormat="false" ht="15" hidden="false" customHeight="true" outlineLevel="0" collapsed="false">
      <c r="A595" s="5" t="n">
        <v>594</v>
      </c>
      <c r="B595" s="5" t="s">
        <v>1522</v>
      </c>
      <c r="C595" s="5" t="s">
        <v>171</v>
      </c>
      <c r="D595" s="5" t="s">
        <v>172</v>
      </c>
      <c r="E595" s="5" t="n">
        <v>185</v>
      </c>
      <c r="F595" s="5" t="s">
        <v>1523</v>
      </c>
      <c r="G595" s="5" t="n">
        <v>4</v>
      </c>
      <c r="H595" s="5" t="s">
        <v>53</v>
      </c>
      <c r="I595" s="5" t="s">
        <v>54</v>
      </c>
      <c r="J595" s="5" t="s">
        <v>181</v>
      </c>
      <c r="K595" s="5" t="s">
        <v>235</v>
      </c>
      <c r="L595" s="5" t="n">
        <v>4</v>
      </c>
      <c r="M595" s="5" t="n">
        <v>4</v>
      </c>
      <c r="N595" s="5" t="n">
        <v>7</v>
      </c>
      <c r="O595" s="5" t="n">
        <v>4</v>
      </c>
      <c r="P595" s="5" t="n">
        <v>1.5</v>
      </c>
      <c r="Q595" s="5" t="n">
        <v>0</v>
      </c>
      <c r="R595" s="5" t="n">
        <v>5</v>
      </c>
      <c r="S595" s="5" t="n">
        <v>7</v>
      </c>
      <c r="T595" s="5" t="s">
        <v>1037</v>
      </c>
      <c r="U595" s="6"/>
      <c r="V595" s="6"/>
      <c r="W595" s="6"/>
      <c r="X595" s="6"/>
      <c r="Y595" s="7" t="str">
        <f aca="false">IF(COUNT(U595:X595)=4,(W595-X595)/2,"")</f>
        <v/>
      </c>
      <c r="Z595" s="7" t="str">
        <f aca="false">IF(COUNT(U595:X595)=4,(U595-V595)/2,"")</f>
        <v/>
      </c>
      <c r="AA595" s="7" t="str">
        <f aca="false">IF(COUNT(U595:X595)=4,MAX(1,MIN(10,ROUNDUP(5-Z595,0))),"")</f>
        <v/>
      </c>
      <c r="AB595" s="7" t="str">
        <f aca="false">IF(COUNT(U595:X595)=4,MAX(1,MIN(10,ROUNDUP(Y595+5,0))),"")</f>
        <v/>
      </c>
      <c r="AC595" s="6"/>
      <c r="AD595" s="6"/>
    </row>
    <row r="596" customFormat="false" ht="15" hidden="false" customHeight="true" outlineLevel="0" collapsed="false">
      <c r="A596" s="5" t="n">
        <v>595</v>
      </c>
      <c r="B596" s="5" t="s">
        <v>1524</v>
      </c>
      <c r="C596" s="5" t="s">
        <v>171</v>
      </c>
      <c r="D596" s="5" t="s">
        <v>172</v>
      </c>
      <c r="E596" s="5" t="n">
        <v>184</v>
      </c>
      <c r="F596" s="5" t="s">
        <v>1524</v>
      </c>
      <c r="G596" s="5" t="n">
        <v>4</v>
      </c>
      <c r="H596" s="5" t="s">
        <v>53</v>
      </c>
      <c r="I596" s="5" t="s">
        <v>54</v>
      </c>
      <c r="J596" s="5" t="s">
        <v>181</v>
      </c>
      <c r="K596" s="5" t="s">
        <v>427</v>
      </c>
      <c r="L596" s="5" t="n">
        <v>4</v>
      </c>
      <c r="M596" s="5" t="n">
        <v>4</v>
      </c>
      <c r="N596" s="5" t="n">
        <v>3</v>
      </c>
      <c r="O596" s="5" t="n">
        <v>8</v>
      </c>
      <c r="P596" s="5" t="n">
        <v>-2.5</v>
      </c>
      <c r="Q596" s="5" t="n">
        <v>0</v>
      </c>
      <c r="R596" s="5" t="n">
        <v>5</v>
      </c>
      <c r="S596" s="5" t="n">
        <v>3</v>
      </c>
      <c r="T596" s="5" t="s">
        <v>1525</v>
      </c>
      <c r="U596" s="6"/>
      <c r="V596" s="6"/>
      <c r="W596" s="6"/>
      <c r="X596" s="6"/>
      <c r="Y596" s="7" t="str">
        <f aca="false">IF(COUNT(U596:X596)=4,(W596-X596)/2,"")</f>
        <v/>
      </c>
      <c r="Z596" s="7" t="str">
        <f aca="false">IF(COUNT(U596:X596)=4,(U596-V596)/2,"")</f>
        <v/>
      </c>
      <c r="AA596" s="7" t="str">
        <f aca="false">IF(COUNT(U596:X596)=4,MAX(1,MIN(10,ROUNDUP(5-Z596,0))),"")</f>
        <v/>
      </c>
      <c r="AB596" s="7" t="str">
        <f aca="false">IF(COUNT(U596:X596)=4,MAX(1,MIN(10,ROUNDUP(Y596+5,0))),"")</f>
        <v/>
      </c>
      <c r="AC596" s="6"/>
      <c r="AD596" s="6"/>
    </row>
    <row r="597" customFormat="false" ht="15" hidden="false" customHeight="true" outlineLevel="0" collapsed="false">
      <c r="A597" s="5" t="n">
        <v>596</v>
      </c>
      <c r="B597" s="5" t="s">
        <v>1526</v>
      </c>
      <c r="C597" s="5" t="s">
        <v>171</v>
      </c>
      <c r="D597" s="5" t="s">
        <v>172</v>
      </c>
      <c r="E597" s="5" t="n">
        <v>184</v>
      </c>
      <c r="F597" s="5" t="s">
        <v>1527</v>
      </c>
      <c r="G597" s="5" t="n">
        <v>4</v>
      </c>
      <c r="H597" s="5" t="s">
        <v>53</v>
      </c>
      <c r="I597" s="5" t="s">
        <v>54</v>
      </c>
      <c r="J597" s="5" t="s">
        <v>181</v>
      </c>
      <c r="K597" s="5" t="s">
        <v>574</v>
      </c>
      <c r="L597" s="5" t="n">
        <v>3</v>
      </c>
      <c r="M597" s="5" t="n">
        <v>5</v>
      </c>
      <c r="N597" s="5" t="n">
        <v>4</v>
      </c>
      <c r="O597" s="5" t="n">
        <v>7</v>
      </c>
      <c r="P597" s="5" t="n">
        <v>-1.5</v>
      </c>
      <c r="Q597" s="5" t="n">
        <v>-1</v>
      </c>
      <c r="R597" s="5" t="n">
        <v>6</v>
      </c>
      <c r="S597" s="5" t="n">
        <v>4</v>
      </c>
      <c r="T597" s="5" t="s">
        <v>728</v>
      </c>
      <c r="U597" s="6"/>
      <c r="V597" s="6"/>
      <c r="W597" s="6"/>
      <c r="X597" s="6"/>
      <c r="Y597" s="7" t="str">
        <f aca="false">IF(COUNT(U597:X597)=4,(W597-X597)/2,"")</f>
        <v/>
      </c>
      <c r="Z597" s="7" t="str">
        <f aca="false">IF(COUNT(U597:X597)=4,(U597-V597)/2,"")</f>
        <v/>
      </c>
      <c r="AA597" s="7" t="str">
        <f aca="false">IF(COUNT(U597:X597)=4,MAX(1,MIN(10,ROUNDUP(5-Z597,0))),"")</f>
        <v/>
      </c>
      <c r="AB597" s="7" t="str">
        <f aca="false">IF(COUNT(U597:X597)=4,MAX(1,MIN(10,ROUNDUP(Y597+5,0))),"")</f>
        <v/>
      </c>
      <c r="AC597" s="6"/>
      <c r="AD597" s="6"/>
    </row>
    <row r="598" customFormat="false" ht="15" hidden="false" customHeight="true" outlineLevel="0" collapsed="false">
      <c r="A598" s="5" t="n">
        <v>597</v>
      </c>
      <c r="B598" s="5" t="s">
        <v>1528</v>
      </c>
      <c r="C598" s="5" t="s">
        <v>203</v>
      </c>
      <c r="D598" s="5" t="s">
        <v>204</v>
      </c>
      <c r="E598" s="5" t="n">
        <v>184</v>
      </c>
      <c r="F598" s="5" t="s">
        <v>1529</v>
      </c>
      <c r="G598" s="5" t="n">
        <v>4</v>
      </c>
      <c r="H598" s="5" t="s">
        <v>53</v>
      </c>
      <c r="I598" s="5" t="s">
        <v>54</v>
      </c>
      <c r="J598" s="5" t="s">
        <v>117</v>
      </c>
      <c r="K598" s="5" t="s">
        <v>117</v>
      </c>
      <c r="L598" s="5" t="n">
        <v>3</v>
      </c>
      <c r="M598" s="5" t="n">
        <v>1</v>
      </c>
      <c r="N598" s="5" t="n">
        <v>2</v>
      </c>
      <c r="O598" s="5" t="n">
        <v>7</v>
      </c>
      <c r="P598" s="5" t="n">
        <v>-2.5</v>
      </c>
      <c r="Q598" s="5" t="n">
        <v>1</v>
      </c>
      <c r="R598" s="5" t="n">
        <v>4</v>
      </c>
      <c r="S598" s="5" t="n">
        <v>3</v>
      </c>
      <c r="T598" s="5" t="s">
        <v>1530</v>
      </c>
      <c r="U598" s="6"/>
      <c r="V598" s="6"/>
      <c r="W598" s="6"/>
      <c r="X598" s="6"/>
      <c r="Y598" s="7" t="str">
        <f aca="false">IF(COUNT(U598:X598)=4,(W598-X598)/2,"")</f>
        <v/>
      </c>
      <c r="Z598" s="7" t="str">
        <f aca="false">IF(COUNT(U598:X598)=4,(U598-V598)/2,"")</f>
        <v/>
      </c>
      <c r="AA598" s="7" t="str">
        <f aca="false">IF(COUNT(U598:X598)=4,MAX(1,MIN(10,ROUNDUP(5-Z598,0))),"")</f>
        <v/>
      </c>
      <c r="AB598" s="7" t="str">
        <f aca="false">IF(COUNT(U598:X598)=4,MAX(1,MIN(10,ROUNDUP(Y598+5,0))),"")</f>
        <v/>
      </c>
      <c r="AC598" s="6"/>
      <c r="AD598" s="6"/>
    </row>
    <row r="599" customFormat="false" ht="15" hidden="false" customHeight="true" outlineLevel="0" collapsed="false">
      <c r="A599" s="5" t="n">
        <v>598</v>
      </c>
      <c r="B599" s="5" t="s">
        <v>1531</v>
      </c>
      <c r="C599" s="5" t="s">
        <v>203</v>
      </c>
      <c r="D599" s="5" t="s">
        <v>204</v>
      </c>
      <c r="E599" s="5" t="n">
        <v>184</v>
      </c>
      <c r="F599" s="5" t="s">
        <v>1532</v>
      </c>
      <c r="G599" s="5" t="n">
        <v>4</v>
      </c>
      <c r="H599" s="5" t="s">
        <v>53</v>
      </c>
      <c r="I599" s="5" t="s">
        <v>54</v>
      </c>
      <c r="J599" s="5" t="s">
        <v>117</v>
      </c>
      <c r="K599" s="5" t="s">
        <v>117</v>
      </c>
      <c r="L599" s="5" t="n">
        <v>3</v>
      </c>
      <c r="M599" s="5" t="n">
        <v>1</v>
      </c>
      <c r="N599" s="5" t="n">
        <v>2</v>
      </c>
      <c r="O599" s="5" t="n">
        <v>8</v>
      </c>
      <c r="P599" s="5" t="n">
        <v>-3</v>
      </c>
      <c r="Q599" s="5" t="n">
        <v>1</v>
      </c>
      <c r="R599" s="5" t="n">
        <v>4</v>
      </c>
      <c r="S599" s="5" t="n">
        <v>2</v>
      </c>
      <c r="T599" s="5" t="s">
        <v>1533</v>
      </c>
      <c r="U599" s="6"/>
      <c r="V599" s="6"/>
      <c r="W599" s="6"/>
      <c r="X599" s="6"/>
      <c r="Y599" s="7" t="str">
        <f aca="false">IF(COUNT(U599:X599)=4,(W599-X599)/2,"")</f>
        <v/>
      </c>
      <c r="Z599" s="7" t="str">
        <f aca="false">IF(COUNT(U599:X599)=4,(U599-V599)/2,"")</f>
        <v/>
      </c>
      <c r="AA599" s="7" t="str">
        <f aca="false">IF(COUNT(U599:X599)=4,MAX(1,MIN(10,ROUNDUP(5-Z599,0))),"")</f>
        <v/>
      </c>
      <c r="AB599" s="7" t="str">
        <f aca="false">IF(COUNT(U599:X599)=4,MAX(1,MIN(10,ROUNDUP(Y599+5,0))),"")</f>
        <v/>
      </c>
      <c r="AC599" s="6"/>
      <c r="AD599" s="6"/>
    </row>
    <row r="600" customFormat="false" ht="15" hidden="false" customHeight="true" outlineLevel="0" collapsed="false">
      <c r="A600" s="5" t="n">
        <v>599</v>
      </c>
      <c r="B600" s="5" t="s">
        <v>1534</v>
      </c>
      <c r="C600" s="5" t="s">
        <v>171</v>
      </c>
      <c r="D600" s="5" t="s">
        <v>172</v>
      </c>
      <c r="E600" s="5" t="n">
        <v>184</v>
      </c>
      <c r="F600" s="5" t="s">
        <v>1535</v>
      </c>
      <c r="G600" s="5" t="n">
        <v>4</v>
      </c>
      <c r="H600" s="5" t="s">
        <v>53</v>
      </c>
      <c r="I600" s="5" t="s">
        <v>54</v>
      </c>
      <c r="J600" s="5" t="s">
        <v>117</v>
      </c>
      <c r="K600" s="5" t="s">
        <v>117</v>
      </c>
      <c r="L600" s="5" t="n">
        <v>5</v>
      </c>
      <c r="M600" s="5" t="n">
        <v>2</v>
      </c>
      <c r="N600" s="5" t="n">
        <v>2</v>
      </c>
      <c r="O600" s="5" t="n">
        <v>8</v>
      </c>
      <c r="P600" s="5" t="n">
        <v>-3</v>
      </c>
      <c r="Q600" s="5" t="n">
        <v>1.5</v>
      </c>
      <c r="R600" s="5" t="n">
        <v>4</v>
      </c>
      <c r="S600" s="5" t="n">
        <v>2</v>
      </c>
      <c r="T600" s="5" t="s">
        <v>1536</v>
      </c>
      <c r="U600" s="6"/>
      <c r="V600" s="6"/>
      <c r="W600" s="6"/>
      <c r="X600" s="6"/>
      <c r="Y600" s="7" t="str">
        <f aca="false">IF(COUNT(U600:X600)=4,(W600-X600)/2,"")</f>
        <v/>
      </c>
      <c r="Z600" s="7" t="str">
        <f aca="false">IF(COUNT(U600:X600)=4,(U600-V600)/2,"")</f>
        <v/>
      </c>
      <c r="AA600" s="7" t="str">
        <f aca="false">IF(COUNT(U600:X600)=4,MAX(1,MIN(10,ROUNDUP(5-Z600,0))),"")</f>
        <v/>
      </c>
      <c r="AB600" s="7" t="str">
        <f aca="false">IF(COUNT(U600:X600)=4,MAX(1,MIN(10,ROUNDUP(Y600+5,0))),"")</f>
        <v/>
      </c>
      <c r="AC600" s="6"/>
      <c r="AD600" s="6"/>
    </row>
    <row r="601" customFormat="false" ht="15" hidden="false" customHeight="true" outlineLevel="0" collapsed="false">
      <c r="A601" s="5" t="n">
        <v>600</v>
      </c>
      <c r="B601" s="5" t="s">
        <v>1537</v>
      </c>
      <c r="C601" s="5" t="s">
        <v>203</v>
      </c>
      <c r="D601" s="5" t="s">
        <v>204</v>
      </c>
      <c r="E601" s="5" t="n">
        <v>183</v>
      </c>
      <c r="F601" s="5" t="s">
        <v>1537</v>
      </c>
      <c r="G601" s="5" t="n">
        <v>4</v>
      </c>
      <c r="H601" s="5" t="s">
        <v>53</v>
      </c>
      <c r="I601" s="5" t="s">
        <v>54</v>
      </c>
      <c r="J601" s="5" t="s">
        <v>117</v>
      </c>
      <c r="K601" s="5" t="s">
        <v>117</v>
      </c>
      <c r="L601" s="5" t="n">
        <v>3</v>
      </c>
      <c r="M601" s="5" t="n">
        <v>1</v>
      </c>
      <c r="N601" s="5" t="n">
        <v>2</v>
      </c>
      <c r="O601" s="5" t="n">
        <v>8</v>
      </c>
      <c r="P601" s="5" t="n">
        <v>-3</v>
      </c>
      <c r="Q601" s="5" t="n">
        <v>1</v>
      </c>
      <c r="R601" s="5" t="n">
        <v>4</v>
      </c>
      <c r="S601" s="5" t="n">
        <v>2</v>
      </c>
      <c r="T601" s="5" t="s">
        <v>250</v>
      </c>
      <c r="U601" s="6"/>
      <c r="V601" s="6"/>
      <c r="W601" s="6"/>
      <c r="X601" s="6"/>
      <c r="Y601" s="7" t="str">
        <f aca="false">IF(COUNT(U601:X601)=4,(W601-X601)/2,"")</f>
        <v/>
      </c>
      <c r="Z601" s="7" t="str">
        <f aca="false">IF(COUNT(U601:X601)=4,(U601-V601)/2,"")</f>
        <v/>
      </c>
      <c r="AA601" s="7" t="str">
        <f aca="false">IF(COUNT(U601:X601)=4,MAX(1,MIN(10,ROUNDUP(5-Z601,0))),"")</f>
        <v/>
      </c>
      <c r="AB601" s="7" t="str">
        <f aca="false">IF(COUNT(U601:X601)=4,MAX(1,MIN(10,ROUNDUP(Y601+5,0))),"")</f>
        <v/>
      </c>
      <c r="AC601" s="6"/>
      <c r="AD601" s="6"/>
    </row>
    <row r="602" customFormat="false" ht="15" hidden="false" customHeight="true" outlineLevel="0" collapsed="false">
      <c r="A602" s="5" t="n">
        <v>601</v>
      </c>
      <c r="B602" s="5" t="s">
        <v>1538</v>
      </c>
      <c r="C602" s="5" t="s">
        <v>145</v>
      </c>
      <c r="D602" s="5" t="s">
        <v>51</v>
      </c>
      <c r="E602" s="5" t="n">
        <v>183</v>
      </c>
      <c r="F602" s="5" t="s">
        <v>1539</v>
      </c>
      <c r="G602" s="5" t="n">
        <v>4</v>
      </c>
      <c r="H602" s="5" t="s">
        <v>53</v>
      </c>
      <c r="I602" s="5" t="s">
        <v>54</v>
      </c>
      <c r="J602" s="5" t="s">
        <v>55</v>
      </c>
      <c r="K602" s="5" t="s">
        <v>55</v>
      </c>
      <c r="L602" s="5" t="n">
        <v>4</v>
      </c>
      <c r="M602" s="5" t="n">
        <v>4</v>
      </c>
      <c r="N602" s="5" t="n">
        <v>6</v>
      </c>
      <c r="O602" s="5" t="n">
        <v>4</v>
      </c>
      <c r="P602" s="5" t="n">
        <v>1</v>
      </c>
      <c r="Q602" s="5" t="n">
        <v>0</v>
      </c>
      <c r="R602" s="5" t="n">
        <v>5</v>
      </c>
      <c r="S602" s="5" t="n">
        <v>6</v>
      </c>
      <c r="T602" s="5" t="s">
        <v>1540</v>
      </c>
      <c r="U602" s="6"/>
      <c r="V602" s="6"/>
      <c r="W602" s="6"/>
      <c r="X602" s="6"/>
      <c r="Y602" s="7" t="str">
        <f aca="false">IF(COUNT(U602:X602)=4,(W602-X602)/2,"")</f>
        <v/>
      </c>
      <c r="Z602" s="7" t="str">
        <f aca="false">IF(COUNT(U602:X602)=4,(U602-V602)/2,"")</f>
        <v/>
      </c>
      <c r="AA602" s="7" t="str">
        <f aca="false">IF(COUNT(U602:X602)=4,MAX(1,MIN(10,ROUNDUP(5-Z602,0))),"")</f>
        <v/>
      </c>
      <c r="AB602" s="7" t="str">
        <f aca="false">IF(COUNT(U602:X602)=4,MAX(1,MIN(10,ROUNDUP(Y602+5,0))),"")</f>
        <v/>
      </c>
      <c r="AC602" s="6"/>
      <c r="AD602" s="6"/>
    </row>
    <row r="603" customFormat="false" ht="15" hidden="false" customHeight="true" outlineLevel="0" collapsed="false">
      <c r="A603" s="5" t="n">
        <v>602</v>
      </c>
      <c r="B603" s="5" t="s">
        <v>1541</v>
      </c>
      <c r="C603" s="5" t="s">
        <v>171</v>
      </c>
      <c r="D603" s="5" t="s">
        <v>172</v>
      </c>
      <c r="E603" s="5" t="n">
        <v>182</v>
      </c>
      <c r="F603" s="5" t="s">
        <v>1542</v>
      </c>
      <c r="G603" s="5" t="n">
        <v>4</v>
      </c>
      <c r="H603" s="5" t="s">
        <v>53</v>
      </c>
      <c r="I603" s="5" t="s">
        <v>54</v>
      </c>
      <c r="J603" s="5" t="s">
        <v>181</v>
      </c>
      <c r="K603" s="5" t="s">
        <v>223</v>
      </c>
      <c r="L603" s="5" t="n">
        <v>4</v>
      </c>
      <c r="M603" s="5" t="n">
        <v>4</v>
      </c>
      <c r="N603" s="5" t="n">
        <v>6</v>
      </c>
      <c r="O603" s="5" t="n">
        <v>5</v>
      </c>
      <c r="P603" s="5" t="n">
        <v>0.5</v>
      </c>
      <c r="Q603" s="5" t="n">
        <v>0</v>
      </c>
      <c r="R603" s="5" t="n">
        <v>5</v>
      </c>
      <c r="S603" s="5" t="n">
        <v>6</v>
      </c>
      <c r="T603" s="5" t="s">
        <v>1543</v>
      </c>
      <c r="U603" s="6"/>
      <c r="V603" s="6"/>
      <c r="W603" s="6"/>
      <c r="X603" s="6"/>
      <c r="Y603" s="7" t="str">
        <f aca="false">IF(COUNT(U603:X603)=4,(W603-X603)/2,"")</f>
        <v/>
      </c>
      <c r="Z603" s="7" t="str">
        <f aca="false">IF(COUNT(U603:X603)=4,(U603-V603)/2,"")</f>
        <v/>
      </c>
      <c r="AA603" s="7" t="str">
        <f aca="false">IF(COUNT(U603:X603)=4,MAX(1,MIN(10,ROUNDUP(5-Z603,0))),"")</f>
        <v/>
      </c>
      <c r="AB603" s="7" t="str">
        <f aca="false">IF(COUNT(U603:X603)=4,MAX(1,MIN(10,ROUNDUP(Y603+5,0))),"")</f>
        <v/>
      </c>
      <c r="AC603" s="6"/>
      <c r="AD603" s="6"/>
    </row>
    <row r="604" customFormat="false" ht="15" hidden="false" customHeight="true" outlineLevel="0" collapsed="false">
      <c r="A604" s="5" t="n">
        <v>603</v>
      </c>
      <c r="B604" s="5" t="s">
        <v>1544</v>
      </c>
      <c r="C604" s="5" t="s">
        <v>203</v>
      </c>
      <c r="D604" s="5" t="s">
        <v>204</v>
      </c>
      <c r="E604" s="5" t="n">
        <v>182</v>
      </c>
      <c r="F604" s="5" t="s">
        <v>1545</v>
      </c>
      <c r="G604" s="5" t="n">
        <v>4</v>
      </c>
      <c r="H604" s="5" t="s">
        <v>53</v>
      </c>
      <c r="I604" s="5" t="s">
        <v>54</v>
      </c>
      <c r="J604" s="5" t="s">
        <v>117</v>
      </c>
      <c r="K604" s="5" t="s">
        <v>117</v>
      </c>
      <c r="L604" s="5" t="n">
        <v>3</v>
      </c>
      <c r="M604" s="5" t="n">
        <v>4</v>
      </c>
      <c r="N604" s="5" t="n">
        <v>8</v>
      </c>
      <c r="O604" s="5" t="n">
        <v>2</v>
      </c>
      <c r="P604" s="5" t="n">
        <v>3</v>
      </c>
      <c r="Q604" s="5" t="n">
        <v>-0.5</v>
      </c>
      <c r="R604" s="5" t="n">
        <v>6</v>
      </c>
      <c r="S604" s="5" t="n">
        <v>8</v>
      </c>
      <c r="T604" s="5" t="s">
        <v>1546</v>
      </c>
      <c r="U604" s="6"/>
      <c r="V604" s="6"/>
      <c r="W604" s="6"/>
      <c r="X604" s="6"/>
      <c r="Y604" s="7" t="str">
        <f aca="false">IF(COUNT(U604:X604)=4,(W604-X604)/2,"")</f>
        <v/>
      </c>
      <c r="Z604" s="7" t="str">
        <f aca="false">IF(COUNT(U604:X604)=4,(U604-V604)/2,"")</f>
        <v/>
      </c>
      <c r="AA604" s="7" t="str">
        <f aca="false">IF(COUNT(U604:X604)=4,MAX(1,MIN(10,ROUNDUP(5-Z604,0))),"")</f>
        <v/>
      </c>
      <c r="AB604" s="7" t="str">
        <f aca="false">IF(COUNT(U604:X604)=4,MAX(1,MIN(10,ROUNDUP(Y604+5,0))),"")</f>
        <v/>
      </c>
      <c r="AC604" s="6"/>
      <c r="AD604" s="6"/>
    </row>
    <row r="605" customFormat="false" ht="15" hidden="false" customHeight="true" outlineLevel="0" collapsed="false">
      <c r="A605" s="5" t="n">
        <v>604</v>
      </c>
      <c r="B605" s="5" t="s">
        <v>1547</v>
      </c>
      <c r="C605" s="5" t="s">
        <v>203</v>
      </c>
      <c r="D605" s="5" t="s">
        <v>204</v>
      </c>
      <c r="E605" s="5" t="n">
        <v>182</v>
      </c>
      <c r="F605" s="5" t="s">
        <v>1548</v>
      </c>
      <c r="G605" s="5" t="n">
        <v>4</v>
      </c>
      <c r="H605" s="5" t="s">
        <v>53</v>
      </c>
      <c r="I605" s="5" t="s">
        <v>54</v>
      </c>
      <c r="J605" s="5" t="s">
        <v>117</v>
      </c>
      <c r="K605" s="5" t="s">
        <v>117</v>
      </c>
      <c r="L605" s="5" t="n">
        <v>4</v>
      </c>
      <c r="M605" s="5" t="n">
        <v>5</v>
      </c>
      <c r="N605" s="5" t="n">
        <v>3</v>
      </c>
      <c r="O605" s="5" t="n">
        <v>7</v>
      </c>
      <c r="P605" s="5" t="n">
        <v>-2</v>
      </c>
      <c r="Q605" s="5" t="n">
        <v>-0.5</v>
      </c>
      <c r="R605" s="5" t="n">
        <v>6</v>
      </c>
      <c r="S605" s="5" t="n">
        <v>3</v>
      </c>
      <c r="T605" s="5" t="s">
        <v>1549</v>
      </c>
      <c r="U605" s="6"/>
      <c r="V605" s="6"/>
      <c r="W605" s="6"/>
      <c r="X605" s="6"/>
      <c r="Y605" s="7" t="str">
        <f aca="false">IF(COUNT(U605:X605)=4,(W605-X605)/2,"")</f>
        <v/>
      </c>
      <c r="Z605" s="7" t="str">
        <f aca="false">IF(COUNT(U605:X605)=4,(U605-V605)/2,"")</f>
        <v/>
      </c>
      <c r="AA605" s="7" t="str">
        <f aca="false">IF(COUNT(U605:X605)=4,MAX(1,MIN(10,ROUNDUP(5-Z605,0))),"")</f>
        <v/>
      </c>
      <c r="AB605" s="7" t="str">
        <f aca="false">IF(COUNT(U605:X605)=4,MAX(1,MIN(10,ROUNDUP(Y605+5,0))),"")</f>
        <v/>
      </c>
      <c r="AC605" s="6"/>
      <c r="AD605" s="6"/>
    </row>
    <row r="606" customFormat="false" ht="15" hidden="false" customHeight="true" outlineLevel="0" collapsed="false">
      <c r="A606" s="5" t="n">
        <v>605</v>
      </c>
      <c r="B606" s="5" t="s">
        <v>182</v>
      </c>
      <c r="C606" s="5" t="s">
        <v>171</v>
      </c>
      <c r="D606" s="5" t="s">
        <v>172</v>
      </c>
      <c r="E606" s="5" t="n">
        <v>182</v>
      </c>
      <c r="F606" s="5" t="s">
        <v>1550</v>
      </c>
      <c r="G606" s="5" t="n">
        <v>4</v>
      </c>
      <c r="H606" s="5" t="s">
        <v>53</v>
      </c>
      <c r="I606" s="5" t="s">
        <v>54</v>
      </c>
      <c r="J606" s="5" t="s">
        <v>181</v>
      </c>
      <c r="K606" s="5" t="s">
        <v>511</v>
      </c>
      <c r="L606" s="5" t="n">
        <v>2</v>
      </c>
      <c r="M606" s="5" t="n">
        <v>6</v>
      </c>
      <c r="N606" s="5" t="n">
        <v>5</v>
      </c>
      <c r="O606" s="5" t="n">
        <v>5</v>
      </c>
      <c r="P606" s="5" t="n">
        <v>0</v>
      </c>
      <c r="Q606" s="5" t="n">
        <v>-2</v>
      </c>
      <c r="R606" s="5" t="n">
        <v>7</v>
      </c>
      <c r="S606" s="5" t="n">
        <v>5</v>
      </c>
      <c r="T606" s="5" t="s">
        <v>1551</v>
      </c>
      <c r="U606" s="6"/>
      <c r="V606" s="6"/>
      <c r="W606" s="6"/>
      <c r="X606" s="6"/>
      <c r="Y606" s="7" t="str">
        <f aca="false">IF(COUNT(U606:X606)=4,(W606-X606)/2,"")</f>
        <v/>
      </c>
      <c r="Z606" s="7" t="str">
        <f aca="false">IF(COUNT(U606:X606)=4,(U606-V606)/2,"")</f>
        <v/>
      </c>
      <c r="AA606" s="7" t="str">
        <f aca="false">IF(COUNT(U606:X606)=4,MAX(1,MIN(10,ROUNDUP(5-Z606,0))),"")</f>
        <v/>
      </c>
      <c r="AB606" s="7" t="str">
        <f aca="false">IF(COUNT(U606:X606)=4,MAX(1,MIN(10,ROUNDUP(Y606+5,0))),"")</f>
        <v/>
      </c>
      <c r="AC606" s="6"/>
      <c r="AD606" s="6"/>
    </row>
    <row r="607" customFormat="false" ht="15" hidden="false" customHeight="true" outlineLevel="0" collapsed="false">
      <c r="A607" s="5" t="n">
        <v>606</v>
      </c>
      <c r="B607" s="5" t="s">
        <v>1552</v>
      </c>
      <c r="C607" s="5" t="s">
        <v>171</v>
      </c>
      <c r="D607" s="5" t="s">
        <v>172</v>
      </c>
      <c r="E607" s="5" t="n">
        <v>182</v>
      </c>
      <c r="F607" s="5" t="s">
        <v>1553</v>
      </c>
      <c r="G607" s="5" t="n">
        <v>4</v>
      </c>
      <c r="H607" s="5" t="s">
        <v>53</v>
      </c>
      <c r="I607" s="5" t="s">
        <v>54</v>
      </c>
      <c r="J607" s="5" t="s">
        <v>181</v>
      </c>
      <c r="K607" s="5" t="s">
        <v>223</v>
      </c>
      <c r="L607" s="5" t="n">
        <v>3</v>
      </c>
      <c r="M607" s="5" t="n">
        <v>5</v>
      </c>
      <c r="N607" s="5" t="n">
        <v>7</v>
      </c>
      <c r="O607" s="5" t="n">
        <v>3</v>
      </c>
      <c r="P607" s="5" t="n">
        <v>2</v>
      </c>
      <c r="Q607" s="5" t="n">
        <v>-1</v>
      </c>
      <c r="R607" s="5" t="n">
        <v>6</v>
      </c>
      <c r="S607" s="5" t="n">
        <v>7</v>
      </c>
      <c r="T607" s="5" t="s">
        <v>1554</v>
      </c>
      <c r="U607" s="6"/>
      <c r="V607" s="6"/>
      <c r="W607" s="6"/>
      <c r="X607" s="6"/>
      <c r="Y607" s="7" t="str">
        <f aca="false">IF(COUNT(U607:X607)=4,(W607-X607)/2,"")</f>
        <v/>
      </c>
      <c r="Z607" s="7" t="str">
        <f aca="false">IF(COUNT(U607:X607)=4,(U607-V607)/2,"")</f>
        <v/>
      </c>
      <c r="AA607" s="7" t="str">
        <f aca="false">IF(COUNT(U607:X607)=4,MAX(1,MIN(10,ROUNDUP(5-Z607,0))),"")</f>
        <v/>
      </c>
      <c r="AB607" s="7" t="str">
        <f aca="false">IF(COUNT(U607:X607)=4,MAX(1,MIN(10,ROUNDUP(Y607+5,0))),"")</f>
        <v/>
      </c>
      <c r="AC607" s="6"/>
      <c r="AD607" s="6"/>
    </row>
    <row r="608" customFormat="false" ht="15" hidden="false" customHeight="true" outlineLevel="0" collapsed="false">
      <c r="A608" s="5" t="n">
        <v>607</v>
      </c>
      <c r="B608" s="5" t="s">
        <v>1555</v>
      </c>
      <c r="C608" s="5" t="s">
        <v>171</v>
      </c>
      <c r="D608" s="5" t="s">
        <v>172</v>
      </c>
      <c r="E608" s="5" t="n">
        <v>182</v>
      </c>
      <c r="F608" s="5" t="s">
        <v>1556</v>
      </c>
      <c r="G608" s="5" t="n">
        <v>4</v>
      </c>
      <c r="H608" s="5" t="s">
        <v>53</v>
      </c>
      <c r="I608" s="5" t="s">
        <v>54</v>
      </c>
      <c r="J608" s="5" t="s">
        <v>181</v>
      </c>
      <c r="K608" s="5" t="s">
        <v>223</v>
      </c>
      <c r="L608" s="5" t="n">
        <v>3</v>
      </c>
      <c r="M608" s="5" t="n">
        <v>4</v>
      </c>
      <c r="N608" s="5" t="n">
        <v>6</v>
      </c>
      <c r="O608" s="5" t="n">
        <v>4</v>
      </c>
      <c r="P608" s="5" t="n">
        <v>1</v>
      </c>
      <c r="Q608" s="5" t="n">
        <v>-0.5</v>
      </c>
      <c r="R608" s="5" t="n">
        <v>6</v>
      </c>
      <c r="S608" s="5" t="n">
        <v>6</v>
      </c>
      <c r="T608" s="5" t="s">
        <v>1557</v>
      </c>
      <c r="U608" s="6"/>
      <c r="V608" s="6"/>
      <c r="W608" s="6"/>
      <c r="X608" s="6"/>
      <c r="Y608" s="7" t="str">
        <f aca="false">IF(COUNT(U608:X608)=4,(W608-X608)/2,"")</f>
        <v/>
      </c>
      <c r="Z608" s="7" t="str">
        <f aca="false">IF(COUNT(U608:X608)=4,(U608-V608)/2,"")</f>
        <v/>
      </c>
      <c r="AA608" s="7" t="str">
        <f aca="false">IF(COUNT(U608:X608)=4,MAX(1,MIN(10,ROUNDUP(5-Z608,0))),"")</f>
        <v/>
      </c>
      <c r="AB608" s="7" t="str">
        <f aca="false">IF(COUNT(U608:X608)=4,MAX(1,MIN(10,ROUNDUP(Y608+5,0))),"")</f>
        <v/>
      </c>
      <c r="AC608" s="6"/>
      <c r="AD608" s="6"/>
    </row>
    <row r="609" customFormat="false" ht="15" hidden="false" customHeight="true" outlineLevel="0" collapsed="false">
      <c r="A609" s="5" t="n">
        <v>608</v>
      </c>
      <c r="B609" s="5" t="s">
        <v>1558</v>
      </c>
      <c r="C609" s="5" t="s">
        <v>171</v>
      </c>
      <c r="D609" s="5" t="s">
        <v>172</v>
      </c>
      <c r="E609" s="5" t="n">
        <v>181</v>
      </c>
      <c r="F609" s="5" t="s">
        <v>1559</v>
      </c>
      <c r="G609" s="5" t="n">
        <v>4</v>
      </c>
      <c r="H609" s="5" t="s">
        <v>53</v>
      </c>
      <c r="I609" s="5" t="s">
        <v>54</v>
      </c>
      <c r="J609" s="5" t="s">
        <v>181</v>
      </c>
      <c r="K609" s="5" t="s">
        <v>413</v>
      </c>
      <c r="L609" s="5" t="n">
        <v>5</v>
      </c>
      <c r="M609" s="5" t="n">
        <v>3</v>
      </c>
      <c r="N609" s="5" t="n">
        <v>3</v>
      </c>
      <c r="O609" s="5" t="n">
        <v>8</v>
      </c>
      <c r="P609" s="5" t="n">
        <v>-2.5</v>
      </c>
      <c r="Q609" s="5" t="n">
        <v>1</v>
      </c>
      <c r="R609" s="5" t="n">
        <v>4</v>
      </c>
      <c r="S609" s="5" t="n">
        <v>3</v>
      </c>
      <c r="T609" s="5" t="s">
        <v>1560</v>
      </c>
      <c r="U609" s="6"/>
      <c r="V609" s="6"/>
      <c r="W609" s="6"/>
      <c r="X609" s="6"/>
      <c r="Y609" s="7" t="str">
        <f aca="false">IF(COUNT(U609:X609)=4,(W609-X609)/2,"")</f>
        <v/>
      </c>
      <c r="Z609" s="7" t="str">
        <f aca="false">IF(COUNT(U609:X609)=4,(U609-V609)/2,"")</f>
        <v/>
      </c>
      <c r="AA609" s="7" t="str">
        <f aca="false">IF(COUNT(U609:X609)=4,MAX(1,MIN(10,ROUNDUP(5-Z609,0))),"")</f>
        <v/>
      </c>
      <c r="AB609" s="7" t="str">
        <f aca="false">IF(COUNT(U609:X609)=4,MAX(1,MIN(10,ROUNDUP(Y609+5,0))),"")</f>
        <v/>
      </c>
      <c r="AC609" s="6"/>
      <c r="AD609" s="6"/>
    </row>
    <row r="610" customFormat="false" ht="15" hidden="false" customHeight="true" outlineLevel="0" collapsed="false">
      <c r="A610" s="5" t="n">
        <v>609</v>
      </c>
      <c r="B610" s="5" t="s">
        <v>1561</v>
      </c>
      <c r="C610" s="5" t="s">
        <v>58</v>
      </c>
      <c r="D610" s="5" t="s">
        <v>59</v>
      </c>
      <c r="E610" s="5" t="n">
        <v>181</v>
      </c>
      <c r="F610" s="5" t="s">
        <v>1561</v>
      </c>
      <c r="G610" s="5" t="n">
        <v>3</v>
      </c>
      <c r="H610" s="5" t="s">
        <v>53</v>
      </c>
      <c r="I610" s="5" t="s">
        <v>64</v>
      </c>
      <c r="J610" s="5"/>
      <c r="K610" s="5"/>
      <c r="L610" s="5" t="n">
        <v>1</v>
      </c>
      <c r="M610" s="5" t="n">
        <v>8</v>
      </c>
      <c r="N610" s="5" t="n">
        <v>3</v>
      </c>
      <c r="O610" s="5" t="n">
        <v>6</v>
      </c>
      <c r="P610" s="5" t="n">
        <v>-1.5</v>
      </c>
      <c r="Q610" s="5" t="n">
        <v>-3.5</v>
      </c>
      <c r="R610" s="5" t="n">
        <v>9</v>
      </c>
      <c r="S610" s="5" t="n">
        <v>4</v>
      </c>
      <c r="T610" s="5" t="s">
        <v>1562</v>
      </c>
      <c r="U610" s="6"/>
      <c r="V610" s="6"/>
      <c r="W610" s="6"/>
      <c r="X610" s="6"/>
      <c r="Y610" s="7" t="str">
        <f aca="false">IF(COUNT(U610:X610)=4,(W610-X610)/2,"")</f>
        <v/>
      </c>
      <c r="Z610" s="7" t="str">
        <f aca="false">IF(COUNT(U610:X610)=4,(U610-V610)/2,"")</f>
        <v/>
      </c>
      <c r="AA610" s="7" t="str">
        <f aca="false">IF(COUNT(U610:X610)=4,MAX(1,MIN(10,ROUNDUP(5-Z610,0))),"")</f>
        <v/>
      </c>
      <c r="AB610" s="7" t="str">
        <f aca="false">IF(COUNT(U610:X610)=4,MAX(1,MIN(10,ROUNDUP(Y610+5,0))),"")</f>
        <v/>
      </c>
      <c r="AC610" s="6"/>
      <c r="AD610" s="6"/>
    </row>
    <row r="611" customFormat="false" ht="15" hidden="false" customHeight="true" outlineLevel="0" collapsed="false">
      <c r="A611" s="5" t="n">
        <v>610</v>
      </c>
      <c r="B611" s="5" t="s">
        <v>1563</v>
      </c>
      <c r="C611" s="5" t="s">
        <v>171</v>
      </c>
      <c r="D611" s="5" t="s">
        <v>172</v>
      </c>
      <c r="E611" s="5" t="n">
        <v>181</v>
      </c>
      <c r="F611" s="5" t="s">
        <v>1564</v>
      </c>
      <c r="G611" s="5" t="n">
        <v>4</v>
      </c>
      <c r="H611" s="5" t="s">
        <v>53</v>
      </c>
      <c r="I611" s="5" t="s">
        <v>81</v>
      </c>
      <c r="J611" s="5" t="s">
        <v>174</v>
      </c>
      <c r="K611" s="5" t="s">
        <v>175</v>
      </c>
      <c r="L611" s="5" t="n">
        <v>7</v>
      </c>
      <c r="M611" s="5" t="n">
        <v>1</v>
      </c>
      <c r="N611" s="5" t="n">
        <v>3</v>
      </c>
      <c r="O611" s="5" t="n">
        <v>8</v>
      </c>
      <c r="P611" s="5" t="n">
        <v>-2.5</v>
      </c>
      <c r="Q611" s="5" t="n">
        <v>3</v>
      </c>
      <c r="R611" s="5" t="n">
        <v>2</v>
      </c>
      <c r="S611" s="5" t="n">
        <v>3</v>
      </c>
      <c r="T611" s="5" t="s">
        <v>1565</v>
      </c>
      <c r="U611" s="6"/>
      <c r="V611" s="6"/>
      <c r="W611" s="6"/>
      <c r="X611" s="6"/>
      <c r="Y611" s="7" t="str">
        <f aca="false">IF(COUNT(U611:X611)=4,(W611-X611)/2,"")</f>
        <v/>
      </c>
      <c r="Z611" s="7" t="str">
        <f aca="false">IF(COUNT(U611:X611)=4,(U611-V611)/2,"")</f>
        <v/>
      </c>
      <c r="AA611" s="7" t="str">
        <f aca="false">IF(COUNT(U611:X611)=4,MAX(1,MIN(10,ROUNDUP(5-Z611,0))),"")</f>
        <v/>
      </c>
      <c r="AB611" s="7" t="str">
        <f aca="false">IF(COUNT(U611:X611)=4,MAX(1,MIN(10,ROUNDUP(Y611+5,0))),"")</f>
        <v/>
      </c>
      <c r="AC611" s="6"/>
      <c r="AD611" s="6"/>
    </row>
    <row r="612" customFormat="false" ht="15" hidden="false" customHeight="true" outlineLevel="0" collapsed="false">
      <c r="A612" s="5" t="n">
        <v>611</v>
      </c>
      <c r="B612" s="5" t="s">
        <v>1566</v>
      </c>
      <c r="C612" s="5" t="s">
        <v>171</v>
      </c>
      <c r="D612" s="5" t="s">
        <v>172</v>
      </c>
      <c r="E612" s="5" t="n">
        <v>181</v>
      </c>
      <c r="F612" s="5" t="s">
        <v>1567</v>
      </c>
      <c r="G612" s="5" t="n">
        <v>4</v>
      </c>
      <c r="H612" s="5" t="s">
        <v>53</v>
      </c>
      <c r="I612" s="5" t="s">
        <v>54</v>
      </c>
      <c r="J612" s="5" t="s">
        <v>181</v>
      </c>
      <c r="K612" s="5" t="s">
        <v>235</v>
      </c>
      <c r="L612" s="5" t="n">
        <v>7</v>
      </c>
      <c r="M612" s="5" t="n">
        <v>3</v>
      </c>
      <c r="N612" s="5" t="n">
        <v>7</v>
      </c>
      <c r="O612" s="5" t="n">
        <v>4</v>
      </c>
      <c r="P612" s="5" t="n">
        <v>1.5</v>
      </c>
      <c r="Q612" s="5" t="n">
        <v>2</v>
      </c>
      <c r="R612" s="5" t="n">
        <v>3</v>
      </c>
      <c r="S612" s="5" t="n">
        <v>7</v>
      </c>
      <c r="T612" s="5" t="s">
        <v>257</v>
      </c>
      <c r="U612" s="6"/>
      <c r="V612" s="6"/>
      <c r="W612" s="6"/>
      <c r="X612" s="6"/>
      <c r="Y612" s="7" t="str">
        <f aca="false">IF(COUNT(U612:X612)=4,(W612-X612)/2,"")</f>
        <v/>
      </c>
      <c r="Z612" s="7" t="str">
        <f aca="false">IF(COUNT(U612:X612)=4,(U612-V612)/2,"")</f>
        <v/>
      </c>
      <c r="AA612" s="7" t="str">
        <f aca="false">IF(COUNT(U612:X612)=4,MAX(1,MIN(10,ROUNDUP(5-Z612,0))),"")</f>
        <v/>
      </c>
      <c r="AB612" s="7" t="str">
        <f aca="false">IF(COUNT(U612:X612)=4,MAX(1,MIN(10,ROUNDUP(Y612+5,0))),"")</f>
        <v/>
      </c>
      <c r="AC612" s="6"/>
      <c r="AD612" s="6"/>
    </row>
    <row r="613" customFormat="false" ht="15" hidden="false" customHeight="true" outlineLevel="0" collapsed="false">
      <c r="A613" s="5" t="n">
        <v>612</v>
      </c>
      <c r="B613" s="5" t="s">
        <v>1568</v>
      </c>
      <c r="C613" s="5" t="s">
        <v>171</v>
      </c>
      <c r="D613" s="5" t="s">
        <v>172</v>
      </c>
      <c r="E613" s="5" t="n">
        <v>181</v>
      </c>
      <c r="F613" s="5" t="s">
        <v>1569</v>
      </c>
      <c r="G613" s="5" t="n">
        <v>4</v>
      </c>
      <c r="H613" s="5" t="s">
        <v>53</v>
      </c>
      <c r="I613" s="5" t="s">
        <v>54</v>
      </c>
      <c r="J613" s="5" t="s">
        <v>181</v>
      </c>
      <c r="K613" s="5" t="s">
        <v>413</v>
      </c>
      <c r="L613" s="5" t="n">
        <v>5</v>
      </c>
      <c r="M613" s="5" t="n">
        <v>3</v>
      </c>
      <c r="N613" s="5" t="n">
        <v>3</v>
      </c>
      <c r="O613" s="5" t="n">
        <v>8</v>
      </c>
      <c r="P613" s="5" t="n">
        <v>-2.5</v>
      </c>
      <c r="Q613" s="5" t="n">
        <v>1</v>
      </c>
      <c r="R613" s="5" t="n">
        <v>4</v>
      </c>
      <c r="S613" s="5" t="n">
        <v>3</v>
      </c>
      <c r="T613" s="5" t="s">
        <v>1570</v>
      </c>
      <c r="U613" s="6"/>
      <c r="V613" s="6"/>
      <c r="W613" s="6"/>
      <c r="X613" s="6"/>
      <c r="Y613" s="7" t="str">
        <f aca="false">IF(COUNT(U613:X613)=4,(W613-X613)/2,"")</f>
        <v/>
      </c>
      <c r="Z613" s="7" t="str">
        <f aca="false">IF(COUNT(U613:X613)=4,(U613-V613)/2,"")</f>
        <v/>
      </c>
      <c r="AA613" s="7" t="str">
        <f aca="false">IF(COUNT(U613:X613)=4,MAX(1,MIN(10,ROUNDUP(5-Z613,0))),"")</f>
        <v/>
      </c>
      <c r="AB613" s="7" t="str">
        <f aca="false">IF(COUNT(U613:X613)=4,MAX(1,MIN(10,ROUNDUP(Y613+5,0))),"")</f>
        <v/>
      </c>
      <c r="AC613" s="6"/>
      <c r="AD613" s="6"/>
    </row>
    <row r="614" customFormat="false" ht="15" hidden="false" customHeight="true" outlineLevel="0" collapsed="false">
      <c r="A614" s="5" t="n">
        <v>613</v>
      </c>
      <c r="B614" s="5" t="s">
        <v>1571</v>
      </c>
      <c r="C614" s="5" t="s">
        <v>171</v>
      </c>
      <c r="D614" s="5" t="s">
        <v>172</v>
      </c>
      <c r="E614" s="5" t="n">
        <v>180</v>
      </c>
      <c r="F614" s="5" t="s">
        <v>1572</v>
      </c>
      <c r="G614" s="5" t="n">
        <v>4</v>
      </c>
      <c r="H614" s="5" t="s">
        <v>53</v>
      </c>
      <c r="I614" s="5" t="s">
        <v>54</v>
      </c>
      <c r="J614" s="5" t="s">
        <v>181</v>
      </c>
      <c r="K614" s="5" t="s">
        <v>413</v>
      </c>
      <c r="L614" s="5" t="n">
        <v>5</v>
      </c>
      <c r="M614" s="5" t="n">
        <v>3</v>
      </c>
      <c r="N614" s="5" t="n">
        <v>3</v>
      </c>
      <c r="O614" s="5" t="n">
        <v>8</v>
      </c>
      <c r="P614" s="5" t="n">
        <v>-2.5</v>
      </c>
      <c r="Q614" s="5" t="n">
        <v>1</v>
      </c>
      <c r="R614" s="5" t="n">
        <v>4</v>
      </c>
      <c r="S614" s="5" t="n">
        <v>3</v>
      </c>
      <c r="T614" s="5" t="s">
        <v>1573</v>
      </c>
      <c r="U614" s="6"/>
      <c r="V614" s="6"/>
      <c r="W614" s="6"/>
      <c r="X614" s="6"/>
      <c r="Y614" s="7" t="str">
        <f aca="false">IF(COUNT(U614:X614)=4,(W614-X614)/2,"")</f>
        <v/>
      </c>
      <c r="Z614" s="7" t="str">
        <f aca="false">IF(COUNT(U614:X614)=4,(U614-V614)/2,"")</f>
        <v/>
      </c>
      <c r="AA614" s="7" t="str">
        <f aca="false">IF(COUNT(U614:X614)=4,MAX(1,MIN(10,ROUNDUP(5-Z614,0))),"")</f>
        <v/>
      </c>
      <c r="AB614" s="7" t="str">
        <f aca="false">IF(COUNT(U614:X614)=4,MAX(1,MIN(10,ROUNDUP(Y614+5,0))),"")</f>
        <v/>
      </c>
      <c r="AC614" s="6"/>
      <c r="AD614" s="6"/>
    </row>
    <row r="615" customFormat="false" ht="15" hidden="false" customHeight="true" outlineLevel="0" collapsed="false">
      <c r="A615" s="5" t="n">
        <v>614</v>
      </c>
      <c r="B615" s="5" t="s">
        <v>1574</v>
      </c>
      <c r="C615" s="5" t="s">
        <v>171</v>
      </c>
      <c r="D615" s="5" t="s">
        <v>172</v>
      </c>
      <c r="E615" s="5" t="n">
        <v>180</v>
      </c>
      <c r="F615" s="5" t="s">
        <v>1575</v>
      </c>
      <c r="G615" s="5" t="n">
        <v>4</v>
      </c>
      <c r="H615" s="5" t="s">
        <v>53</v>
      </c>
      <c r="I615" s="5" t="s">
        <v>54</v>
      </c>
      <c r="J615" s="5" t="s">
        <v>181</v>
      </c>
      <c r="K615" s="5" t="s">
        <v>413</v>
      </c>
      <c r="L615" s="5" t="n">
        <v>7</v>
      </c>
      <c r="M615" s="5" t="n">
        <v>3</v>
      </c>
      <c r="N615" s="5" t="n">
        <v>3</v>
      </c>
      <c r="O615" s="5" t="n">
        <v>8</v>
      </c>
      <c r="P615" s="5" t="n">
        <v>-2.5</v>
      </c>
      <c r="Q615" s="5" t="n">
        <v>2</v>
      </c>
      <c r="R615" s="5" t="n">
        <v>3</v>
      </c>
      <c r="S615" s="5" t="n">
        <v>3</v>
      </c>
      <c r="T615" s="5" t="s">
        <v>1576</v>
      </c>
      <c r="U615" s="6"/>
      <c r="V615" s="6"/>
      <c r="W615" s="6"/>
      <c r="X615" s="6"/>
      <c r="Y615" s="7" t="str">
        <f aca="false">IF(COUNT(U615:X615)=4,(W615-X615)/2,"")</f>
        <v/>
      </c>
      <c r="Z615" s="7" t="str">
        <f aca="false">IF(COUNT(U615:X615)=4,(U615-V615)/2,"")</f>
        <v/>
      </c>
      <c r="AA615" s="7" t="str">
        <f aca="false">IF(COUNT(U615:X615)=4,MAX(1,MIN(10,ROUNDUP(5-Z615,0))),"")</f>
        <v/>
      </c>
      <c r="AB615" s="7" t="str">
        <f aca="false">IF(COUNT(U615:X615)=4,MAX(1,MIN(10,ROUNDUP(Y615+5,0))),"")</f>
        <v/>
      </c>
      <c r="AC615" s="6"/>
      <c r="AD615" s="6"/>
    </row>
    <row r="616" customFormat="false" ht="15" hidden="false" customHeight="true" outlineLevel="0" collapsed="false">
      <c r="A616" s="5" t="n">
        <v>615</v>
      </c>
      <c r="B616" s="5" t="s">
        <v>1577</v>
      </c>
      <c r="C616" s="5" t="s">
        <v>171</v>
      </c>
      <c r="D616" s="5" t="s">
        <v>172</v>
      </c>
      <c r="E616" s="5" t="n">
        <v>179</v>
      </c>
      <c r="F616" s="5" t="s">
        <v>1578</v>
      </c>
      <c r="G616" s="5" t="n">
        <v>4</v>
      </c>
      <c r="H616" s="5" t="s">
        <v>53</v>
      </c>
      <c r="I616" s="5" t="s">
        <v>54</v>
      </c>
      <c r="J616" s="5" t="s">
        <v>181</v>
      </c>
      <c r="K616" s="5" t="s">
        <v>279</v>
      </c>
      <c r="L616" s="5" t="n">
        <v>5</v>
      </c>
      <c r="M616" s="5" t="n">
        <v>4</v>
      </c>
      <c r="N616" s="5" t="n">
        <v>5</v>
      </c>
      <c r="O616" s="5" t="n">
        <v>7</v>
      </c>
      <c r="P616" s="5" t="n">
        <v>-1</v>
      </c>
      <c r="Q616" s="5" t="n">
        <v>0.5</v>
      </c>
      <c r="R616" s="5" t="n">
        <v>5</v>
      </c>
      <c r="S616" s="5" t="n">
        <v>4</v>
      </c>
      <c r="T616" s="5" t="s">
        <v>1579</v>
      </c>
      <c r="U616" s="6"/>
      <c r="V616" s="6"/>
      <c r="W616" s="6"/>
      <c r="X616" s="6"/>
      <c r="Y616" s="7" t="str">
        <f aca="false">IF(COUNT(U616:X616)=4,(W616-X616)/2,"")</f>
        <v/>
      </c>
      <c r="Z616" s="7" t="str">
        <f aca="false">IF(COUNT(U616:X616)=4,(U616-V616)/2,"")</f>
        <v/>
      </c>
      <c r="AA616" s="7" t="str">
        <f aca="false">IF(COUNT(U616:X616)=4,MAX(1,MIN(10,ROUNDUP(5-Z616,0))),"")</f>
        <v/>
      </c>
      <c r="AB616" s="7" t="str">
        <f aca="false">IF(COUNT(U616:X616)=4,MAX(1,MIN(10,ROUNDUP(Y616+5,0))),"")</f>
        <v/>
      </c>
      <c r="AC616" s="6"/>
      <c r="AD616" s="6"/>
    </row>
    <row r="617" customFormat="false" ht="15" hidden="false" customHeight="true" outlineLevel="0" collapsed="false">
      <c r="A617" s="5" t="n">
        <v>616</v>
      </c>
      <c r="B617" s="5" t="s">
        <v>1580</v>
      </c>
      <c r="C617" s="5" t="s">
        <v>171</v>
      </c>
      <c r="D617" s="5" t="s">
        <v>172</v>
      </c>
      <c r="E617" s="5" t="n">
        <v>179</v>
      </c>
      <c r="F617" s="5" t="s">
        <v>1581</v>
      </c>
      <c r="G617" s="5" t="n">
        <v>4</v>
      </c>
      <c r="H617" s="5" t="s">
        <v>53</v>
      </c>
      <c r="I617" s="5" t="s">
        <v>54</v>
      </c>
      <c r="J617" s="5" t="s">
        <v>181</v>
      </c>
      <c r="K617" s="5" t="s">
        <v>235</v>
      </c>
      <c r="L617" s="5" t="n">
        <v>4</v>
      </c>
      <c r="M617" s="5" t="n">
        <v>5</v>
      </c>
      <c r="N617" s="5" t="n">
        <v>7</v>
      </c>
      <c r="O617" s="5" t="n">
        <v>4</v>
      </c>
      <c r="P617" s="5" t="n">
        <v>1.5</v>
      </c>
      <c r="Q617" s="5" t="n">
        <v>-0.5</v>
      </c>
      <c r="R617" s="5" t="n">
        <v>6</v>
      </c>
      <c r="S617" s="5" t="n">
        <v>7</v>
      </c>
      <c r="T617" s="5" t="s">
        <v>250</v>
      </c>
      <c r="U617" s="6"/>
      <c r="V617" s="6"/>
      <c r="W617" s="6"/>
      <c r="X617" s="6"/>
      <c r="Y617" s="7" t="str">
        <f aca="false">IF(COUNT(U617:X617)=4,(W617-X617)/2,"")</f>
        <v/>
      </c>
      <c r="Z617" s="7" t="str">
        <f aca="false">IF(COUNT(U617:X617)=4,(U617-V617)/2,"")</f>
        <v/>
      </c>
      <c r="AA617" s="7" t="str">
        <f aca="false">IF(COUNT(U617:X617)=4,MAX(1,MIN(10,ROUNDUP(5-Z617,0))),"")</f>
        <v/>
      </c>
      <c r="AB617" s="7" t="str">
        <f aca="false">IF(COUNT(U617:X617)=4,MAX(1,MIN(10,ROUNDUP(Y617+5,0))),"")</f>
        <v/>
      </c>
      <c r="AC617" s="6"/>
      <c r="AD617" s="6"/>
    </row>
    <row r="618" customFormat="false" ht="15" hidden="false" customHeight="true" outlineLevel="0" collapsed="false">
      <c r="A618" s="5" t="n">
        <v>617</v>
      </c>
      <c r="B618" s="5" t="s">
        <v>1582</v>
      </c>
      <c r="C618" s="5" t="s">
        <v>203</v>
      </c>
      <c r="D618" s="5" t="s">
        <v>204</v>
      </c>
      <c r="E618" s="5" t="n">
        <v>179</v>
      </c>
      <c r="F618" s="5" t="s">
        <v>1582</v>
      </c>
      <c r="G618" s="5" t="n">
        <v>4</v>
      </c>
      <c r="H618" s="5" t="s">
        <v>53</v>
      </c>
      <c r="I618" s="5" t="s">
        <v>54</v>
      </c>
      <c r="J618" s="5" t="s">
        <v>117</v>
      </c>
      <c r="K618" s="5" t="s">
        <v>117</v>
      </c>
      <c r="L618" s="5" t="n">
        <v>3</v>
      </c>
      <c r="M618" s="5" t="n">
        <v>2</v>
      </c>
      <c r="N618" s="5" t="n">
        <v>2</v>
      </c>
      <c r="O618" s="5" t="n">
        <v>8</v>
      </c>
      <c r="P618" s="5" t="n">
        <v>-3</v>
      </c>
      <c r="Q618" s="5" t="n">
        <v>0.5</v>
      </c>
      <c r="R618" s="5" t="n">
        <v>5</v>
      </c>
      <c r="S618" s="5" t="n">
        <v>2</v>
      </c>
      <c r="T618" s="5" t="s">
        <v>1583</v>
      </c>
      <c r="U618" s="6"/>
      <c r="V618" s="6"/>
      <c r="W618" s="6"/>
      <c r="X618" s="6"/>
      <c r="Y618" s="7" t="str">
        <f aca="false">IF(COUNT(U618:X618)=4,(W618-X618)/2,"")</f>
        <v/>
      </c>
      <c r="Z618" s="7" t="str">
        <f aca="false">IF(COUNT(U618:X618)=4,(U618-V618)/2,"")</f>
        <v/>
      </c>
      <c r="AA618" s="7" t="str">
        <f aca="false">IF(COUNT(U618:X618)=4,MAX(1,MIN(10,ROUNDUP(5-Z618,0))),"")</f>
        <v/>
      </c>
      <c r="AB618" s="7" t="str">
        <f aca="false">IF(COUNT(U618:X618)=4,MAX(1,MIN(10,ROUNDUP(Y618+5,0))),"")</f>
        <v/>
      </c>
      <c r="AC618" s="6"/>
      <c r="AD618" s="6"/>
    </row>
    <row r="619" customFormat="false" ht="15" hidden="false" customHeight="true" outlineLevel="0" collapsed="false">
      <c r="A619" s="5" t="n">
        <v>618</v>
      </c>
      <c r="B619" s="5" t="s">
        <v>1584</v>
      </c>
      <c r="C619" s="5" t="s">
        <v>145</v>
      </c>
      <c r="D619" s="5" t="s">
        <v>51</v>
      </c>
      <c r="E619" s="5" t="n">
        <v>179</v>
      </c>
      <c r="F619" s="5" t="s">
        <v>1585</v>
      </c>
      <c r="G619" s="5" t="n">
        <v>4</v>
      </c>
      <c r="H619" s="5" t="s">
        <v>53</v>
      </c>
      <c r="I619" s="5" t="s">
        <v>54</v>
      </c>
      <c r="J619" s="5" t="s">
        <v>55</v>
      </c>
      <c r="K619" s="5" t="s">
        <v>55</v>
      </c>
      <c r="L619" s="5" t="n">
        <v>4</v>
      </c>
      <c r="M619" s="5" t="n">
        <v>3</v>
      </c>
      <c r="N619" s="5" t="n">
        <v>6</v>
      </c>
      <c r="O619" s="5" t="n">
        <v>4</v>
      </c>
      <c r="P619" s="5" t="n">
        <v>1</v>
      </c>
      <c r="Q619" s="5" t="n">
        <v>0.5</v>
      </c>
      <c r="R619" s="5" t="n">
        <v>5</v>
      </c>
      <c r="S619" s="5" t="n">
        <v>6</v>
      </c>
      <c r="T619" s="5" t="s">
        <v>1586</v>
      </c>
      <c r="U619" s="6"/>
      <c r="V619" s="6"/>
      <c r="W619" s="6"/>
      <c r="X619" s="6"/>
      <c r="Y619" s="7" t="str">
        <f aca="false">IF(COUNT(U619:X619)=4,(W619-X619)/2,"")</f>
        <v/>
      </c>
      <c r="Z619" s="7" t="str">
        <f aca="false">IF(COUNT(U619:X619)=4,(U619-V619)/2,"")</f>
        <v/>
      </c>
      <c r="AA619" s="7" t="str">
        <f aca="false">IF(COUNT(U619:X619)=4,MAX(1,MIN(10,ROUNDUP(5-Z619,0))),"")</f>
        <v/>
      </c>
      <c r="AB619" s="7" t="str">
        <f aca="false">IF(COUNT(U619:X619)=4,MAX(1,MIN(10,ROUNDUP(Y619+5,0))),"")</f>
        <v/>
      </c>
      <c r="AC619" s="6"/>
      <c r="AD619" s="6"/>
    </row>
    <row r="620" customFormat="false" ht="15" hidden="false" customHeight="true" outlineLevel="0" collapsed="false">
      <c r="A620" s="5" t="n">
        <v>619</v>
      </c>
      <c r="B620" s="5" t="s">
        <v>1587</v>
      </c>
      <c r="C620" s="5" t="s">
        <v>171</v>
      </c>
      <c r="D620" s="5" t="s">
        <v>172</v>
      </c>
      <c r="E620" s="5" t="n">
        <v>179</v>
      </c>
      <c r="F620" s="5" t="s">
        <v>1588</v>
      </c>
      <c r="G620" s="5" t="n">
        <v>4</v>
      </c>
      <c r="H620" s="5" t="s">
        <v>53</v>
      </c>
      <c r="I620" s="5" t="s">
        <v>54</v>
      </c>
      <c r="J620" s="5" t="s">
        <v>181</v>
      </c>
      <c r="K620" s="5" t="s">
        <v>574</v>
      </c>
      <c r="L620" s="5" t="n">
        <v>3</v>
      </c>
      <c r="M620" s="5" t="n">
        <v>5</v>
      </c>
      <c r="N620" s="5" t="n">
        <v>4</v>
      </c>
      <c r="O620" s="5" t="n">
        <v>7</v>
      </c>
      <c r="P620" s="5" t="n">
        <v>-1.5</v>
      </c>
      <c r="Q620" s="5" t="n">
        <v>-1</v>
      </c>
      <c r="R620" s="5" t="n">
        <v>6</v>
      </c>
      <c r="S620" s="5" t="n">
        <v>4</v>
      </c>
      <c r="T620" s="5" t="s">
        <v>1589</v>
      </c>
      <c r="U620" s="6"/>
      <c r="V620" s="6"/>
      <c r="W620" s="6"/>
      <c r="X620" s="6"/>
      <c r="Y620" s="7" t="str">
        <f aca="false">IF(COUNT(U620:X620)=4,(W620-X620)/2,"")</f>
        <v/>
      </c>
      <c r="Z620" s="7" t="str">
        <f aca="false">IF(COUNT(U620:X620)=4,(U620-V620)/2,"")</f>
        <v/>
      </c>
      <c r="AA620" s="7" t="str">
        <f aca="false">IF(COUNT(U620:X620)=4,MAX(1,MIN(10,ROUNDUP(5-Z620,0))),"")</f>
        <v/>
      </c>
      <c r="AB620" s="7" t="str">
        <f aca="false">IF(COUNT(U620:X620)=4,MAX(1,MIN(10,ROUNDUP(Y620+5,0))),"")</f>
        <v/>
      </c>
      <c r="AC620" s="6"/>
      <c r="AD620" s="6"/>
    </row>
    <row r="621" customFormat="false" ht="15" hidden="false" customHeight="true" outlineLevel="0" collapsed="false">
      <c r="A621" s="5" t="n">
        <v>620</v>
      </c>
      <c r="B621" s="5" t="s">
        <v>1590</v>
      </c>
      <c r="C621" s="5" t="s">
        <v>171</v>
      </c>
      <c r="D621" s="5" t="s">
        <v>172</v>
      </c>
      <c r="E621" s="5" t="n">
        <v>178</v>
      </c>
      <c r="F621" s="5" t="s">
        <v>1591</v>
      </c>
      <c r="G621" s="5" t="n">
        <v>4</v>
      </c>
      <c r="H621" s="5" t="s">
        <v>53</v>
      </c>
      <c r="I621" s="5" t="s">
        <v>54</v>
      </c>
      <c r="J621" s="5" t="s">
        <v>181</v>
      </c>
      <c r="K621" s="5" t="s">
        <v>235</v>
      </c>
      <c r="L621" s="5" t="n">
        <v>4</v>
      </c>
      <c r="M621" s="5" t="n">
        <v>4</v>
      </c>
      <c r="N621" s="5" t="n">
        <v>7</v>
      </c>
      <c r="O621" s="5" t="n">
        <v>4</v>
      </c>
      <c r="P621" s="5" t="n">
        <v>1.5</v>
      </c>
      <c r="Q621" s="5" t="n">
        <v>0</v>
      </c>
      <c r="R621" s="5" t="n">
        <v>5</v>
      </c>
      <c r="S621" s="5" t="n">
        <v>7</v>
      </c>
      <c r="T621" s="5" t="s">
        <v>446</v>
      </c>
      <c r="U621" s="6"/>
      <c r="V621" s="6"/>
      <c r="W621" s="6"/>
      <c r="X621" s="6"/>
      <c r="Y621" s="7" t="str">
        <f aca="false">IF(COUNT(U621:X621)=4,(W621-X621)/2,"")</f>
        <v/>
      </c>
      <c r="Z621" s="7" t="str">
        <f aca="false">IF(COUNT(U621:X621)=4,(U621-V621)/2,"")</f>
        <v/>
      </c>
      <c r="AA621" s="7" t="str">
        <f aca="false">IF(COUNT(U621:X621)=4,MAX(1,MIN(10,ROUNDUP(5-Z621,0))),"")</f>
        <v/>
      </c>
      <c r="AB621" s="7" t="str">
        <f aca="false">IF(COUNT(U621:X621)=4,MAX(1,MIN(10,ROUNDUP(Y621+5,0))),"")</f>
        <v/>
      </c>
      <c r="AC621" s="6"/>
      <c r="AD621" s="6"/>
    </row>
    <row r="622" customFormat="false" ht="15" hidden="false" customHeight="true" outlineLevel="0" collapsed="false">
      <c r="A622" s="5" t="n">
        <v>621</v>
      </c>
      <c r="B622" s="5" t="s">
        <v>1592</v>
      </c>
      <c r="C622" s="5" t="s">
        <v>58</v>
      </c>
      <c r="D622" s="5" t="s">
        <v>59</v>
      </c>
      <c r="E622" s="5" t="n">
        <v>178</v>
      </c>
      <c r="F622" s="5" t="s">
        <v>1593</v>
      </c>
      <c r="G622" s="5" t="n">
        <v>3</v>
      </c>
      <c r="H622" s="5" t="s">
        <v>53</v>
      </c>
      <c r="I622" s="5" t="s">
        <v>54</v>
      </c>
      <c r="J622" s="5" t="s">
        <v>117</v>
      </c>
      <c r="K622" s="5" t="s">
        <v>117</v>
      </c>
      <c r="L622" s="5" t="n">
        <v>3</v>
      </c>
      <c r="M622" s="5" t="n">
        <v>1</v>
      </c>
      <c r="N622" s="5" t="n">
        <v>7</v>
      </c>
      <c r="O622" s="5" t="n">
        <v>3</v>
      </c>
      <c r="P622" s="5" t="n">
        <v>2</v>
      </c>
      <c r="Q622" s="5" t="n">
        <v>1</v>
      </c>
      <c r="R622" s="5" t="n">
        <v>4</v>
      </c>
      <c r="S622" s="5" t="n">
        <v>7</v>
      </c>
      <c r="T622" s="5" t="s">
        <v>1594</v>
      </c>
      <c r="U622" s="6"/>
      <c r="V622" s="6"/>
      <c r="W622" s="6"/>
      <c r="X622" s="6"/>
      <c r="Y622" s="7" t="str">
        <f aca="false">IF(COUNT(U622:X622)=4,(W622-X622)/2,"")</f>
        <v/>
      </c>
      <c r="Z622" s="7" t="str">
        <f aca="false">IF(COUNT(U622:X622)=4,(U622-V622)/2,"")</f>
        <v/>
      </c>
      <c r="AA622" s="7" t="str">
        <f aca="false">IF(COUNT(U622:X622)=4,MAX(1,MIN(10,ROUNDUP(5-Z622,0))),"")</f>
        <v/>
      </c>
      <c r="AB622" s="7" t="str">
        <f aca="false">IF(COUNT(U622:X622)=4,MAX(1,MIN(10,ROUNDUP(Y622+5,0))),"")</f>
        <v/>
      </c>
      <c r="AC622" s="6"/>
      <c r="AD622" s="6"/>
    </row>
    <row r="623" customFormat="false" ht="15" hidden="false" customHeight="true" outlineLevel="0" collapsed="false">
      <c r="A623" s="5" t="n">
        <v>622</v>
      </c>
      <c r="B623" s="5" t="s">
        <v>1595</v>
      </c>
      <c r="C623" s="5" t="s">
        <v>171</v>
      </c>
      <c r="D623" s="5" t="s">
        <v>172</v>
      </c>
      <c r="E623" s="5" t="n">
        <v>178</v>
      </c>
      <c r="F623" s="5" t="s">
        <v>1596</v>
      </c>
      <c r="G623" s="5" t="n">
        <v>4</v>
      </c>
      <c r="H623" s="5" t="s">
        <v>53</v>
      </c>
      <c r="I623" s="5" t="s">
        <v>54</v>
      </c>
      <c r="J623" s="5" t="s">
        <v>181</v>
      </c>
      <c r="K623" s="5" t="s">
        <v>279</v>
      </c>
      <c r="L623" s="5" t="n">
        <v>4</v>
      </c>
      <c r="M623" s="5" t="n">
        <v>4</v>
      </c>
      <c r="N623" s="5" t="n">
        <v>5</v>
      </c>
      <c r="O623" s="5" t="n">
        <v>7</v>
      </c>
      <c r="P623" s="5" t="n">
        <v>-1</v>
      </c>
      <c r="Q623" s="5" t="n">
        <v>0</v>
      </c>
      <c r="R623" s="5" t="n">
        <v>5</v>
      </c>
      <c r="S623" s="5" t="n">
        <v>4</v>
      </c>
      <c r="T623" s="5" t="s">
        <v>1010</v>
      </c>
      <c r="U623" s="6"/>
      <c r="V623" s="6"/>
      <c r="W623" s="6"/>
      <c r="X623" s="6"/>
      <c r="Y623" s="7" t="str">
        <f aca="false">IF(COUNT(U623:X623)=4,(W623-X623)/2,"")</f>
        <v/>
      </c>
      <c r="Z623" s="7" t="str">
        <f aca="false">IF(COUNT(U623:X623)=4,(U623-V623)/2,"")</f>
        <v/>
      </c>
      <c r="AA623" s="7" t="str">
        <f aca="false">IF(COUNT(U623:X623)=4,MAX(1,MIN(10,ROUNDUP(5-Z623,0))),"")</f>
        <v/>
      </c>
      <c r="AB623" s="7" t="str">
        <f aca="false">IF(COUNT(U623:X623)=4,MAX(1,MIN(10,ROUNDUP(Y623+5,0))),"")</f>
        <v/>
      </c>
      <c r="AC623" s="6"/>
      <c r="AD623" s="6"/>
    </row>
    <row r="624" customFormat="false" ht="15" hidden="false" customHeight="true" outlineLevel="0" collapsed="false">
      <c r="A624" s="5" t="n">
        <v>623</v>
      </c>
      <c r="B624" s="5" t="s">
        <v>1597</v>
      </c>
      <c r="C624" s="5" t="s">
        <v>145</v>
      </c>
      <c r="D624" s="5" t="s">
        <v>51</v>
      </c>
      <c r="E624" s="5" t="n">
        <v>178</v>
      </c>
      <c r="F624" s="5" t="s">
        <v>1598</v>
      </c>
      <c r="G624" s="5" t="n">
        <v>4</v>
      </c>
      <c r="H624" s="5" t="s">
        <v>53</v>
      </c>
      <c r="I624" s="5" t="s">
        <v>54</v>
      </c>
      <c r="J624" s="5" t="s">
        <v>55</v>
      </c>
      <c r="K624" s="5" t="s">
        <v>55</v>
      </c>
      <c r="L624" s="5" t="n">
        <v>4</v>
      </c>
      <c r="M624" s="5" t="n">
        <v>3</v>
      </c>
      <c r="N624" s="5" t="n">
        <v>4</v>
      </c>
      <c r="O624" s="5" t="n">
        <v>6</v>
      </c>
      <c r="P624" s="5" t="n">
        <v>-1</v>
      </c>
      <c r="Q624" s="5" t="n">
        <v>0.5</v>
      </c>
      <c r="R624" s="5" t="n">
        <v>5</v>
      </c>
      <c r="S624" s="5" t="n">
        <v>4</v>
      </c>
      <c r="T624" s="5" t="s">
        <v>325</v>
      </c>
      <c r="U624" s="6"/>
      <c r="V624" s="6"/>
      <c r="W624" s="6"/>
      <c r="X624" s="6"/>
      <c r="Y624" s="7" t="str">
        <f aca="false">IF(COUNT(U624:X624)=4,(W624-X624)/2,"")</f>
        <v/>
      </c>
      <c r="Z624" s="7" t="str">
        <f aca="false">IF(COUNT(U624:X624)=4,(U624-V624)/2,"")</f>
        <v/>
      </c>
      <c r="AA624" s="7" t="str">
        <f aca="false">IF(COUNT(U624:X624)=4,MAX(1,MIN(10,ROUNDUP(5-Z624,0))),"")</f>
        <v/>
      </c>
      <c r="AB624" s="7" t="str">
        <f aca="false">IF(COUNT(U624:X624)=4,MAX(1,MIN(10,ROUNDUP(Y624+5,0))),"")</f>
        <v/>
      </c>
      <c r="AC624" s="6"/>
      <c r="AD624" s="6"/>
    </row>
    <row r="625" customFormat="false" ht="15" hidden="false" customHeight="true" outlineLevel="0" collapsed="false">
      <c r="A625" s="5" t="n">
        <v>624</v>
      </c>
      <c r="B625" s="5" t="s">
        <v>1599</v>
      </c>
      <c r="C625" s="5" t="s">
        <v>171</v>
      </c>
      <c r="D625" s="5" t="s">
        <v>172</v>
      </c>
      <c r="E625" s="5" t="n">
        <v>177</v>
      </c>
      <c r="F625" s="5" t="s">
        <v>1600</v>
      </c>
      <c r="G625" s="5" t="n">
        <v>4</v>
      </c>
      <c r="H625" s="5" t="s">
        <v>53</v>
      </c>
      <c r="I625" s="5" t="s">
        <v>54</v>
      </c>
      <c r="J625" s="5" t="s">
        <v>181</v>
      </c>
      <c r="K625" s="5" t="s">
        <v>279</v>
      </c>
      <c r="L625" s="5" t="n">
        <v>4</v>
      </c>
      <c r="M625" s="5" t="n">
        <v>6</v>
      </c>
      <c r="N625" s="5" t="n">
        <v>5</v>
      </c>
      <c r="O625" s="5" t="n">
        <v>7</v>
      </c>
      <c r="P625" s="5" t="n">
        <v>-1</v>
      </c>
      <c r="Q625" s="5" t="n">
        <v>-1</v>
      </c>
      <c r="R625" s="5" t="n">
        <v>6</v>
      </c>
      <c r="S625" s="5" t="n">
        <v>4</v>
      </c>
      <c r="T625" s="5" t="s">
        <v>690</v>
      </c>
      <c r="U625" s="6"/>
      <c r="V625" s="6"/>
      <c r="W625" s="6"/>
      <c r="X625" s="6"/>
      <c r="Y625" s="7" t="str">
        <f aca="false">IF(COUNT(U625:X625)=4,(W625-X625)/2,"")</f>
        <v/>
      </c>
      <c r="Z625" s="7" t="str">
        <f aca="false">IF(COUNT(U625:X625)=4,(U625-V625)/2,"")</f>
        <v/>
      </c>
      <c r="AA625" s="7" t="str">
        <f aca="false">IF(COUNT(U625:X625)=4,MAX(1,MIN(10,ROUNDUP(5-Z625,0))),"")</f>
        <v/>
      </c>
      <c r="AB625" s="7" t="str">
        <f aca="false">IF(COUNT(U625:X625)=4,MAX(1,MIN(10,ROUNDUP(Y625+5,0))),"")</f>
        <v/>
      </c>
      <c r="AC625" s="6"/>
      <c r="AD625" s="6"/>
    </row>
    <row r="626" customFormat="false" ht="15" hidden="false" customHeight="true" outlineLevel="0" collapsed="false">
      <c r="A626" s="5" t="n">
        <v>625</v>
      </c>
      <c r="B626" s="5" t="s">
        <v>1601</v>
      </c>
      <c r="C626" s="5" t="s">
        <v>145</v>
      </c>
      <c r="D626" s="5" t="s">
        <v>51</v>
      </c>
      <c r="E626" s="5" t="n">
        <v>177</v>
      </c>
      <c r="F626" s="5" t="s">
        <v>1602</v>
      </c>
      <c r="G626" s="5" t="n">
        <v>4</v>
      </c>
      <c r="H626" s="5" t="s">
        <v>53</v>
      </c>
      <c r="I626" s="5" t="s">
        <v>54</v>
      </c>
      <c r="J626" s="5" t="s">
        <v>55</v>
      </c>
      <c r="K626" s="5" t="s">
        <v>55</v>
      </c>
      <c r="L626" s="5" t="n">
        <v>5</v>
      </c>
      <c r="M626" s="5" t="n">
        <v>2</v>
      </c>
      <c r="N626" s="5" t="n">
        <v>3</v>
      </c>
      <c r="O626" s="5" t="n">
        <v>8</v>
      </c>
      <c r="P626" s="5" t="n">
        <v>-2.5</v>
      </c>
      <c r="Q626" s="5" t="n">
        <v>1.5</v>
      </c>
      <c r="R626" s="5" t="n">
        <v>4</v>
      </c>
      <c r="S626" s="5" t="n">
        <v>3</v>
      </c>
      <c r="T626" s="5" t="s">
        <v>328</v>
      </c>
      <c r="U626" s="6"/>
      <c r="V626" s="6"/>
      <c r="W626" s="6"/>
      <c r="X626" s="6"/>
      <c r="Y626" s="7" t="str">
        <f aca="false">IF(COUNT(U626:X626)=4,(W626-X626)/2,"")</f>
        <v/>
      </c>
      <c r="Z626" s="7" t="str">
        <f aca="false">IF(COUNT(U626:X626)=4,(U626-V626)/2,"")</f>
        <v/>
      </c>
      <c r="AA626" s="7" t="str">
        <f aca="false">IF(COUNT(U626:X626)=4,MAX(1,MIN(10,ROUNDUP(5-Z626,0))),"")</f>
        <v/>
      </c>
      <c r="AB626" s="7" t="str">
        <f aca="false">IF(COUNT(U626:X626)=4,MAX(1,MIN(10,ROUNDUP(Y626+5,0))),"")</f>
        <v/>
      </c>
      <c r="AC626" s="6"/>
      <c r="AD626" s="6"/>
    </row>
    <row r="627" customFormat="false" ht="15" hidden="false" customHeight="true" outlineLevel="0" collapsed="false">
      <c r="A627" s="5" t="n">
        <v>626</v>
      </c>
      <c r="B627" s="5" t="s">
        <v>1603</v>
      </c>
      <c r="C627" s="5" t="s">
        <v>145</v>
      </c>
      <c r="D627" s="5" t="s">
        <v>51</v>
      </c>
      <c r="E627" s="5" t="n">
        <v>177</v>
      </c>
      <c r="F627" s="5" t="s">
        <v>1604</v>
      </c>
      <c r="G627" s="5" t="n">
        <v>4</v>
      </c>
      <c r="H627" s="5" t="s">
        <v>53</v>
      </c>
      <c r="I627" s="5" t="s">
        <v>54</v>
      </c>
      <c r="J627" s="5" t="s">
        <v>55</v>
      </c>
      <c r="K627" s="5" t="s">
        <v>55</v>
      </c>
      <c r="L627" s="5" t="n">
        <v>6</v>
      </c>
      <c r="M627" s="5" t="n">
        <v>1</v>
      </c>
      <c r="N627" s="5" t="n">
        <v>6</v>
      </c>
      <c r="O627" s="5" t="n">
        <v>5</v>
      </c>
      <c r="P627" s="5" t="n">
        <v>0.5</v>
      </c>
      <c r="Q627" s="5" t="n">
        <v>2.5</v>
      </c>
      <c r="R627" s="5" t="n">
        <v>3</v>
      </c>
      <c r="S627" s="5" t="n">
        <v>6</v>
      </c>
      <c r="T627" s="5" t="s">
        <v>1605</v>
      </c>
      <c r="U627" s="6"/>
      <c r="V627" s="6"/>
      <c r="W627" s="6"/>
      <c r="X627" s="6"/>
      <c r="Y627" s="7" t="str">
        <f aca="false">IF(COUNT(U627:X627)=4,(W627-X627)/2,"")</f>
        <v/>
      </c>
      <c r="Z627" s="7" t="str">
        <f aca="false">IF(COUNT(U627:X627)=4,(U627-V627)/2,"")</f>
        <v/>
      </c>
      <c r="AA627" s="7" t="str">
        <f aca="false">IF(COUNT(U627:X627)=4,MAX(1,MIN(10,ROUNDUP(5-Z627,0))),"")</f>
        <v/>
      </c>
      <c r="AB627" s="7" t="str">
        <f aca="false">IF(COUNT(U627:X627)=4,MAX(1,MIN(10,ROUNDUP(Y627+5,0))),"")</f>
        <v/>
      </c>
      <c r="AC627" s="6"/>
      <c r="AD627" s="6"/>
    </row>
    <row r="628" customFormat="false" ht="15" hidden="false" customHeight="true" outlineLevel="0" collapsed="false">
      <c r="A628" s="5" t="n">
        <v>627</v>
      </c>
      <c r="B628" s="5" t="s">
        <v>1606</v>
      </c>
      <c r="C628" s="5" t="s">
        <v>145</v>
      </c>
      <c r="D628" s="5" t="s">
        <v>51</v>
      </c>
      <c r="E628" s="5" t="n">
        <v>177</v>
      </c>
      <c r="F628" s="5" t="s">
        <v>1607</v>
      </c>
      <c r="G628" s="5" t="n">
        <v>4</v>
      </c>
      <c r="H628" s="5" t="s">
        <v>53</v>
      </c>
      <c r="I628" s="5" t="s">
        <v>54</v>
      </c>
      <c r="J628" s="5" t="s">
        <v>55</v>
      </c>
      <c r="K628" s="5" t="s">
        <v>55</v>
      </c>
      <c r="L628" s="5" t="n">
        <v>5</v>
      </c>
      <c r="M628" s="5" t="n">
        <v>2</v>
      </c>
      <c r="N628" s="5" t="n">
        <v>4</v>
      </c>
      <c r="O628" s="5" t="n">
        <v>8</v>
      </c>
      <c r="P628" s="5" t="n">
        <v>-2</v>
      </c>
      <c r="Q628" s="5" t="n">
        <v>1.5</v>
      </c>
      <c r="R628" s="5" t="n">
        <v>4</v>
      </c>
      <c r="S628" s="5" t="n">
        <v>3</v>
      </c>
      <c r="T628" s="5" t="s">
        <v>1560</v>
      </c>
      <c r="U628" s="6"/>
      <c r="V628" s="6"/>
      <c r="W628" s="6"/>
      <c r="X628" s="6"/>
      <c r="Y628" s="7" t="str">
        <f aca="false">IF(COUNT(U628:X628)=4,(W628-X628)/2,"")</f>
        <v/>
      </c>
      <c r="Z628" s="7" t="str">
        <f aca="false">IF(COUNT(U628:X628)=4,(U628-V628)/2,"")</f>
        <v/>
      </c>
      <c r="AA628" s="7" t="str">
        <f aca="false">IF(COUNT(U628:X628)=4,MAX(1,MIN(10,ROUNDUP(5-Z628,0))),"")</f>
        <v/>
      </c>
      <c r="AB628" s="7" t="str">
        <f aca="false">IF(COUNT(U628:X628)=4,MAX(1,MIN(10,ROUNDUP(Y628+5,0))),"")</f>
        <v/>
      </c>
      <c r="AC628" s="6"/>
      <c r="AD628" s="6"/>
    </row>
    <row r="629" customFormat="false" ht="15" hidden="false" customHeight="true" outlineLevel="0" collapsed="false">
      <c r="A629" s="5" t="n">
        <v>628</v>
      </c>
      <c r="B629" s="5" t="s">
        <v>1608</v>
      </c>
      <c r="C629" s="5" t="s">
        <v>171</v>
      </c>
      <c r="D629" s="5" t="s">
        <v>172</v>
      </c>
      <c r="E629" s="5" t="n">
        <v>177</v>
      </c>
      <c r="F629" s="5" t="s">
        <v>1609</v>
      </c>
      <c r="G629" s="5" t="n">
        <v>4</v>
      </c>
      <c r="H629" s="5" t="s">
        <v>53</v>
      </c>
      <c r="I629" s="5" t="s">
        <v>54</v>
      </c>
      <c r="J629" s="5" t="s">
        <v>181</v>
      </c>
      <c r="K629" s="5" t="s">
        <v>182</v>
      </c>
      <c r="L629" s="5" t="n">
        <v>2</v>
      </c>
      <c r="M629" s="5" t="n">
        <v>6</v>
      </c>
      <c r="N629" s="5" t="n">
        <v>7</v>
      </c>
      <c r="O629" s="5" t="n">
        <v>3</v>
      </c>
      <c r="P629" s="5" t="n">
        <v>2</v>
      </c>
      <c r="Q629" s="5" t="n">
        <v>-2</v>
      </c>
      <c r="R629" s="5" t="n">
        <v>7</v>
      </c>
      <c r="S629" s="5" t="n">
        <v>7</v>
      </c>
      <c r="T629" s="5" t="s">
        <v>1610</v>
      </c>
      <c r="U629" s="6"/>
      <c r="V629" s="6"/>
      <c r="W629" s="6"/>
      <c r="X629" s="6"/>
      <c r="Y629" s="7" t="str">
        <f aca="false">IF(COUNT(U629:X629)=4,(W629-X629)/2,"")</f>
        <v/>
      </c>
      <c r="Z629" s="7" t="str">
        <f aca="false">IF(COUNT(U629:X629)=4,(U629-V629)/2,"")</f>
        <v/>
      </c>
      <c r="AA629" s="7" t="str">
        <f aca="false">IF(COUNT(U629:X629)=4,MAX(1,MIN(10,ROUNDUP(5-Z629,0))),"")</f>
        <v/>
      </c>
      <c r="AB629" s="7" t="str">
        <f aca="false">IF(COUNT(U629:X629)=4,MAX(1,MIN(10,ROUNDUP(Y629+5,0))),"")</f>
        <v/>
      </c>
      <c r="AC629" s="6"/>
      <c r="AD629" s="6"/>
    </row>
    <row r="630" customFormat="false" ht="15" hidden="false" customHeight="true" outlineLevel="0" collapsed="false">
      <c r="A630" s="5" t="n">
        <v>629</v>
      </c>
      <c r="B630" s="5" t="s">
        <v>1611</v>
      </c>
      <c r="C630" s="5" t="s">
        <v>145</v>
      </c>
      <c r="D630" s="5" t="s">
        <v>51</v>
      </c>
      <c r="E630" s="5" t="n">
        <v>177</v>
      </c>
      <c r="F630" s="5" t="s">
        <v>1612</v>
      </c>
      <c r="G630" s="5" t="n">
        <v>4</v>
      </c>
      <c r="H630" s="5" t="s">
        <v>53</v>
      </c>
      <c r="I630" s="5" t="s">
        <v>54</v>
      </c>
      <c r="J630" s="5" t="s">
        <v>55</v>
      </c>
      <c r="K630" s="5" t="s">
        <v>55</v>
      </c>
      <c r="L630" s="5" t="n">
        <v>5</v>
      </c>
      <c r="M630" s="5" t="n">
        <v>2</v>
      </c>
      <c r="N630" s="5" t="n">
        <v>5</v>
      </c>
      <c r="O630" s="5" t="n">
        <v>8</v>
      </c>
      <c r="P630" s="5" t="n">
        <v>-1.5</v>
      </c>
      <c r="Q630" s="5" t="n">
        <v>1.5</v>
      </c>
      <c r="R630" s="5" t="n">
        <v>4</v>
      </c>
      <c r="S630" s="5" t="n">
        <v>4</v>
      </c>
      <c r="T630" s="5" t="s">
        <v>1613</v>
      </c>
      <c r="U630" s="6"/>
      <c r="V630" s="6"/>
      <c r="W630" s="6"/>
      <c r="X630" s="6"/>
      <c r="Y630" s="7" t="str">
        <f aca="false">IF(COUNT(U630:X630)=4,(W630-X630)/2,"")</f>
        <v/>
      </c>
      <c r="Z630" s="7" t="str">
        <f aca="false">IF(COUNT(U630:X630)=4,(U630-V630)/2,"")</f>
        <v/>
      </c>
      <c r="AA630" s="7" t="str">
        <f aca="false">IF(COUNT(U630:X630)=4,MAX(1,MIN(10,ROUNDUP(5-Z630,0))),"")</f>
        <v/>
      </c>
      <c r="AB630" s="7" t="str">
        <f aca="false">IF(COUNT(U630:X630)=4,MAX(1,MIN(10,ROUNDUP(Y630+5,0))),"")</f>
        <v/>
      </c>
      <c r="AC630" s="6"/>
      <c r="AD630" s="6"/>
    </row>
    <row r="631" customFormat="false" ht="15" hidden="false" customHeight="true" outlineLevel="0" collapsed="false">
      <c r="A631" s="5" t="n">
        <v>630</v>
      </c>
      <c r="B631" s="5" t="s">
        <v>1614</v>
      </c>
      <c r="C631" s="5" t="s">
        <v>171</v>
      </c>
      <c r="D631" s="5" t="s">
        <v>172</v>
      </c>
      <c r="E631" s="5" t="n">
        <v>177</v>
      </c>
      <c r="F631" s="5" t="s">
        <v>1615</v>
      </c>
      <c r="G631" s="5" t="n">
        <v>4</v>
      </c>
      <c r="H631" s="5" t="s">
        <v>53</v>
      </c>
      <c r="I631" s="5" t="s">
        <v>54</v>
      </c>
      <c r="J631" s="5" t="s">
        <v>181</v>
      </c>
      <c r="K631" s="5" t="s">
        <v>235</v>
      </c>
      <c r="L631" s="5" t="n">
        <v>4</v>
      </c>
      <c r="M631" s="5" t="n">
        <v>4</v>
      </c>
      <c r="N631" s="5" t="n">
        <v>7</v>
      </c>
      <c r="O631" s="5" t="n">
        <v>4</v>
      </c>
      <c r="P631" s="5" t="n">
        <v>1.5</v>
      </c>
      <c r="Q631" s="5" t="n">
        <v>0</v>
      </c>
      <c r="R631" s="5" t="n">
        <v>5</v>
      </c>
      <c r="S631" s="5" t="n">
        <v>7</v>
      </c>
      <c r="T631" s="5" t="s">
        <v>1616</v>
      </c>
      <c r="U631" s="6"/>
      <c r="V631" s="6"/>
      <c r="W631" s="6"/>
      <c r="X631" s="6"/>
      <c r="Y631" s="7" t="str">
        <f aca="false">IF(COUNT(U631:X631)=4,(W631-X631)/2,"")</f>
        <v/>
      </c>
      <c r="Z631" s="7" t="str">
        <f aca="false">IF(COUNT(U631:X631)=4,(U631-V631)/2,"")</f>
        <v/>
      </c>
      <c r="AA631" s="7" t="str">
        <f aca="false">IF(COUNT(U631:X631)=4,MAX(1,MIN(10,ROUNDUP(5-Z631,0))),"")</f>
        <v/>
      </c>
      <c r="AB631" s="7" t="str">
        <f aca="false">IF(COUNT(U631:X631)=4,MAX(1,MIN(10,ROUNDUP(Y631+5,0))),"")</f>
        <v/>
      </c>
      <c r="AC631" s="6"/>
      <c r="AD631" s="6"/>
    </row>
    <row r="632" customFormat="false" ht="15" hidden="false" customHeight="true" outlineLevel="0" collapsed="false">
      <c r="A632" s="5" t="n">
        <v>631</v>
      </c>
      <c r="B632" s="5" t="s">
        <v>1617</v>
      </c>
      <c r="C632" s="5" t="s">
        <v>108</v>
      </c>
      <c r="D632" s="5" t="s">
        <v>109</v>
      </c>
      <c r="E632" s="5" t="n">
        <v>176</v>
      </c>
      <c r="F632" s="5" t="s">
        <v>1617</v>
      </c>
      <c r="G632" s="5" t="n">
        <v>2</v>
      </c>
      <c r="H632" s="5" t="s">
        <v>47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1618</v>
      </c>
      <c r="U632" s="6"/>
      <c r="V632" s="6"/>
      <c r="W632" s="6"/>
      <c r="X632" s="6"/>
      <c r="Y632" s="7" t="str">
        <f aca="false">IF(COUNT(U632:X632)=4,(W632-X632)/2,"")</f>
        <v/>
      </c>
      <c r="Z632" s="7" t="str">
        <f aca="false">IF(COUNT(U632:X632)=4,(U632-V632)/2,"")</f>
        <v/>
      </c>
      <c r="AA632" s="7" t="str">
        <f aca="false">IF(COUNT(U632:X632)=4,MAX(1,MIN(10,ROUNDUP(5-Z632,0))),"")</f>
        <v/>
      </c>
      <c r="AB632" s="7" t="str">
        <f aca="false">IF(COUNT(U632:X632)=4,MAX(1,MIN(10,ROUNDUP(Y632+5,0))),"")</f>
        <v/>
      </c>
      <c r="AC632" s="6"/>
      <c r="AD632" s="6"/>
    </row>
    <row r="633" customFormat="false" ht="15" hidden="false" customHeight="true" outlineLevel="0" collapsed="false">
      <c r="A633" s="5" t="n">
        <v>632</v>
      </c>
      <c r="B633" s="5" t="s">
        <v>1619</v>
      </c>
      <c r="C633" s="5" t="s">
        <v>145</v>
      </c>
      <c r="D633" s="5" t="s">
        <v>51</v>
      </c>
      <c r="E633" s="5" t="n">
        <v>176</v>
      </c>
      <c r="F633" s="5" t="s">
        <v>1620</v>
      </c>
      <c r="G633" s="5" t="n">
        <v>4</v>
      </c>
      <c r="H633" s="5" t="s">
        <v>53</v>
      </c>
      <c r="I633" s="5" t="s">
        <v>54</v>
      </c>
      <c r="J633" s="5" t="s">
        <v>181</v>
      </c>
      <c r="K633" s="5" t="s">
        <v>443</v>
      </c>
      <c r="L633" s="5" t="n">
        <v>6</v>
      </c>
      <c r="M633" s="5" t="n">
        <v>3</v>
      </c>
      <c r="N633" s="5" t="n">
        <v>4</v>
      </c>
      <c r="O633" s="5" t="n">
        <v>8</v>
      </c>
      <c r="P633" s="5" t="n">
        <v>-2</v>
      </c>
      <c r="Q633" s="5" t="n">
        <v>1.5</v>
      </c>
      <c r="R633" s="5" t="n">
        <v>4</v>
      </c>
      <c r="S633" s="5" t="n">
        <v>3</v>
      </c>
      <c r="T633" s="5" t="s">
        <v>1621</v>
      </c>
      <c r="U633" s="6"/>
      <c r="V633" s="6"/>
      <c r="W633" s="6"/>
      <c r="X633" s="6"/>
      <c r="Y633" s="7" t="str">
        <f aca="false">IF(COUNT(U633:X633)=4,(W633-X633)/2,"")</f>
        <v/>
      </c>
      <c r="Z633" s="7" t="str">
        <f aca="false">IF(COUNT(U633:X633)=4,(U633-V633)/2,"")</f>
        <v/>
      </c>
      <c r="AA633" s="7" t="str">
        <f aca="false">IF(COUNT(U633:X633)=4,MAX(1,MIN(10,ROUNDUP(5-Z633,0))),"")</f>
        <v/>
      </c>
      <c r="AB633" s="7" t="str">
        <f aca="false">IF(COUNT(U633:X633)=4,MAX(1,MIN(10,ROUNDUP(Y633+5,0))),"")</f>
        <v/>
      </c>
      <c r="AC633" s="6"/>
      <c r="AD633" s="6"/>
    </row>
    <row r="634" customFormat="false" ht="15" hidden="false" customHeight="true" outlineLevel="0" collapsed="false">
      <c r="A634" s="5" t="n">
        <v>633</v>
      </c>
      <c r="B634" s="5" t="s">
        <v>1622</v>
      </c>
      <c r="C634" s="5" t="s">
        <v>145</v>
      </c>
      <c r="D634" s="5" t="s">
        <v>51</v>
      </c>
      <c r="E634" s="5" t="n">
        <v>176</v>
      </c>
      <c r="F634" s="5" t="s">
        <v>1623</v>
      </c>
      <c r="G634" s="5" t="n">
        <v>4</v>
      </c>
      <c r="H634" s="5" t="s">
        <v>53</v>
      </c>
      <c r="I634" s="5" t="s">
        <v>54</v>
      </c>
      <c r="J634" s="5" t="s">
        <v>55</v>
      </c>
      <c r="K634" s="5" t="s">
        <v>55</v>
      </c>
      <c r="L634" s="5" t="n">
        <v>4</v>
      </c>
      <c r="M634" s="5" t="n">
        <v>2</v>
      </c>
      <c r="N634" s="5" t="n">
        <v>9</v>
      </c>
      <c r="O634" s="5" t="n">
        <v>2</v>
      </c>
      <c r="P634" s="5" t="n">
        <v>3.5</v>
      </c>
      <c r="Q634" s="5" t="n">
        <v>1</v>
      </c>
      <c r="R634" s="5" t="n">
        <v>4</v>
      </c>
      <c r="S634" s="5" t="n">
        <v>9</v>
      </c>
      <c r="T634" s="5" t="s">
        <v>1624</v>
      </c>
      <c r="U634" s="6"/>
      <c r="V634" s="6"/>
      <c r="W634" s="6"/>
      <c r="X634" s="6"/>
      <c r="Y634" s="7" t="str">
        <f aca="false">IF(COUNT(U634:X634)=4,(W634-X634)/2,"")</f>
        <v/>
      </c>
      <c r="Z634" s="7" t="str">
        <f aca="false">IF(COUNT(U634:X634)=4,(U634-V634)/2,"")</f>
        <v/>
      </c>
      <c r="AA634" s="7" t="str">
        <f aca="false">IF(COUNT(U634:X634)=4,MAX(1,MIN(10,ROUNDUP(5-Z634,0))),"")</f>
        <v/>
      </c>
      <c r="AB634" s="7" t="str">
        <f aca="false">IF(COUNT(U634:X634)=4,MAX(1,MIN(10,ROUNDUP(Y634+5,0))),"")</f>
        <v/>
      </c>
      <c r="AC634" s="6"/>
      <c r="AD634" s="6"/>
    </row>
    <row r="635" customFormat="false" ht="15" hidden="false" customHeight="true" outlineLevel="0" collapsed="false">
      <c r="A635" s="5" t="n">
        <v>634</v>
      </c>
      <c r="B635" s="5" t="s">
        <v>1625</v>
      </c>
      <c r="C635" s="5" t="s">
        <v>58</v>
      </c>
      <c r="D635" s="5" t="s">
        <v>59</v>
      </c>
      <c r="E635" s="5" t="n">
        <v>175</v>
      </c>
      <c r="F635" s="5" t="s">
        <v>1625</v>
      </c>
      <c r="G635" s="5" t="n">
        <v>1</v>
      </c>
      <c r="H635" s="5" t="s">
        <v>47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 t="s">
        <v>1626</v>
      </c>
      <c r="U635" s="6"/>
      <c r="V635" s="6"/>
      <c r="W635" s="6"/>
      <c r="X635" s="6"/>
      <c r="Y635" s="7" t="str">
        <f aca="false">IF(COUNT(U635:X635)=4,(W635-X635)/2,"")</f>
        <v/>
      </c>
      <c r="Z635" s="7" t="str">
        <f aca="false">IF(COUNT(U635:X635)=4,(U635-V635)/2,"")</f>
        <v/>
      </c>
      <c r="AA635" s="7" t="str">
        <f aca="false">IF(COUNT(U635:X635)=4,MAX(1,MIN(10,ROUNDUP(5-Z635,0))),"")</f>
        <v/>
      </c>
      <c r="AB635" s="7" t="str">
        <f aca="false">IF(COUNT(U635:X635)=4,MAX(1,MIN(10,ROUNDUP(Y635+5,0))),"")</f>
        <v/>
      </c>
      <c r="AC635" s="6"/>
      <c r="AD635" s="6"/>
    </row>
    <row r="636" customFormat="false" ht="15" hidden="false" customHeight="true" outlineLevel="0" collapsed="false">
      <c r="A636" s="5" t="n">
        <v>635</v>
      </c>
      <c r="B636" s="5" t="s">
        <v>1627</v>
      </c>
      <c r="C636" s="5" t="s">
        <v>171</v>
      </c>
      <c r="D636" s="5" t="s">
        <v>172</v>
      </c>
      <c r="E636" s="5" t="n">
        <v>175</v>
      </c>
      <c r="F636" s="5" t="s">
        <v>1628</v>
      </c>
      <c r="G636" s="5" t="n">
        <v>4</v>
      </c>
      <c r="H636" s="5" t="s">
        <v>53</v>
      </c>
      <c r="I636" s="5" t="s">
        <v>54</v>
      </c>
      <c r="J636" s="5" t="s">
        <v>181</v>
      </c>
      <c r="K636" s="5" t="s">
        <v>235</v>
      </c>
      <c r="L636" s="5" t="n">
        <v>4</v>
      </c>
      <c r="M636" s="5" t="n">
        <v>4</v>
      </c>
      <c r="N636" s="5" t="n">
        <v>7</v>
      </c>
      <c r="O636" s="5" t="n">
        <v>4</v>
      </c>
      <c r="P636" s="5" t="n">
        <v>1.5</v>
      </c>
      <c r="Q636" s="5" t="n">
        <v>0</v>
      </c>
      <c r="R636" s="5" t="n">
        <v>5</v>
      </c>
      <c r="S636" s="5" t="n">
        <v>7</v>
      </c>
      <c r="T636" s="5" t="s">
        <v>1629</v>
      </c>
      <c r="U636" s="6"/>
      <c r="V636" s="6"/>
      <c r="W636" s="6"/>
      <c r="X636" s="6"/>
      <c r="Y636" s="7" t="str">
        <f aca="false">IF(COUNT(U636:X636)=4,(W636-X636)/2,"")</f>
        <v/>
      </c>
      <c r="Z636" s="7" t="str">
        <f aca="false">IF(COUNT(U636:X636)=4,(U636-V636)/2,"")</f>
        <v/>
      </c>
      <c r="AA636" s="7" t="str">
        <f aca="false">IF(COUNT(U636:X636)=4,MAX(1,MIN(10,ROUNDUP(5-Z636,0))),"")</f>
        <v/>
      </c>
      <c r="AB636" s="7" t="str">
        <f aca="false">IF(COUNT(U636:X636)=4,MAX(1,MIN(10,ROUNDUP(Y636+5,0))),"")</f>
        <v/>
      </c>
      <c r="AC636" s="6"/>
      <c r="AD636" s="6"/>
    </row>
    <row r="637" customFormat="false" ht="15" hidden="false" customHeight="true" outlineLevel="0" collapsed="false">
      <c r="A637" s="5" t="n">
        <v>636</v>
      </c>
      <c r="B637" s="5" t="s">
        <v>1630</v>
      </c>
      <c r="C637" s="5" t="s">
        <v>203</v>
      </c>
      <c r="D637" s="5" t="s">
        <v>204</v>
      </c>
      <c r="E637" s="5" t="n">
        <v>174</v>
      </c>
      <c r="F637" s="5" t="s">
        <v>1630</v>
      </c>
      <c r="G637" s="5" t="n">
        <v>4</v>
      </c>
      <c r="H637" s="5" t="s">
        <v>53</v>
      </c>
      <c r="I637" s="5" t="s">
        <v>54</v>
      </c>
      <c r="J637" s="5" t="s">
        <v>117</v>
      </c>
      <c r="K637" s="5" t="s">
        <v>117</v>
      </c>
      <c r="L637" s="5" t="n">
        <v>1</v>
      </c>
      <c r="M637" s="5" t="n">
        <v>8</v>
      </c>
      <c r="N637" s="5" t="n">
        <v>2</v>
      </c>
      <c r="O637" s="5" t="n">
        <v>8</v>
      </c>
      <c r="P637" s="5" t="n">
        <v>-3</v>
      </c>
      <c r="Q637" s="5" t="n">
        <v>-3.5</v>
      </c>
      <c r="R637" s="5" t="n">
        <v>9</v>
      </c>
      <c r="S637" s="5" t="n">
        <v>2</v>
      </c>
      <c r="T637" s="5" t="s">
        <v>1631</v>
      </c>
      <c r="U637" s="6"/>
      <c r="V637" s="6"/>
      <c r="W637" s="6"/>
      <c r="X637" s="6"/>
      <c r="Y637" s="7" t="str">
        <f aca="false">IF(COUNT(U637:X637)=4,(W637-X637)/2,"")</f>
        <v/>
      </c>
      <c r="Z637" s="7" t="str">
        <f aca="false">IF(COUNT(U637:X637)=4,(U637-V637)/2,"")</f>
        <v/>
      </c>
      <c r="AA637" s="7" t="str">
        <f aca="false">IF(COUNT(U637:X637)=4,MAX(1,MIN(10,ROUNDUP(5-Z637,0))),"")</f>
        <v/>
      </c>
      <c r="AB637" s="7" t="str">
        <f aca="false">IF(COUNT(U637:X637)=4,MAX(1,MIN(10,ROUNDUP(Y637+5,0))),"")</f>
        <v/>
      </c>
      <c r="AC637" s="6"/>
      <c r="AD637" s="6"/>
    </row>
    <row r="638" customFormat="false" ht="15" hidden="false" customHeight="true" outlineLevel="0" collapsed="false">
      <c r="A638" s="5" t="n">
        <v>637</v>
      </c>
      <c r="B638" s="5" t="s">
        <v>1632</v>
      </c>
      <c r="C638" s="5" t="s">
        <v>171</v>
      </c>
      <c r="D638" s="5" t="s">
        <v>172</v>
      </c>
      <c r="E638" s="5" t="n">
        <v>174</v>
      </c>
      <c r="F638" s="5" t="s">
        <v>1633</v>
      </c>
      <c r="G638" s="5" t="n">
        <v>4</v>
      </c>
      <c r="H638" s="5" t="s">
        <v>53</v>
      </c>
      <c r="I638" s="5" t="s">
        <v>54</v>
      </c>
      <c r="J638" s="5" t="s">
        <v>181</v>
      </c>
      <c r="K638" s="5" t="s">
        <v>223</v>
      </c>
      <c r="L638" s="5" t="n">
        <v>3</v>
      </c>
      <c r="M638" s="5" t="n">
        <v>4</v>
      </c>
      <c r="N638" s="5" t="n">
        <v>6</v>
      </c>
      <c r="O638" s="5" t="n">
        <v>4</v>
      </c>
      <c r="P638" s="5" t="n">
        <v>1</v>
      </c>
      <c r="Q638" s="5" t="n">
        <v>-0.5</v>
      </c>
      <c r="R638" s="5" t="n">
        <v>6</v>
      </c>
      <c r="S638" s="5" t="n">
        <v>6</v>
      </c>
      <c r="T638" s="5" t="s">
        <v>420</v>
      </c>
      <c r="U638" s="6"/>
      <c r="V638" s="6"/>
      <c r="W638" s="6"/>
      <c r="X638" s="6"/>
      <c r="Y638" s="7" t="str">
        <f aca="false">IF(COUNT(U638:X638)=4,(W638-X638)/2,"")</f>
        <v/>
      </c>
      <c r="Z638" s="7" t="str">
        <f aca="false">IF(COUNT(U638:X638)=4,(U638-V638)/2,"")</f>
        <v/>
      </c>
      <c r="AA638" s="7" t="str">
        <f aca="false">IF(COUNT(U638:X638)=4,MAX(1,MIN(10,ROUNDUP(5-Z638,0))),"")</f>
        <v/>
      </c>
      <c r="AB638" s="7" t="str">
        <f aca="false">IF(COUNT(U638:X638)=4,MAX(1,MIN(10,ROUNDUP(Y638+5,0))),"")</f>
        <v/>
      </c>
      <c r="AC638" s="6"/>
      <c r="AD638" s="6"/>
    </row>
    <row r="639" customFormat="false" ht="15" hidden="false" customHeight="true" outlineLevel="0" collapsed="false">
      <c r="A639" s="5" t="n">
        <v>638</v>
      </c>
      <c r="B639" s="5" t="s">
        <v>1634</v>
      </c>
      <c r="C639" s="5" t="s">
        <v>171</v>
      </c>
      <c r="D639" s="5" t="s">
        <v>172</v>
      </c>
      <c r="E639" s="5" t="n">
        <v>173</v>
      </c>
      <c r="F639" s="5" t="s">
        <v>1634</v>
      </c>
      <c r="G639" s="5" t="n">
        <v>4</v>
      </c>
      <c r="H639" s="5" t="s">
        <v>53</v>
      </c>
      <c r="I639" s="5" t="s">
        <v>54</v>
      </c>
      <c r="J639" s="5" t="s">
        <v>181</v>
      </c>
      <c r="K639" s="5" t="s">
        <v>309</v>
      </c>
      <c r="L639" s="5" t="n">
        <v>2</v>
      </c>
      <c r="M639" s="5" t="n">
        <v>5</v>
      </c>
      <c r="N639" s="5" t="n">
        <v>5</v>
      </c>
      <c r="O639" s="5" t="n">
        <v>4</v>
      </c>
      <c r="P639" s="5" t="n">
        <v>0.5</v>
      </c>
      <c r="Q639" s="5" t="n">
        <v>-1.5</v>
      </c>
      <c r="R639" s="5" t="n">
        <v>7</v>
      </c>
      <c r="S639" s="5" t="n">
        <v>6</v>
      </c>
      <c r="T639" s="5" t="s">
        <v>1635</v>
      </c>
      <c r="U639" s="6"/>
      <c r="V639" s="6"/>
      <c r="W639" s="6"/>
      <c r="X639" s="6"/>
      <c r="Y639" s="7" t="str">
        <f aca="false">IF(COUNT(U639:X639)=4,(W639-X639)/2,"")</f>
        <v/>
      </c>
      <c r="Z639" s="7" t="str">
        <f aca="false">IF(COUNT(U639:X639)=4,(U639-V639)/2,"")</f>
        <v/>
      </c>
      <c r="AA639" s="7" t="str">
        <f aca="false">IF(COUNT(U639:X639)=4,MAX(1,MIN(10,ROUNDUP(5-Z639,0))),"")</f>
        <v/>
      </c>
      <c r="AB639" s="7" t="str">
        <f aca="false">IF(COUNT(U639:X639)=4,MAX(1,MIN(10,ROUNDUP(Y639+5,0))),"")</f>
        <v/>
      </c>
      <c r="AC639" s="6"/>
      <c r="AD639" s="6"/>
    </row>
    <row r="640" customFormat="false" ht="15" hidden="false" customHeight="true" outlineLevel="0" collapsed="false">
      <c r="A640" s="5" t="n">
        <v>639</v>
      </c>
      <c r="B640" s="5" t="s">
        <v>1636</v>
      </c>
      <c r="C640" s="5" t="s">
        <v>171</v>
      </c>
      <c r="D640" s="5" t="s">
        <v>172</v>
      </c>
      <c r="E640" s="5" t="n">
        <v>173</v>
      </c>
      <c r="F640" s="5" t="s">
        <v>1637</v>
      </c>
      <c r="G640" s="5" t="n">
        <v>4</v>
      </c>
      <c r="H640" s="5" t="s">
        <v>53</v>
      </c>
      <c r="I640" s="5" t="s">
        <v>54</v>
      </c>
      <c r="J640" s="5" t="s">
        <v>181</v>
      </c>
      <c r="K640" s="5" t="s">
        <v>235</v>
      </c>
      <c r="L640" s="5" t="n">
        <v>4</v>
      </c>
      <c r="M640" s="5" t="n">
        <v>4</v>
      </c>
      <c r="N640" s="5" t="n">
        <v>7</v>
      </c>
      <c r="O640" s="5" t="n">
        <v>4</v>
      </c>
      <c r="P640" s="5" t="n">
        <v>1.5</v>
      </c>
      <c r="Q640" s="5" t="n">
        <v>0</v>
      </c>
      <c r="R640" s="5" t="n">
        <v>5</v>
      </c>
      <c r="S640" s="5" t="n">
        <v>7</v>
      </c>
      <c r="T640" s="5" t="s">
        <v>1066</v>
      </c>
      <c r="U640" s="6"/>
      <c r="V640" s="6"/>
      <c r="W640" s="6"/>
      <c r="X640" s="6"/>
      <c r="Y640" s="7" t="str">
        <f aca="false">IF(COUNT(U640:X640)=4,(W640-X640)/2,"")</f>
        <v/>
      </c>
      <c r="Z640" s="7" t="str">
        <f aca="false">IF(COUNT(U640:X640)=4,(U640-V640)/2,"")</f>
        <v/>
      </c>
      <c r="AA640" s="7" t="str">
        <f aca="false">IF(COUNT(U640:X640)=4,MAX(1,MIN(10,ROUNDUP(5-Z640,0))),"")</f>
        <v/>
      </c>
      <c r="AB640" s="7" t="str">
        <f aca="false">IF(COUNT(U640:X640)=4,MAX(1,MIN(10,ROUNDUP(Y640+5,0))),"")</f>
        <v/>
      </c>
      <c r="AC640" s="6"/>
      <c r="AD640" s="6"/>
    </row>
    <row r="641" customFormat="false" ht="15" hidden="false" customHeight="true" outlineLevel="0" collapsed="false">
      <c r="A641" s="5" t="n">
        <v>640</v>
      </c>
      <c r="B641" s="5" t="s">
        <v>1638</v>
      </c>
      <c r="C641" s="5" t="s">
        <v>171</v>
      </c>
      <c r="D641" s="5" t="s">
        <v>172</v>
      </c>
      <c r="E641" s="5" t="n">
        <v>173</v>
      </c>
      <c r="F641" s="5" t="s">
        <v>1639</v>
      </c>
      <c r="G641" s="5" t="n">
        <v>4</v>
      </c>
      <c r="H641" s="5" t="s">
        <v>53</v>
      </c>
      <c r="I641" s="5" t="s">
        <v>54</v>
      </c>
      <c r="J641" s="5" t="s">
        <v>181</v>
      </c>
      <c r="K641" s="5" t="s">
        <v>223</v>
      </c>
      <c r="L641" s="5" t="n">
        <v>5</v>
      </c>
      <c r="M641" s="5" t="n">
        <v>5</v>
      </c>
      <c r="N641" s="5" t="n">
        <v>6</v>
      </c>
      <c r="O641" s="5" t="n">
        <v>4</v>
      </c>
      <c r="P641" s="5" t="n">
        <v>1</v>
      </c>
      <c r="Q641" s="5" t="n">
        <v>0</v>
      </c>
      <c r="R641" s="5" t="n">
        <v>5</v>
      </c>
      <c r="S641" s="5" t="n">
        <v>6</v>
      </c>
      <c r="T641" s="5" t="s">
        <v>389</v>
      </c>
      <c r="U641" s="6"/>
      <c r="V641" s="6"/>
      <c r="W641" s="6"/>
      <c r="X641" s="6"/>
      <c r="Y641" s="7" t="str">
        <f aca="false">IF(COUNT(U641:X641)=4,(W641-X641)/2,"")</f>
        <v/>
      </c>
      <c r="Z641" s="7" t="str">
        <f aca="false">IF(COUNT(U641:X641)=4,(U641-V641)/2,"")</f>
        <v/>
      </c>
      <c r="AA641" s="7" t="str">
        <f aca="false">IF(COUNT(U641:X641)=4,MAX(1,MIN(10,ROUNDUP(5-Z641,0))),"")</f>
        <v/>
      </c>
      <c r="AB641" s="7" t="str">
        <f aca="false">IF(COUNT(U641:X641)=4,MAX(1,MIN(10,ROUNDUP(Y641+5,0))),"")</f>
        <v/>
      </c>
      <c r="AC641" s="6"/>
      <c r="AD641" s="6"/>
    </row>
    <row r="642" customFormat="false" ht="15" hidden="false" customHeight="true" outlineLevel="0" collapsed="false">
      <c r="A642" s="5" t="n">
        <v>641</v>
      </c>
      <c r="B642" s="5" t="s">
        <v>1640</v>
      </c>
      <c r="C642" s="5" t="s">
        <v>108</v>
      </c>
      <c r="D642" s="5" t="s">
        <v>109</v>
      </c>
      <c r="E642" s="5" t="n">
        <v>173</v>
      </c>
      <c r="F642" s="5" t="s">
        <v>1640</v>
      </c>
      <c r="G642" s="5" t="n">
        <v>4</v>
      </c>
      <c r="H642" s="5" t="s">
        <v>53</v>
      </c>
      <c r="I642" s="5" t="s">
        <v>64</v>
      </c>
      <c r="J642" s="5"/>
      <c r="K642" s="5"/>
      <c r="L642" s="5" t="n">
        <v>3</v>
      </c>
      <c r="M642" s="5" t="n">
        <v>6</v>
      </c>
      <c r="N642" s="5" t="n">
        <v>3</v>
      </c>
      <c r="O642" s="5" t="n">
        <v>7</v>
      </c>
      <c r="P642" s="5" t="n">
        <v>-2</v>
      </c>
      <c r="Q642" s="5" t="n">
        <v>-1.5</v>
      </c>
      <c r="R642" s="5" t="n">
        <v>7</v>
      </c>
      <c r="S642" s="5" t="n">
        <v>3</v>
      </c>
      <c r="T642" s="5" t="s">
        <v>1641</v>
      </c>
      <c r="U642" s="6"/>
      <c r="V642" s="6"/>
      <c r="W642" s="6"/>
      <c r="X642" s="6"/>
      <c r="Y642" s="7" t="str">
        <f aca="false">IF(COUNT(U642:X642)=4,(W642-X642)/2,"")</f>
        <v/>
      </c>
      <c r="Z642" s="7" t="str">
        <f aca="false">IF(COUNT(U642:X642)=4,(U642-V642)/2,"")</f>
        <v/>
      </c>
      <c r="AA642" s="7" t="str">
        <f aca="false">IF(COUNT(U642:X642)=4,MAX(1,MIN(10,ROUNDUP(5-Z642,0))),"")</f>
        <v/>
      </c>
      <c r="AB642" s="7" t="str">
        <f aca="false">IF(COUNT(U642:X642)=4,MAX(1,MIN(10,ROUNDUP(Y642+5,0))),"")</f>
        <v/>
      </c>
      <c r="AC642" s="6"/>
      <c r="AD642" s="6"/>
    </row>
    <row r="643" customFormat="false" ht="15" hidden="false" customHeight="true" outlineLevel="0" collapsed="false">
      <c r="A643" s="5" t="n">
        <v>642</v>
      </c>
      <c r="B643" s="5" t="s">
        <v>1642</v>
      </c>
      <c r="C643" s="5" t="s">
        <v>171</v>
      </c>
      <c r="D643" s="5" t="s">
        <v>172</v>
      </c>
      <c r="E643" s="5" t="n">
        <v>173</v>
      </c>
      <c r="F643" s="5" t="s">
        <v>1643</v>
      </c>
      <c r="G643" s="5" t="n">
        <v>4</v>
      </c>
      <c r="H643" s="5" t="s">
        <v>53</v>
      </c>
      <c r="I643" s="5" t="s">
        <v>54</v>
      </c>
      <c r="J643" s="5" t="s">
        <v>181</v>
      </c>
      <c r="K643" s="5" t="s">
        <v>235</v>
      </c>
      <c r="L643" s="5" t="n">
        <v>4</v>
      </c>
      <c r="M643" s="5" t="n">
        <v>4</v>
      </c>
      <c r="N643" s="5" t="n">
        <v>7</v>
      </c>
      <c r="O643" s="5" t="n">
        <v>4</v>
      </c>
      <c r="P643" s="5" t="n">
        <v>1.5</v>
      </c>
      <c r="Q643" s="5" t="n">
        <v>0</v>
      </c>
      <c r="R643" s="5" t="n">
        <v>5</v>
      </c>
      <c r="S643" s="5" t="n">
        <v>7</v>
      </c>
      <c r="T643" s="5" t="s">
        <v>972</v>
      </c>
      <c r="U643" s="6"/>
      <c r="V643" s="6"/>
      <c r="W643" s="6"/>
      <c r="X643" s="6"/>
      <c r="Y643" s="7" t="str">
        <f aca="false">IF(COUNT(U643:X643)=4,(W643-X643)/2,"")</f>
        <v/>
      </c>
      <c r="Z643" s="7" t="str">
        <f aca="false">IF(COUNT(U643:X643)=4,(U643-V643)/2,"")</f>
        <v/>
      </c>
      <c r="AA643" s="7" t="str">
        <f aca="false">IF(COUNT(U643:X643)=4,MAX(1,MIN(10,ROUNDUP(5-Z643,0))),"")</f>
        <v/>
      </c>
      <c r="AB643" s="7" t="str">
        <f aca="false">IF(COUNT(U643:X643)=4,MAX(1,MIN(10,ROUNDUP(Y643+5,0))),"")</f>
        <v/>
      </c>
      <c r="AC643" s="6"/>
      <c r="AD643" s="6"/>
    </row>
    <row r="644" customFormat="false" ht="15" hidden="false" customHeight="true" outlineLevel="0" collapsed="false">
      <c r="A644" s="5" t="n">
        <v>643</v>
      </c>
      <c r="B644" s="5" t="s">
        <v>1644</v>
      </c>
      <c r="C644" s="5" t="s">
        <v>171</v>
      </c>
      <c r="D644" s="5" t="s">
        <v>172</v>
      </c>
      <c r="E644" s="5" t="n">
        <v>173</v>
      </c>
      <c r="F644" s="5" t="s">
        <v>1645</v>
      </c>
      <c r="G644" s="5" t="n">
        <v>4</v>
      </c>
      <c r="H644" s="5" t="s">
        <v>53</v>
      </c>
      <c r="I644" s="5" t="s">
        <v>54</v>
      </c>
      <c r="J644" s="5" t="s">
        <v>181</v>
      </c>
      <c r="K644" s="5" t="s">
        <v>235</v>
      </c>
      <c r="L644" s="5" t="n">
        <v>4</v>
      </c>
      <c r="M644" s="5" t="n">
        <v>4</v>
      </c>
      <c r="N644" s="5" t="n">
        <v>7</v>
      </c>
      <c r="O644" s="5" t="n">
        <v>4</v>
      </c>
      <c r="P644" s="5" t="n">
        <v>1.5</v>
      </c>
      <c r="Q644" s="5" t="n">
        <v>0</v>
      </c>
      <c r="R644" s="5" t="n">
        <v>5</v>
      </c>
      <c r="S644" s="5" t="n">
        <v>7</v>
      </c>
      <c r="T644" s="5" t="s">
        <v>1646</v>
      </c>
      <c r="U644" s="6"/>
      <c r="V644" s="6"/>
      <c r="W644" s="6"/>
      <c r="X644" s="6"/>
      <c r="Y644" s="7" t="str">
        <f aca="false">IF(COUNT(U644:X644)=4,(W644-X644)/2,"")</f>
        <v/>
      </c>
      <c r="Z644" s="7" t="str">
        <f aca="false">IF(COUNT(U644:X644)=4,(U644-V644)/2,"")</f>
        <v/>
      </c>
      <c r="AA644" s="7" t="str">
        <f aca="false">IF(COUNT(U644:X644)=4,MAX(1,MIN(10,ROUNDUP(5-Z644,0))),"")</f>
        <v/>
      </c>
      <c r="AB644" s="7" t="str">
        <f aca="false">IF(COUNT(U644:X644)=4,MAX(1,MIN(10,ROUNDUP(Y644+5,0))),"")</f>
        <v/>
      </c>
      <c r="AC644" s="6"/>
      <c r="AD644" s="6"/>
    </row>
    <row r="645" customFormat="false" ht="15" hidden="false" customHeight="true" outlineLevel="0" collapsed="false">
      <c r="A645" s="5" t="n">
        <v>644</v>
      </c>
      <c r="B645" s="5" t="s">
        <v>1647</v>
      </c>
      <c r="C645" s="5" t="s">
        <v>171</v>
      </c>
      <c r="D645" s="5" t="s">
        <v>172</v>
      </c>
      <c r="E645" s="5" t="n">
        <v>172</v>
      </c>
      <c r="F645" s="5" t="s">
        <v>1648</v>
      </c>
      <c r="G645" s="5" t="n">
        <v>4</v>
      </c>
      <c r="H645" s="5" t="s">
        <v>53</v>
      </c>
      <c r="I645" s="5" t="s">
        <v>54</v>
      </c>
      <c r="J645" s="5" t="s">
        <v>181</v>
      </c>
      <c r="K645" s="5" t="s">
        <v>221</v>
      </c>
      <c r="L645" s="5" t="n">
        <v>8</v>
      </c>
      <c r="M645" s="5" t="n">
        <v>4</v>
      </c>
      <c r="N645" s="5" t="n">
        <v>6</v>
      </c>
      <c r="O645" s="5" t="n">
        <v>5</v>
      </c>
      <c r="P645" s="5" t="n">
        <v>0.5</v>
      </c>
      <c r="Q645" s="5" t="n">
        <v>2</v>
      </c>
      <c r="R645" s="5" t="n">
        <v>3</v>
      </c>
      <c r="S645" s="5" t="n">
        <v>6</v>
      </c>
      <c r="T645" s="5" t="s">
        <v>1649</v>
      </c>
      <c r="U645" s="6"/>
      <c r="V645" s="6"/>
      <c r="W645" s="6"/>
      <c r="X645" s="6"/>
      <c r="Y645" s="7" t="str">
        <f aca="false">IF(COUNT(U645:X645)=4,(W645-X645)/2,"")</f>
        <v/>
      </c>
      <c r="Z645" s="7" t="str">
        <f aca="false">IF(COUNT(U645:X645)=4,(U645-V645)/2,"")</f>
        <v/>
      </c>
      <c r="AA645" s="7" t="str">
        <f aca="false">IF(COUNT(U645:X645)=4,MAX(1,MIN(10,ROUNDUP(5-Z645,0))),"")</f>
        <v/>
      </c>
      <c r="AB645" s="7" t="str">
        <f aca="false">IF(COUNT(U645:X645)=4,MAX(1,MIN(10,ROUNDUP(Y645+5,0))),"")</f>
        <v/>
      </c>
      <c r="AC645" s="6"/>
      <c r="AD645" s="6"/>
    </row>
    <row r="646" customFormat="false" ht="15" hidden="false" customHeight="true" outlineLevel="0" collapsed="false">
      <c r="A646" s="5" t="n">
        <v>645</v>
      </c>
      <c r="B646" s="5" t="s">
        <v>1650</v>
      </c>
      <c r="C646" s="5" t="s">
        <v>171</v>
      </c>
      <c r="D646" s="5" t="s">
        <v>172</v>
      </c>
      <c r="E646" s="5" t="n">
        <v>172</v>
      </c>
      <c r="F646" s="5" t="s">
        <v>1651</v>
      </c>
      <c r="G646" s="5" t="n">
        <v>4</v>
      </c>
      <c r="H646" s="5" t="s">
        <v>53</v>
      </c>
      <c r="I646" s="5" t="s">
        <v>54</v>
      </c>
      <c r="J646" s="5" t="s">
        <v>181</v>
      </c>
      <c r="K646" s="5" t="s">
        <v>223</v>
      </c>
      <c r="L646" s="5" t="n">
        <v>4</v>
      </c>
      <c r="M646" s="5" t="n">
        <v>4</v>
      </c>
      <c r="N646" s="5" t="n">
        <v>8</v>
      </c>
      <c r="O646" s="5" t="n">
        <v>4</v>
      </c>
      <c r="P646" s="5" t="n">
        <v>2</v>
      </c>
      <c r="Q646" s="5" t="n">
        <v>0</v>
      </c>
      <c r="R646" s="5" t="n">
        <v>5</v>
      </c>
      <c r="S646" s="5" t="n">
        <v>7</v>
      </c>
      <c r="T646" s="5" t="s">
        <v>1652</v>
      </c>
      <c r="U646" s="6"/>
      <c r="V646" s="6"/>
      <c r="W646" s="6"/>
      <c r="X646" s="6"/>
      <c r="Y646" s="7" t="str">
        <f aca="false">IF(COUNT(U646:X646)=4,(W646-X646)/2,"")</f>
        <v/>
      </c>
      <c r="Z646" s="7" t="str">
        <f aca="false">IF(COUNT(U646:X646)=4,(U646-V646)/2,"")</f>
        <v/>
      </c>
      <c r="AA646" s="7" t="str">
        <f aca="false">IF(COUNT(U646:X646)=4,MAX(1,MIN(10,ROUNDUP(5-Z646,0))),"")</f>
        <v/>
      </c>
      <c r="AB646" s="7" t="str">
        <f aca="false">IF(COUNT(U646:X646)=4,MAX(1,MIN(10,ROUNDUP(Y646+5,0))),"")</f>
        <v/>
      </c>
      <c r="AC646" s="6"/>
      <c r="AD646" s="6"/>
    </row>
    <row r="647" customFormat="false" ht="15" hidden="false" customHeight="true" outlineLevel="0" collapsed="false">
      <c r="A647" s="5" t="n">
        <v>646</v>
      </c>
      <c r="B647" s="5" t="s">
        <v>1653</v>
      </c>
      <c r="C647" s="5" t="s">
        <v>203</v>
      </c>
      <c r="D647" s="5" t="s">
        <v>204</v>
      </c>
      <c r="E647" s="5" t="n">
        <v>171</v>
      </c>
      <c r="F647" s="5" t="s">
        <v>1653</v>
      </c>
      <c r="G647" s="5" t="n">
        <v>4</v>
      </c>
      <c r="H647" s="5" t="s">
        <v>53</v>
      </c>
      <c r="I647" s="5" t="s">
        <v>54</v>
      </c>
      <c r="J647" s="5" t="s">
        <v>117</v>
      </c>
      <c r="K647" s="5" t="s">
        <v>117</v>
      </c>
      <c r="L647" s="5" t="n">
        <v>2</v>
      </c>
      <c r="M647" s="5" t="n">
        <v>3</v>
      </c>
      <c r="N647" s="5" t="n">
        <v>3</v>
      </c>
      <c r="O647" s="5" t="n">
        <v>7</v>
      </c>
      <c r="P647" s="5" t="n">
        <v>-2</v>
      </c>
      <c r="Q647" s="5" t="n">
        <v>-0.5</v>
      </c>
      <c r="R647" s="5" t="n">
        <v>6</v>
      </c>
      <c r="S647" s="5" t="n">
        <v>3</v>
      </c>
      <c r="T647" s="5" t="s">
        <v>1654</v>
      </c>
      <c r="U647" s="6"/>
      <c r="V647" s="6"/>
      <c r="W647" s="6"/>
      <c r="X647" s="6"/>
      <c r="Y647" s="7" t="str">
        <f aca="false">IF(COUNT(U647:X647)=4,(W647-X647)/2,"")</f>
        <v/>
      </c>
      <c r="Z647" s="7" t="str">
        <f aca="false">IF(COUNT(U647:X647)=4,(U647-V647)/2,"")</f>
        <v/>
      </c>
      <c r="AA647" s="7" t="str">
        <f aca="false">IF(COUNT(U647:X647)=4,MAX(1,MIN(10,ROUNDUP(5-Z647,0))),"")</f>
        <v/>
      </c>
      <c r="AB647" s="7" t="str">
        <f aca="false">IF(COUNT(U647:X647)=4,MAX(1,MIN(10,ROUNDUP(Y647+5,0))),"")</f>
        <v/>
      </c>
      <c r="AC647" s="6"/>
      <c r="AD647" s="6"/>
    </row>
    <row r="648" customFormat="false" ht="15" hidden="false" customHeight="true" outlineLevel="0" collapsed="false">
      <c r="A648" s="5" t="n">
        <v>647</v>
      </c>
      <c r="B648" s="5" t="s">
        <v>1655</v>
      </c>
      <c r="C648" s="5" t="s">
        <v>171</v>
      </c>
      <c r="D648" s="5" t="s">
        <v>172</v>
      </c>
      <c r="E648" s="5" t="n">
        <v>171</v>
      </c>
      <c r="F648" s="5" t="s">
        <v>1656</v>
      </c>
      <c r="G648" s="5" t="n">
        <v>4</v>
      </c>
      <c r="H648" s="5" t="s">
        <v>53</v>
      </c>
      <c r="I648" s="5" t="s">
        <v>54</v>
      </c>
      <c r="J648" s="5" t="s">
        <v>181</v>
      </c>
      <c r="K648" s="5" t="s">
        <v>333</v>
      </c>
      <c r="L648" s="5" t="n">
        <v>1</v>
      </c>
      <c r="M648" s="5" t="n">
        <v>7</v>
      </c>
      <c r="N648" s="5" t="n">
        <v>9</v>
      </c>
      <c r="O648" s="5" t="n">
        <v>1</v>
      </c>
      <c r="P648" s="5" t="n">
        <v>4</v>
      </c>
      <c r="Q648" s="5" t="n">
        <v>-3</v>
      </c>
      <c r="R648" s="5" t="n">
        <v>8</v>
      </c>
      <c r="S648" s="5" t="n">
        <v>9</v>
      </c>
      <c r="T648" s="5" t="s">
        <v>981</v>
      </c>
      <c r="U648" s="6"/>
      <c r="V648" s="6"/>
      <c r="W648" s="6"/>
      <c r="X648" s="6"/>
      <c r="Y648" s="7" t="str">
        <f aca="false">IF(COUNT(U648:X648)=4,(W648-X648)/2,"")</f>
        <v/>
      </c>
      <c r="Z648" s="7" t="str">
        <f aca="false">IF(COUNT(U648:X648)=4,(U648-V648)/2,"")</f>
        <v/>
      </c>
      <c r="AA648" s="7" t="str">
        <f aca="false">IF(COUNT(U648:X648)=4,MAX(1,MIN(10,ROUNDUP(5-Z648,0))),"")</f>
        <v/>
      </c>
      <c r="AB648" s="7" t="str">
        <f aca="false">IF(COUNT(U648:X648)=4,MAX(1,MIN(10,ROUNDUP(Y648+5,0))),"")</f>
        <v/>
      </c>
      <c r="AC648" s="6"/>
      <c r="AD648" s="6"/>
    </row>
    <row r="649" customFormat="false" ht="15" hidden="false" customHeight="true" outlineLevel="0" collapsed="false">
      <c r="A649" s="5" t="n">
        <v>648</v>
      </c>
      <c r="B649" s="5" t="s">
        <v>1657</v>
      </c>
      <c r="C649" s="5" t="s">
        <v>108</v>
      </c>
      <c r="D649" s="5" t="s">
        <v>109</v>
      </c>
      <c r="E649" s="5" t="n">
        <v>171</v>
      </c>
      <c r="F649" s="5" t="s">
        <v>1657</v>
      </c>
      <c r="G649" s="5" t="n">
        <v>4</v>
      </c>
      <c r="H649" s="5" t="s">
        <v>53</v>
      </c>
      <c r="I649" s="5" t="s">
        <v>54</v>
      </c>
      <c r="J649" s="5" t="s">
        <v>117</v>
      </c>
      <c r="K649" s="5" t="s">
        <v>117</v>
      </c>
      <c r="L649" s="5" t="n">
        <v>3</v>
      </c>
      <c r="M649" s="5" t="n">
        <v>1</v>
      </c>
      <c r="N649" s="5" t="n">
        <v>2</v>
      </c>
      <c r="O649" s="5" t="n">
        <v>7</v>
      </c>
      <c r="P649" s="5" t="n">
        <v>-2.5</v>
      </c>
      <c r="Q649" s="5" t="n">
        <v>1</v>
      </c>
      <c r="R649" s="5" t="n">
        <v>4</v>
      </c>
      <c r="S649" s="5" t="n">
        <v>3</v>
      </c>
      <c r="T649" s="5" t="s">
        <v>1658</v>
      </c>
      <c r="U649" s="6"/>
      <c r="V649" s="6"/>
      <c r="W649" s="6"/>
      <c r="X649" s="6"/>
      <c r="Y649" s="7" t="str">
        <f aca="false">IF(COUNT(U649:X649)=4,(W649-X649)/2,"")</f>
        <v/>
      </c>
      <c r="Z649" s="7" t="str">
        <f aca="false">IF(COUNT(U649:X649)=4,(U649-V649)/2,"")</f>
        <v/>
      </c>
      <c r="AA649" s="7" t="str">
        <f aca="false">IF(COUNT(U649:X649)=4,MAX(1,MIN(10,ROUNDUP(5-Z649,0))),"")</f>
        <v/>
      </c>
      <c r="AB649" s="7" t="str">
        <f aca="false">IF(COUNT(U649:X649)=4,MAX(1,MIN(10,ROUNDUP(Y649+5,0))),"")</f>
        <v/>
      </c>
      <c r="AC649" s="6"/>
      <c r="AD649" s="6"/>
    </row>
    <row r="650" customFormat="false" ht="15" hidden="false" customHeight="true" outlineLevel="0" collapsed="false">
      <c r="A650" s="5" t="n">
        <v>649</v>
      </c>
      <c r="B650" s="5" t="s">
        <v>1659</v>
      </c>
      <c r="C650" s="5" t="s">
        <v>171</v>
      </c>
      <c r="D650" s="5" t="s">
        <v>172</v>
      </c>
      <c r="E650" s="5" t="n">
        <v>171</v>
      </c>
      <c r="F650" s="5" t="s">
        <v>1660</v>
      </c>
      <c r="G650" s="5" t="n">
        <v>4</v>
      </c>
      <c r="H650" s="5" t="s">
        <v>53</v>
      </c>
      <c r="I650" s="5" t="s">
        <v>54</v>
      </c>
      <c r="J650" s="5" t="s">
        <v>181</v>
      </c>
      <c r="K650" s="5" t="s">
        <v>179</v>
      </c>
      <c r="L650" s="5" t="n">
        <v>2</v>
      </c>
      <c r="M650" s="5" t="n">
        <v>6</v>
      </c>
      <c r="N650" s="5" t="n">
        <v>2</v>
      </c>
      <c r="O650" s="5" t="n">
        <v>6</v>
      </c>
      <c r="P650" s="5" t="n">
        <v>-2</v>
      </c>
      <c r="Q650" s="5" t="n">
        <v>-2</v>
      </c>
      <c r="R650" s="5" t="n">
        <v>7</v>
      </c>
      <c r="S650" s="5" t="n">
        <v>3</v>
      </c>
      <c r="T650" s="5" t="s">
        <v>1056</v>
      </c>
      <c r="U650" s="6"/>
      <c r="V650" s="6"/>
      <c r="W650" s="6"/>
      <c r="X650" s="6"/>
      <c r="Y650" s="7" t="str">
        <f aca="false">IF(COUNT(U650:X650)=4,(W650-X650)/2,"")</f>
        <v/>
      </c>
      <c r="Z650" s="7" t="str">
        <f aca="false">IF(COUNT(U650:X650)=4,(U650-V650)/2,"")</f>
        <v/>
      </c>
      <c r="AA650" s="7" t="str">
        <f aca="false">IF(COUNT(U650:X650)=4,MAX(1,MIN(10,ROUNDUP(5-Z650,0))),"")</f>
        <v/>
      </c>
      <c r="AB650" s="7" t="str">
        <f aca="false">IF(COUNT(U650:X650)=4,MAX(1,MIN(10,ROUNDUP(Y650+5,0))),"")</f>
        <v/>
      </c>
      <c r="AC650" s="6"/>
      <c r="AD650" s="6"/>
    </row>
    <row r="651" customFormat="false" ht="15" hidden="false" customHeight="true" outlineLevel="0" collapsed="false">
      <c r="A651" s="5" t="n">
        <v>650</v>
      </c>
      <c r="B651" s="5" t="s">
        <v>1661</v>
      </c>
      <c r="C651" s="5" t="s">
        <v>171</v>
      </c>
      <c r="D651" s="5" t="s">
        <v>172</v>
      </c>
      <c r="E651" s="5" t="n">
        <v>170</v>
      </c>
      <c r="F651" s="5" t="s">
        <v>1662</v>
      </c>
      <c r="G651" s="5" t="n">
        <v>4</v>
      </c>
      <c r="H651" s="5" t="s">
        <v>53</v>
      </c>
      <c r="I651" s="5" t="s">
        <v>54</v>
      </c>
      <c r="J651" s="5" t="s">
        <v>181</v>
      </c>
      <c r="K651" s="5" t="s">
        <v>309</v>
      </c>
      <c r="L651" s="5" t="n">
        <v>2</v>
      </c>
      <c r="M651" s="5" t="n">
        <v>5</v>
      </c>
      <c r="N651" s="5" t="n">
        <v>5</v>
      </c>
      <c r="O651" s="5" t="n">
        <v>4</v>
      </c>
      <c r="P651" s="5" t="n">
        <v>0.5</v>
      </c>
      <c r="Q651" s="5" t="n">
        <v>-1.5</v>
      </c>
      <c r="R651" s="5" t="n">
        <v>7</v>
      </c>
      <c r="S651" s="5" t="n">
        <v>6</v>
      </c>
      <c r="T651" s="5" t="s">
        <v>1663</v>
      </c>
      <c r="U651" s="6"/>
      <c r="V651" s="6"/>
      <c r="W651" s="6"/>
      <c r="X651" s="6"/>
      <c r="Y651" s="7" t="str">
        <f aca="false">IF(COUNT(U651:X651)=4,(W651-X651)/2,"")</f>
        <v/>
      </c>
      <c r="Z651" s="7" t="str">
        <f aca="false">IF(COUNT(U651:X651)=4,(U651-V651)/2,"")</f>
        <v/>
      </c>
      <c r="AA651" s="7" t="str">
        <f aca="false">IF(COUNT(U651:X651)=4,MAX(1,MIN(10,ROUNDUP(5-Z651,0))),"")</f>
        <v/>
      </c>
      <c r="AB651" s="7" t="str">
        <f aca="false">IF(COUNT(U651:X651)=4,MAX(1,MIN(10,ROUNDUP(Y651+5,0))),"")</f>
        <v/>
      </c>
      <c r="AC651" s="6"/>
      <c r="AD651" s="6"/>
    </row>
    <row r="652" customFormat="false" ht="15" hidden="false" customHeight="true" outlineLevel="0" collapsed="false">
      <c r="A652" s="5" t="n">
        <v>651</v>
      </c>
      <c r="B652" s="5" t="s">
        <v>1664</v>
      </c>
      <c r="C652" s="5" t="s">
        <v>171</v>
      </c>
      <c r="D652" s="5" t="s">
        <v>172</v>
      </c>
      <c r="E652" s="5" t="n">
        <v>170</v>
      </c>
      <c r="F652" s="5" t="s">
        <v>1665</v>
      </c>
      <c r="G652" s="5" t="n">
        <v>4</v>
      </c>
      <c r="H652" s="5" t="s">
        <v>53</v>
      </c>
      <c r="I652" s="5" t="s">
        <v>54</v>
      </c>
      <c r="J652" s="5" t="s">
        <v>181</v>
      </c>
      <c r="K652" s="5" t="s">
        <v>333</v>
      </c>
      <c r="L652" s="5" t="n">
        <v>2</v>
      </c>
      <c r="M652" s="5" t="n">
        <v>4</v>
      </c>
      <c r="N652" s="5" t="n">
        <v>8</v>
      </c>
      <c r="O652" s="5" t="n">
        <v>2</v>
      </c>
      <c r="P652" s="5" t="n">
        <v>3</v>
      </c>
      <c r="Q652" s="5" t="n">
        <v>-1</v>
      </c>
      <c r="R652" s="5" t="n">
        <v>6</v>
      </c>
      <c r="S652" s="5" t="n">
        <v>8</v>
      </c>
      <c r="T652" s="5" t="s">
        <v>1666</v>
      </c>
      <c r="U652" s="6"/>
      <c r="V652" s="6"/>
      <c r="W652" s="6"/>
      <c r="X652" s="6"/>
      <c r="Y652" s="7" t="str">
        <f aca="false">IF(COUNT(U652:X652)=4,(W652-X652)/2,"")</f>
        <v/>
      </c>
      <c r="Z652" s="7" t="str">
        <f aca="false">IF(COUNT(U652:X652)=4,(U652-V652)/2,"")</f>
        <v/>
      </c>
      <c r="AA652" s="7" t="str">
        <f aca="false">IF(COUNT(U652:X652)=4,MAX(1,MIN(10,ROUNDUP(5-Z652,0))),"")</f>
        <v/>
      </c>
      <c r="AB652" s="7" t="str">
        <f aca="false">IF(COUNT(U652:X652)=4,MAX(1,MIN(10,ROUNDUP(Y652+5,0))),"")</f>
        <v/>
      </c>
      <c r="AC652" s="6"/>
      <c r="AD652" s="6"/>
    </row>
    <row r="653" customFormat="false" ht="15" hidden="false" customHeight="true" outlineLevel="0" collapsed="false">
      <c r="A653" s="5" t="n">
        <v>652</v>
      </c>
      <c r="B653" s="5" t="s">
        <v>1667</v>
      </c>
      <c r="C653" s="5" t="s">
        <v>145</v>
      </c>
      <c r="D653" s="5" t="s">
        <v>51</v>
      </c>
      <c r="E653" s="5" t="n">
        <v>170</v>
      </c>
      <c r="F653" s="5" t="s">
        <v>1668</v>
      </c>
      <c r="G653" s="5" t="n">
        <v>4</v>
      </c>
      <c r="H653" s="5" t="s">
        <v>53</v>
      </c>
      <c r="I653" s="5" t="s">
        <v>54</v>
      </c>
      <c r="J653" s="5" t="s">
        <v>55</v>
      </c>
      <c r="K653" s="5" t="s">
        <v>55</v>
      </c>
      <c r="L653" s="5" t="n">
        <v>5</v>
      </c>
      <c r="M653" s="5" t="n">
        <v>2</v>
      </c>
      <c r="N653" s="5" t="n">
        <v>4</v>
      </c>
      <c r="O653" s="5" t="n">
        <v>8</v>
      </c>
      <c r="P653" s="5" t="n">
        <v>-2</v>
      </c>
      <c r="Q653" s="5" t="n">
        <v>1.5</v>
      </c>
      <c r="R653" s="5" t="n">
        <v>4</v>
      </c>
      <c r="S653" s="5" t="n">
        <v>3</v>
      </c>
      <c r="T653" s="5" t="s">
        <v>1669</v>
      </c>
      <c r="U653" s="6"/>
      <c r="V653" s="6"/>
      <c r="W653" s="6"/>
      <c r="X653" s="6"/>
      <c r="Y653" s="7" t="str">
        <f aca="false">IF(COUNT(U653:X653)=4,(W653-X653)/2,"")</f>
        <v/>
      </c>
      <c r="Z653" s="7" t="str">
        <f aca="false">IF(COUNT(U653:X653)=4,(U653-V653)/2,"")</f>
        <v/>
      </c>
      <c r="AA653" s="7" t="str">
        <f aca="false">IF(COUNT(U653:X653)=4,MAX(1,MIN(10,ROUNDUP(5-Z653,0))),"")</f>
        <v/>
      </c>
      <c r="AB653" s="7" t="str">
        <f aca="false">IF(COUNT(U653:X653)=4,MAX(1,MIN(10,ROUNDUP(Y653+5,0))),"")</f>
        <v/>
      </c>
      <c r="AC653" s="6"/>
      <c r="AD653" s="6"/>
    </row>
    <row r="654" customFormat="false" ht="15" hidden="false" customHeight="true" outlineLevel="0" collapsed="false">
      <c r="A654" s="5" t="n">
        <v>653</v>
      </c>
      <c r="B654" s="5" t="s">
        <v>1670</v>
      </c>
      <c r="C654" s="5" t="s">
        <v>171</v>
      </c>
      <c r="D654" s="5" t="s">
        <v>172</v>
      </c>
      <c r="E654" s="5" t="n">
        <v>169</v>
      </c>
      <c r="F654" s="5" t="s">
        <v>1671</v>
      </c>
      <c r="G654" s="5" t="n">
        <v>4</v>
      </c>
      <c r="H654" s="5" t="s">
        <v>53</v>
      </c>
      <c r="I654" s="5" t="s">
        <v>54</v>
      </c>
      <c r="J654" s="5" t="s">
        <v>181</v>
      </c>
      <c r="K654" s="5" t="s">
        <v>427</v>
      </c>
      <c r="L654" s="5" t="n">
        <v>4</v>
      </c>
      <c r="M654" s="5" t="n">
        <v>4</v>
      </c>
      <c r="N654" s="5" t="n">
        <v>3</v>
      </c>
      <c r="O654" s="5" t="n">
        <v>8</v>
      </c>
      <c r="P654" s="5" t="n">
        <v>-2.5</v>
      </c>
      <c r="Q654" s="5" t="n">
        <v>0</v>
      </c>
      <c r="R654" s="5" t="n">
        <v>5</v>
      </c>
      <c r="S654" s="5" t="n">
        <v>3</v>
      </c>
      <c r="T654" s="5" t="s">
        <v>1672</v>
      </c>
      <c r="U654" s="6"/>
      <c r="V654" s="6"/>
      <c r="W654" s="6"/>
      <c r="X654" s="6"/>
      <c r="Y654" s="7" t="str">
        <f aca="false">IF(COUNT(U654:X654)=4,(W654-X654)/2,"")</f>
        <v/>
      </c>
      <c r="Z654" s="7" t="str">
        <f aca="false">IF(COUNT(U654:X654)=4,(U654-V654)/2,"")</f>
        <v/>
      </c>
      <c r="AA654" s="7" t="str">
        <f aca="false">IF(COUNT(U654:X654)=4,MAX(1,MIN(10,ROUNDUP(5-Z654,0))),"")</f>
        <v/>
      </c>
      <c r="AB654" s="7" t="str">
        <f aca="false">IF(COUNT(U654:X654)=4,MAX(1,MIN(10,ROUNDUP(Y654+5,0))),"")</f>
        <v/>
      </c>
      <c r="AC654" s="6"/>
      <c r="AD654" s="6"/>
    </row>
    <row r="655" customFormat="false" ht="15" hidden="false" customHeight="true" outlineLevel="0" collapsed="false">
      <c r="A655" s="5" t="n">
        <v>654</v>
      </c>
      <c r="B655" s="5" t="s">
        <v>1673</v>
      </c>
      <c r="C655" s="5" t="s">
        <v>171</v>
      </c>
      <c r="D655" s="5" t="s">
        <v>172</v>
      </c>
      <c r="E655" s="5" t="n">
        <v>169</v>
      </c>
      <c r="F655" s="5" t="s">
        <v>1674</v>
      </c>
      <c r="G655" s="5" t="n">
        <v>4</v>
      </c>
      <c r="H655" s="5" t="s">
        <v>53</v>
      </c>
      <c r="I655" s="5" t="s">
        <v>54</v>
      </c>
      <c r="J655" s="5" t="s">
        <v>181</v>
      </c>
      <c r="K655" s="5" t="s">
        <v>574</v>
      </c>
      <c r="L655" s="5" t="n">
        <v>3</v>
      </c>
      <c r="M655" s="5" t="n">
        <v>5</v>
      </c>
      <c r="N655" s="5" t="n">
        <v>4</v>
      </c>
      <c r="O655" s="5" t="n">
        <v>7</v>
      </c>
      <c r="P655" s="5" t="n">
        <v>-1.5</v>
      </c>
      <c r="Q655" s="5" t="n">
        <v>-1</v>
      </c>
      <c r="R655" s="5" t="n">
        <v>6</v>
      </c>
      <c r="S655" s="5" t="n">
        <v>4</v>
      </c>
      <c r="T655" s="5" t="s">
        <v>1675</v>
      </c>
      <c r="U655" s="6"/>
      <c r="V655" s="6"/>
      <c r="W655" s="6"/>
      <c r="X655" s="6"/>
      <c r="Y655" s="7" t="str">
        <f aca="false">IF(COUNT(U655:X655)=4,(W655-X655)/2,"")</f>
        <v/>
      </c>
      <c r="Z655" s="7" t="str">
        <f aca="false">IF(COUNT(U655:X655)=4,(U655-V655)/2,"")</f>
        <v/>
      </c>
      <c r="AA655" s="7" t="str">
        <f aca="false">IF(COUNT(U655:X655)=4,MAX(1,MIN(10,ROUNDUP(5-Z655,0))),"")</f>
        <v/>
      </c>
      <c r="AB655" s="7" t="str">
        <f aca="false">IF(COUNT(U655:X655)=4,MAX(1,MIN(10,ROUNDUP(Y655+5,0))),"")</f>
        <v/>
      </c>
      <c r="AC655" s="6"/>
      <c r="AD655" s="6"/>
    </row>
    <row r="656" customFormat="false" ht="15" hidden="false" customHeight="true" outlineLevel="0" collapsed="false">
      <c r="A656" s="5" t="n">
        <v>655</v>
      </c>
      <c r="B656" s="5" t="s">
        <v>1676</v>
      </c>
      <c r="C656" s="5" t="s">
        <v>171</v>
      </c>
      <c r="D656" s="5" t="s">
        <v>172</v>
      </c>
      <c r="E656" s="5" t="n">
        <v>169</v>
      </c>
      <c r="F656" s="5" t="s">
        <v>1677</v>
      </c>
      <c r="G656" s="5" t="n">
        <v>4</v>
      </c>
      <c r="H656" s="5" t="s">
        <v>53</v>
      </c>
      <c r="I656" s="5" t="s">
        <v>54</v>
      </c>
      <c r="J656" s="5" t="s">
        <v>181</v>
      </c>
      <c r="K656" s="5" t="s">
        <v>235</v>
      </c>
      <c r="L656" s="5" t="n">
        <v>4</v>
      </c>
      <c r="M656" s="5" t="n">
        <v>4</v>
      </c>
      <c r="N656" s="5" t="n">
        <v>7</v>
      </c>
      <c r="O656" s="5" t="n">
        <v>4</v>
      </c>
      <c r="P656" s="5" t="n">
        <v>1.5</v>
      </c>
      <c r="Q656" s="5" t="n">
        <v>0</v>
      </c>
      <c r="R656" s="5" t="n">
        <v>5</v>
      </c>
      <c r="S656" s="5" t="n">
        <v>7</v>
      </c>
      <c r="T656" s="5" t="s">
        <v>178</v>
      </c>
      <c r="U656" s="6"/>
      <c r="V656" s="6"/>
      <c r="W656" s="6"/>
      <c r="X656" s="6"/>
      <c r="Y656" s="7" t="str">
        <f aca="false">IF(COUNT(U656:X656)=4,(W656-X656)/2,"")</f>
        <v/>
      </c>
      <c r="Z656" s="7" t="str">
        <f aca="false">IF(COUNT(U656:X656)=4,(U656-V656)/2,"")</f>
        <v/>
      </c>
      <c r="AA656" s="7" t="str">
        <f aca="false">IF(COUNT(U656:X656)=4,MAX(1,MIN(10,ROUNDUP(5-Z656,0))),"")</f>
        <v/>
      </c>
      <c r="AB656" s="7" t="str">
        <f aca="false">IF(COUNT(U656:X656)=4,MAX(1,MIN(10,ROUNDUP(Y656+5,0))),"")</f>
        <v/>
      </c>
      <c r="AC656" s="6"/>
      <c r="AD656" s="6"/>
    </row>
    <row r="657" customFormat="false" ht="15" hidden="false" customHeight="true" outlineLevel="0" collapsed="false">
      <c r="A657" s="5" t="n">
        <v>656</v>
      </c>
      <c r="B657" s="5" t="s">
        <v>1678</v>
      </c>
      <c r="C657" s="5" t="s">
        <v>171</v>
      </c>
      <c r="D657" s="5" t="s">
        <v>172</v>
      </c>
      <c r="E657" s="5" t="n">
        <v>168</v>
      </c>
      <c r="F657" s="5" t="s">
        <v>1679</v>
      </c>
      <c r="G657" s="5" t="n">
        <v>4</v>
      </c>
      <c r="H657" s="5" t="s">
        <v>53</v>
      </c>
      <c r="I657" s="5" t="s">
        <v>54</v>
      </c>
      <c r="J657" s="5" t="s">
        <v>181</v>
      </c>
      <c r="K657" s="5" t="s">
        <v>443</v>
      </c>
      <c r="L657" s="5" t="n">
        <v>5</v>
      </c>
      <c r="M657" s="5" t="n">
        <v>3</v>
      </c>
      <c r="N657" s="5" t="n">
        <v>4</v>
      </c>
      <c r="O657" s="5" t="n">
        <v>8</v>
      </c>
      <c r="P657" s="5" t="n">
        <v>-2</v>
      </c>
      <c r="Q657" s="5" t="n">
        <v>1</v>
      </c>
      <c r="R657" s="5" t="n">
        <v>4</v>
      </c>
      <c r="S657" s="5" t="n">
        <v>3</v>
      </c>
      <c r="T657" s="5" t="s">
        <v>1680</v>
      </c>
      <c r="U657" s="6"/>
      <c r="V657" s="6"/>
      <c r="W657" s="6"/>
      <c r="X657" s="6"/>
      <c r="Y657" s="7" t="str">
        <f aca="false">IF(COUNT(U657:X657)=4,(W657-X657)/2,"")</f>
        <v/>
      </c>
      <c r="Z657" s="7" t="str">
        <f aca="false">IF(COUNT(U657:X657)=4,(U657-V657)/2,"")</f>
        <v/>
      </c>
      <c r="AA657" s="7" t="str">
        <f aca="false">IF(COUNT(U657:X657)=4,MAX(1,MIN(10,ROUNDUP(5-Z657,0))),"")</f>
        <v/>
      </c>
      <c r="AB657" s="7" t="str">
        <f aca="false">IF(COUNT(U657:X657)=4,MAX(1,MIN(10,ROUNDUP(Y657+5,0))),"")</f>
        <v/>
      </c>
      <c r="AC657" s="6"/>
      <c r="AD657" s="6"/>
    </row>
    <row r="658" customFormat="false" ht="15" hidden="false" customHeight="true" outlineLevel="0" collapsed="false">
      <c r="A658" s="5" t="n">
        <v>657</v>
      </c>
      <c r="B658" s="5" t="s">
        <v>1681</v>
      </c>
      <c r="C658" s="5" t="s">
        <v>171</v>
      </c>
      <c r="D658" s="5" t="s">
        <v>172</v>
      </c>
      <c r="E658" s="5" t="n">
        <v>167</v>
      </c>
      <c r="F658" s="5" t="s">
        <v>1681</v>
      </c>
      <c r="G658" s="5" t="n">
        <v>4</v>
      </c>
      <c r="H658" s="5" t="s">
        <v>53</v>
      </c>
      <c r="I658" s="5" t="s">
        <v>54</v>
      </c>
      <c r="J658" s="5" t="s">
        <v>181</v>
      </c>
      <c r="K658" s="5" t="s">
        <v>333</v>
      </c>
      <c r="L658" s="5" t="n">
        <v>2</v>
      </c>
      <c r="M658" s="5" t="n">
        <v>5</v>
      </c>
      <c r="N658" s="5" t="n">
        <v>9</v>
      </c>
      <c r="O658" s="5" t="n">
        <v>2</v>
      </c>
      <c r="P658" s="5" t="n">
        <v>3.5</v>
      </c>
      <c r="Q658" s="5" t="n">
        <v>-1.5</v>
      </c>
      <c r="R658" s="5" t="n">
        <v>7</v>
      </c>
      <c r="S658" s="5" t="n">
        <v>9</v>
      </c>
      <c r="T658" s="5" t="s">
        <v>1682</v>
      </c>
      <c r="U658" s="6"/>
      <c r="V658" s="6"/>
      <c r="W658" s="6"/>
      <c r="X658" s="6"/>
      <c r="Y658" s="7" t="str">
        <f aca="false">IF(COUNT(U658:X658)=4,(W658-X658)/2,"")</f>
        <v/>
      </c>
      <c r="Z658" s="7" t="str">
        <f aca="false">IF(COUNT(U658:X658)=4,(U658-V658)/2,"")</f>
        <v/>
      </c>
      <c r="AA658" s="7" t="str">
        <f aca="false">IF(COUNT(U658:X658)=4,MAX(1,MIN(10,ROUNDUP(5-Z658,0))),"")</f>
        <v/>
      </c>
      <c r="AB658" s="7" t="str">
        <f aca="false">IF(COUNT(U658:X658)=4,MAX(1,MIN(10,ROUNDUP(Y658+5,0))),"")</f>
        <v/>
      </c>
      <c r="AC658" s="6"/>
      <c r="AD658" s="6"/>
    </row>
    <row r="659" customFormat="false" ht="15" hidden="false" customHeight="true" outlineLevel="0" collapsed="false">
      <c r="A659" s="5" t="n">
        <v>658</v>
      </c>
      <c r="B659" s="5" t="s">
        <v>1683</v>
      </c>
      <c r="C659" s="5" t="s">
        <v>171</v>
      </c>
      <c r="D659" s="5" t="s">
        <v>172</v>
      </c>
      <c r="E659" s="5" t="n">
        <v>167</v>
      </c>
      <c r="F659" s="5" t="s">
        <v>1684</v>
      </c>
      <c r="G659" s="5" t="n">
        <v>4</v>
      </c>
      <c r="H659" s="5" t="s">
        <v>53</v>
      </c>
      <c r="I659" s="5" t="s">
        <v>54</v>
      </c>
      <c r="J659" s="5" t="s">
        <v>181</v>
      </c>
      <c r="K659" s="5" t="s">
        <v>221</v>
      </c>
      <c r="L659" s="5" t="n">
        <v>3</v>
      </c>
      <c r="M659" s="5" t="n">
        <v>6</v>
      </c>
      <c r="N659" s="5" t="n">
        <v>6</v>
      </c>
      <c r="O659" s="5" t="n">
        <v>5</v>
      </c>
      <c r="P659" s="5" t="n">
        <v>0.5</v>
      </c>
      <c r="Q659" s="5" t="n">
        <v>-1.5</v>
      </c>
      <c r="R659" s="5" t="n">
        <v>7</v>
      </c>
      <c r="S659" s="5" t="n">
        <v>6</v>
      </c>
      <c r="T659" s="5" t="s">
        <v>1685</v>
      </c>
      <c r="U659" s="6"/>
      <c r="V659" s="6"/>
      <c r="W659" s="6"/>
      <c r="X659" s="6"/>
      <c r="Y659" s="7" t="str">
        <f aca="false">IF(COUNT(U659:X659)=4,(W659-X659)/2,"")</f>
        <v/>
      </c>
      <c r="Z659" s="7" t="str">
        <f aca="false">IF(COUNT(U659:X659)=4,(U659-V659)/2,"")</f>
        <v/>
      </c>
      <c r="AA659" s="7" t="str">
        <f aca="false">IF(COUNT(U659:X659)=4,MAX(1,MIN(10,ROUNDUP(5-Z659,0))),"")</f>
        <v/>
      </c>
      <c r="AB659" s="7" t="str">
        <f aca="false">IF(COUNT(U659:X659)=4,MAX(1,MIN(10,ROUNDUP(Y659+5,0))),"")</f>
        <v/>
      </c>
      <c r="AC659" s="6"/>
      <c r="AD659" s="6"/>
    </row>
    <row r="660" customFormat="false" ht="15" hidden="false" customHeight="true" outlineLevel="0" collapsed="false">
      <c r="A660" s="5" t="n">
        <v>659</v>
      </c>
      <c r="B660" s="5" t="s">
        <v>1686</v>
      </c>
      <c r="C660" s="5" t="s">
        <v>108</v>
      </c>
      <c r="D660" s="5" t="s">
        <v>109</v>
      </c>
      <c r="E660" s="5" t="n">
        <v>166</v>
      </c>
      <c r="F660" s="5" t="s">
        <v>1686</v>
      </c>
      <c r="G660" s="5" t="n">
        <v>4</v>
      </c>
      <c r="H660" s="5" t="s">
        <v>53</v>
      </c>
      <c r="I660" s="5" t="s">
        <v>54</v>
      </c>
      <c r="J660" s="5" t="s">
        <v>117</v>
      </c>
      <c r="K660" s="5" t="s">
        <v>117</v>
      </c>
      <c r="L660" s="5" t="n">
        <v>3</v>
      </c>
      <c r="M660" s="5" t="n">
        <v>1</v>
      </c>
      <c r="N660" s="5" t="n">
        <v>1</v>
      </c>
      <c r="O660" s="5" t="n">
        <v>8</v>
      </c>
      <c r="P660" s="5" t="n">
        <v>-3.5</v>
      </c>
      <c r="Q660" s="5" t="n">
        <v>1</v>
      </c>
      <c r="R660" s="5" t="n">
        <v>4</v>
      </c>
      <c r="S660" s="5" t="n">
        <v>2</v>
      </c>
      <c r="T660" s="5" t="s">
        <v>985</v>
      </c>
      <c r="U660" s="6"/>
      <c r="V660" s="6"/>
      <c r="W660" s="6"/>
      <c r="X660" s="6"/>
      <c r="Y660" s="7" t="str">
        <f aca="false">IF(COUNT(U660:X660)=4,(W660-X660)/2,"")</f>
        <v/>
      </c>
      <c r="Z660" s="7" t="str">
        <f aca="false">IF(COUNT(U660:X660)=4,(U660-V660)/2,"")</f>
        <v/>
      </c>
      <c r="AA660" s="7" t="str">
        <f aca="false">IF(COUNT(U660:X660)=4,MAX(1,MIN(10,ROUNDUP(5-Z660,0))),"")</f>
        <v/>
      </c>
      <c r="AB660" s="7" t="str">
        <f aca="false">IF(COUNT(U660:X660)=4,MAX(1,MIN(10,ROUNDUP(Y660+5,0))),"")</f>
        <v/>
      </c>
      <c r="AC660" s="6"/>
      <c r="AD660" s="6"/>
    </row>
    <row r="661" customFormat="false" ht="15" hidden="false" customHeight="true" outlineLevel="0" collapsed="false">
      <c r="A661" s="5" t="n">
        <v>660</v>
      </c>
      <c r="B661" s="5" t="s">
        <v>1687</v>
      </c>
      <c r="C661" s="5" t="s">
        <v>145</v>
      </c>
      <c r="D661" s="5" t="s">
        <v>51</v>
      </c>
      <c r="E661" s="5" t="n">
        <v>166</v>
      </c>
      <c r="F661" s="5" t="s">
        <v>1688</v>
      </c>
      <c r="G661" s="5" t="n">
        <v>4</v>
      </c>
      <c r="H661" s="5" t="s">
        <v>53</v>
      </c>
      <c r="I661" s="5" t="s">
        <v>54</v>
      </c>
      <c r="J661" s="5" t="s">
        <v>181</v>
      </c>
      <c r="K661" s="5" t="s">
        <v>1412</v>
      </c>
      <c r="L661" s="5" t="n">
        <v>5</v>
      </c>
      <c r="M661" s="5" t="n">
        <v>1</v>
      </c>
      <c r="N661" s="5" t="n">
        <v>8</v>
      </c>
      <c r="O661" s="5" t="n">
        <v>2</v>
      </c>
      <c r="P661" s="5" t="n">
        <v>3</v>
      </c>
      <c r="Q661" s="5" t="n">
        <v>2</v>
      </c>
      <c r="R661" s="5" t="n">
        <v>3</v>
      </c>
      <c r="S661" s="5" t="n">
        <v>8</v>
      </c>
      <c r="T661" s="5" t="s">
        <v>1689</v>
      </c>
      <c r="U661" s="6"/>
      <c r="V661" s="6"/>
      <c r="W661" s="6"/>
      <c r="X661" s="6"/>
      <c r="Y661" s="7" t="str">
        <f aca="false">IF(COUNT(U661:X661)=4,(W661-X661)/2,"")</f>
        <v/>
      </c>
      <c r="Z661" s="7" t="str">
        <f aca="false">IF(COUNT(U661:X661)=4,(U661-V661)/2,"")</f>
        <v/>
      </c>
      <c r="AA661" s="7" t="str">
        <f aca="false">IF(COUNT(U661:X661)=4,MAX(1,MIN(10,ROUNDUP(5-Z661,0))),"")</f>
        <v/>
      </c>
      <c r="AB661" s="7" t="str">
        <f aca="false">IF(COUNT(U661:X661)=4,MAX(1,MIN(10,ROUNDUP(Y661+5,0))),"")</f>
        <v/>
      </c>
      <c r="AC661" s="6"/>
      <c r="AD661" s="6"/>
    </row>
    <row r="662" customFormat="false" ht="15" hidden="false" customHeight="true" outlineLevel="0" collapsed="false">
      <c r="A662" s="5" t="n">
        <v>661</v>
      </c>
      <c r="B662" s="5" t="s">
        <v>1690</v>
      </c>
      <c r="C662" s="5" t="s">
        <v>203</v>
      </c>
      <c r="D662" s="5" t="s">
        <v>204</v>
      </c>
      <c r="E662" s="5" t="n">
        <v>166</v>
      </c>
      <c r="F662" s="5" t="s">
        <v>1691</v>
      </c>
      <c r="G662" s="5" t="n">
        <v>4</v>
      </c>
      <c r="H662" s="5" t="s">
        <v>53</v>
      </c>
      <c r="I662" s="5" t="s">
        <v>54</v>
      </c>
      <c r="J662" s="5" t="s">
        <v>117</v>
      </c>
      <c r="K662" s="5" t="s">
        <v>117</v>
      </c>
      <c r="L662" s="5" t="n">
        <v>3</v>
      </c>
      <c r="M662" s="5" t="n">
        <v>3</v>
      </c>
      <c r="N662" s="5" t="n">
        <v>2</v>
      </c>
      <c r="O662" s="5" t="n">
        <v>7</v>
      </c>
      <c r="P662" s="5" t="n">
        <v>-2.5</v>
      </c>
      <c r="Q662" s="5" t="n">
        <v>0</v>
      </c>
      <c r="R662" s="5" t="n">
        <v>5</v>
      </c>
      <c r="S662" s="5" t="n">
        <v>3</v>
      </c>
      <c r="T662" s="5" t="s">
        <v>1692</v>
      </c>
      <c r="U662" s="6"/>
      <c r="V662" s="6"/>
      <c r="W662" s="6"/>
      <c r="X662" s="6"/>
      <c r="Y662" s="7" t="str">
        <f aca="false">IF(COUNT(U662:X662)=4,(W662-X662)/2,"")</f>
        <v/>
      </c>
      <c r="Z662" s="7" t="str">
        <f aca="false">IF(COUNT(U662:X662)=4,(U662-V662)/2,"")</f>
        <v/>
      </c>
      <c r="AA662" s="7" t="str">
        <f aca="false">IF(COUNT(U662:X662)=4,MAX(1,MIN(10,ROUNDUP(5-Z662,0))),"")</f>
        <v/>
      </c>
      <c r="AB662" s="7" t="str">
        <f aca="false">IF(COUNT(U662:X662)=4,MAX(1,MIN(10,ROUNDUP(Y662+5,0))),"")</f>
        <v/>
      </c>
      <c r="AC662" s="6"/>
      <c r="AD662" s="6"/>
    </row>
    <row r="663" customFormat="false" ht="15" hidden="false" customHeight="true" outlineLevel="0" collapsed="false">
      <c r="A663" s="5" t="n">
        <v>662</v>
      </c>
      <c r="B663" s="5" t="s">
        <v>1693</v>
      </c>
      <c r="C663" s="5" t="s">
        <v>58</v>
      </c>
      <c r="D663" s="5" t="s">
        <v>59</v>
      </c>
      <c r="E663" s="5" t="n">
        <v>166</v>
      </c>
      <c r="F663" s="5" t="s">
        <v>1693</v>
      </c>
      <c r="G663" s="5" t="n">
        <v>3</v>
      </c>
      <c r="H663" s="5" t="s">
        <v>53</v>
      </c>
      <c r="I663" s="5" t="s">
        <v>64</v>
      </c>
      <c r="J663" s="5"/>
      <c r="K663" s="5"/>
      <c r="L663" s="5" t="n">
        <v>4</v>
      </c>
      <c r="M663" s="5" t="n">
        <v>2</v>
      </c>
      <c r="N663" s="5" t="n">
        <v>7</v>
      </c>
      <c r="O663" s="5" t="n">
        <v>4</v>
      </c>
      <c r="P663" s="5" t="n">
        <v>1.5</v>
      </c>
      <c r="Q663" s="5" t="n">
        <v>1</v>
      </c>
      <c r="R663" s="5" t="n">
        <v>4</v>
      </c>
      <c r="S663" s="5" t="n">
        <v>7</v>
      </c>
      <c r="T663" s="5" t="s">
        <v>1694</v>
      </c>
      <c r="U663" s="6"/>
      <c r="V663" s="6"/>
      <c r="W663" s="6"/>
      <c r="X663" s="6"/>
      <c r="Y663" s="7" t="str">
        <f aca="false">IF(COUNT(U663:X663)=4,(W663-X663)/2,"")</f>
        <v/>
      </c>
      <c r="Z663" s="7" t="str">
        <f aca="false">IF(COUNT(U663:X663)=4,(U663-V663)/2,"")</f>
        <v/>
      </c>
      <c r="AA663" s="7" t="str">
        <f aca="false">IF(COUNT(U663:X663)=4,MAX(1,MIN(10,ROUNDUP(5-Z663,0))),"")</f>
        <v/>
      </c>
      <c r="AB663" s="7" t="str">
        <f aca="false">IF(COUNT(U663:X663)=4,MAX(1,MIN(10,ROUNDUP(Y663+5,0))),"")</f>
        <v/>
      </c>
      <c r="AC663" s="6"/>
      <c r="AD663" s="6"/>
    </row>
    <row r="664" customFormat="false" ht="15" hidden="false" customHeight="true" outlineLevel="0" collapsed="false">
      <c r="A664" s="5" t="n">
        <v>663</v>
      </c>
      <c r="B664" s="5" t="s">
        <v>1695</v>
      </c>
      <c r="C664" s="5" t="s">
        <v>145</v>
      </c>
      <c r="D664" s="5" t="s">
        <v>51</v>
      </c>
      <c r="E664" s="5" t="n">
        <v>166</v>
      </c>
      <c r="F664" s="5" t="s">
        <v>1696</v>
      </c>
      <c r="G664" s="5" t="n">
        <v>4</v>
      </c>
      <c r="H664" s="5" t="s">
        <v>53</v>
      </c>
      <c r="I664" s="5" t="s">
        <v>54</v>
      </c>
      <c r="J664" s="5" t="s">
        <v>55</v>
      </c>
      <c r="K664" s="5" t="s">
        <v>55</v>
      </c>
      <c r="L664" s="5" t="n">
        <v>5</v>
      </c>
      <c r="M664" s="5" t="n">
        <v>3</v>
      </c>
      <c r="N664" s="5" t="n">
        <v>4</v>
      </c>
      <c r="O664" s="5" t="n">
        <v>6</v>
      </c>
      <c r="P664" s="5" t="n">
        <v>-1</v>
      </c>
      <c r="Q664" s="5" t="n">
        <v>1</v>
      </c>
      <c r="R664" s="5" t="n">
        <v>4</v>
      </c>
      <c r="S664" s="5" t="n">
        <v>4</v>
      </c>
      <c r="T664" s="5" t="s">
        <v>1697</v>
      </c>
      <c r="U664" s="6"/>
      <c r="V664" s="6"/>
      <c r="W664" s="6"/>
      <c r="X664" s="6"/>
      <c r="Y664" s="7" t="str">
        <f aca="false">IF(COUNT(U664:X664)=4,(W664-X664)/2,"")</f>
        <v/>
      </c>
      <c r="Z664" s="7" t="str">
        <f aca="false">IF(COUNT(U664:X664)=4,(U664-V664)/2,"")</f>
        <v/>
      </c>
      <c r="AA664" s="7" t="str">
        <f aca="false">IF(COUNT(U664:X664)=4,MAX(1,MIN(10,ROUNDUP(5-Z664,0))),"")</f>
        <v/>
      </c>
      <c r="AB664" s="7" t="str">
        <f aca="false">IF(COUNT(U664:X664)=4,MAX(1,MIN(10,ROUNDUP(Y664+5,0))),"")</f>
        <v/>
      </c>
      <c r="AC664" s="6"/>
      <c r="AD664" s="6"/>
    </row>
    <row r="665" customFormat="false" ht="15" hidden="false" customHeight="true" outlineLevel="0" collapsed="false">
      <c r="A665" s="5" t="n">
        <v>664</v>
      </c>
      <c r="B665" s="5" t="s">
        <v>1698</v>
      </c>
      <c r="C665" s="5" t="s">
        <v>171</v>
      </c>
      <c r="D665" s="5" t="s">
        <v>172</v>
      </c>
      <c r="E665" s="5" t="n">
        <v>166</v>
      </c>
      <c r="F665" s="5" t="s">
        <v>1699</v>
      </c>
      <c r="G665" s="5" t="n">
        <v>4</v>
      </c>
      <c r="H665" s="5" t="s">
        <v>53</v>
      </c>
      <c r="I665" s="5" t="s">
        <v>54</v>
      </c>
      <c r="J665" s="5" t="s">
        <v>181</v>
      </c>
      <c r="K665" s="5" t="s">
        <v>413</v>
      </c>
      <c r="L665" s="5" t="n">
        <v>5</v>
      </c>
      <c r="M665" s="5" t="n">
        <v>3</v>
      </c>
      <c r="N665" s="5" t="n">
        <v>3</v>
      </c>
      <c r="O665" s="5" t="n">
        <v>8</v>
      </c>
      <c r="P665" s="5" t="n">
        <v>-2.5</v>
      </c>
      <c r="Q665" s="5" t="n">
        <v>1</v>
      </c>
      <c r="R665" s="5" t="n">
        <v>4</v>
      </c>
      <c r="S665" s="5" t="n">
        <v>3</v>
      </c>
      <c r="T665" s="5" t="s">
        <v>1700</v>
      </c>
      <c r="U665" s="6"/>
      <c r="V665" s="6"/>
      <c r="W665" s="6"/>
      <c r="X665" s="6"/>
      <c r="Y665" s="7" t="str">
        <f aca="false">IF(COUNT(U665:X665)=4,(W665-X665)/2,"")</f>
        <v/>
      </c>
      <c r="Z665" s="7" t="str">
        <f aca="false">IF(COUNT(U665:X665)=4,(U665-V665)/2,"")</f>
        <v/>
      </c>
      <c r="AA665" s="7" t="str">
        <f aca="false">IF(COUNT(U665:X665)=4,MAX(1,MIN(10,ROUNDUP(5-Z665,0))),"")</f>
        <v/>
      </c>
      <c r="AB665" s="7" t="str">
        <f aca="false">IF(COUNT(U665:X665)=4,MAX(1,MIN(10,ROUNDUP(Y665+5,0))),"")</f>
        <v/>
      </c>
      <c r="AC665" s="6"/>
      <c r="AD665" s="6"/>
    </row>
    <row r="666" customFormat="false" ht="15" hidden="false" customHeight="true" outlineLevel="0" collapsed="false">
      <c r="A666" s="5" t="n">
        <v>665</v>
      </c>
      <c r="B666" s="5" t="s">
        <v>1701</v>
      </c>
      <c r="C666" s="5" t="s">
        <v>171</v>
      </c>
      <c r="D666" s="5" t="s">
        <v>172</v>
      </c>
      <c r="E666" s="5" t="n">
        <v>166</v>
      </c>
      <c r="F666" s="5" t="s">
        <v>1702</v>
      </c>
      <c r="G666" s="5" t="n">
        <v>4</v>
      </c>
      <c r="H666" s="5" t="s">
        <v>53</v>
      </c>
      <c r="I666" s="5" t="s">
        <v>54</v>
      </c>
      <c r="J666" s="5" t="s">
        <v>181</v>
      </c>
      <c r="K666" s="5" t="s">
        <v>960</v>
      </c>
      <c r="L666" s="5" t="n">
        <v>2</v>
      </c>
      <c r="M666" s="5" t="n">
        <v>6</v>
      </c>
      <c r="N666" s="5" t="n">
        <v>6</v>
      </c>
      <c r="O666" s="5" t="n">
        <v>4</v>
      </c>
      <c r="P666" s="5" t="n">
        <v>1</v>
      </c>
      <c r="Q666" s="5" t="n">
        <v>-2</v>
      </c>
      <c r="R666" s="5" t="n">
        <v>7</v>
      </c>
      <c r="S666" s="5" t="n">
        <v>6</v>
      </c>
      <c r="T666" s="5" t="s">
        <v>525</v>
      </c>
      <c r="U666" s="6"/>
      <c r="V666" s="6"/>
      <c r="W666" s="6"/>
      <c r="X666" s="6"/>
      <c r="Y666" s="7" t="str">
        <f aca="false">IF(COUNT(U666:X666)=4,(W666-X666)/2,"")</f>
        <v/>
      </c>
      <c r="Z666" s="7" t="str">
        <f aca="false">IF(COUNT(U666:X666)=4,(U666-V666)/2,"")</f>
        <v/>
      </c>
      <c r="AA666" s="7" t="str">
        <f aca="false">IF(COUNT(U666:X666)=4,MAX(1,MIN(10,ROUNDUP(5-Z666,0))),"")</f>
        <v/>
      </c>
      <c r="AB666" s="7" t="str">
        <f aca="false">IF(COUNT(U666:X666)=4,MAX(1,MIN(10,ROUNDUP(Y666+5,0))),"")</f>
        <v/>
      </c>
      <c r="AC666" s="6"/>
      <c r="AD666" s="6"/>
    </row>
    <row r="667" customFormat="false" ht="15" hidden="false" customHeight="true" outlineLevel="0" collapsed="false">
      <c r="A667" s="5" t="n">
        <v>666</v>
      </c>
      <c r="B667" s="5" t="s">
        <v>1703</v>
      </c>
      <c r="C667" s="5" t="s">
        <v>171</v>
      </c>
      <c r="D667" s="5" t="s">
        <v>172</v>
      </c>
      <c r="E667" s="5" t="n">
        <v>166</v>
      </c>
      <c r="F667" s="5" t="s">
        <v>1704</v>
      </c>
      <c r="G667" s="5" t="n">
        <v>4</v>
      </c>
      <c r="H667" s="5" t="s">
        <v>53</v>
      </c>
      <c r="I667" s="5" t="s">
        <v>54</v>
      </c>
      <c r="J667" s="5" t="s">
        <v>181</v>
      </c>
      <c r="K667" s="5" t="s">
        <v>413</v>
      </c>
      <c r="L667" s="5" t="n">
        <v>5</v>
      </c>
      <c r="M667" s="5" t="n">
        <v>3</v>
      </c>
      <c r="N667" s="5" t="n">
        <v>3</v>
      </c>
      <c r="O667" s="5" t="n">
        <v>8</v>
      </c>
      <c r="P667" s="5" t="n">
        <v>-2.5</v>
      </c>
      <c r="Q667" s="5" t="n">
        <v>1</v>
      </c>
      <c r="R667" s="5" t="n">
        <v>4</v>
      </c>
      <c r="S667" s="5" t="n">
        <v>3</v>
      </c>
      <c r="T667" s="5" t="s">
        <v>712</v>
      </c>
      <c r="U667" s="6"/>
      <c r="V667" s="6"/>
      <c r="W667" s="6"/>
      <c r="X667" s="6"/>
      <c r="Y667" s="7" t="str">
        <f aca="false">IF(COUNT(U667:X667)=4,(W667-X667)/2,"")</f>
        <v/>
      </c>
      <c r="Z667" s="7" t="str">
        <f aca="false">IF(COUNT(U667:X667)=4,(U667-V667)/2,"")</f>
        <v/>
      </c>
      <c r="AA667" s="7" t="str">
        <f aca="false">IF(COUNT(U667:X667)=4,MAX(1,MIN(10,ROUNDUP(5-Z667,0))),"")</f>
        <v/>
      </c>
      <c r="AB667" s="7" t="str">
        <f aca="false">IF(COUNT(U667:X667)=4,MAX(1,MIN(10,ROUNDUP(Y667+5,0))),"")</f>
        <v/>
      </c>
      <c r="AC667" s="6"/>
      <c r="AD667" s="6"/>
    </row>
    <row r="668" customFormat="false" ht="15" hidden="false" customHeight="true" outlineLevel="0" collapsed="false">
      <c r="A668" s="5" t="n">
        <v>667</v>
      </c>
      <c r="B668" s="5" t="s">
        <v>1705</v>
      </c>
      <c r="C668" s="5" t="s">
        <v>171</v>
      </c>
      <c r="D668" s="5" t="s">
        <v>172</v>
      </c>
      <c r="E668" s="5" t="n">
        <v>166</v>
      </c>
      <c r="F668" s="5" t="s">
        <v>1706</v>
      </c>
      <c r="G668" s="5" t="n">
        <v>4</v>
      </c>
      <c r="H668" s="5" t="s">
        <v>53</v>
      </c>
      <c r="I668" s="5" t="s">
        <v>54</v>
      </c>
      <c r="J668" s="5" t="s">
        <v>181</v>
      </c>
      <c r="K668" s="5" t="s">
        <v>673</v>
      </c>
      <c r="L668" s="5" t="n">
        <v>4</v>
      </c>
      <c r="M668" s="5" t="n">
        <v>4</v>
      </c>
      <c r="N668" s="5" t="n">
        <v>5</v>
      </c>
      <c r="O668" s="5" t="n">
        <v>6</v>
      </c>
      <c r="P668" s="5" t="n">
        <v>-0.5</v>
      </c>
      <c r="Q668" s="5" t="n">
        <v>0</v>
      </c>
      <c r="R668" s="5" t="n">
        <v>5</v>
      </c>
      <c r="S668" s="5" t="n">
        <v>5</v>
      </c>
      <c r="T668" s="5" t="s">
        <v>1707</v>
      </c>
      <c r="U668" s="6"/>
      <c r="V668" s="6"/>
      <c r="W668" s="6"/>
      <c r="X668" s="6"/>
      <c r="Y668" s="7" t="str">
        <f aca="false">IF(COUNT(U668:X668)=4,(W668-X668)/2,"")</f>
        <v/>
      </c>
      <c r="Z668" s="7" t="str">
        <f aca="false">IF(COUNT(U668:X668)=4,(U668-V668)/2,"")</f>
        <v/>
      </c>
      <c r="AA668" s="7" t="str">
        <f aca="false">IF(COUNT(U668:X668)=4,MAX(1,MIN(10,ROUNDUP(5-Z668,0))),"")</f>
        <v/>
      </c>
      <c r="AB668" s="7" t="str">
        <f aca="false">IF(COUNT(U668:X668)=4,MAX(1,MIN(10,ROUNDUP(Y668+5,0))),"")</f>
        <v/>
      </c>
      <c r="AC668" s="6"/>
      <c r="AD668" s="6"/>
    </row>
    <row r="669" customFormat="false" ht="15" hidden="false" customHeight="true" outlineLevel="0" collapsed="false">
      <c r="A669" s="5" t="n">
        <v>668</v>
      </c>
      <c r="B669" s="5" t="s">
        <v>1708</v>
      </c>
      <c r="C669" s="5" t="s">
        <v>203</v>
      </c>
      <c r="D669" s="5" t="s">
        <v>204</v>
      </c>
      <c r="E669" s="5" t="n">
        <v>165</v>
      </c>
      <c r="F669" s="5" t="s">
        <v>1709</v>
      </c>
      <c r="G669" s="5" t="n">
        <v>4</v>
      </c>
      <c r="H669" s="5" t="s">
        <v>53</v>
      </c>
      <c r="I669" s="5" t="s">
        <v>54</v>
      </c>
      <c r="J669" s="5" t="s">
        <v>117</v>
      </c>
      <c r="K669" s="5" t="s">
        <v>117</v>
      </c>
      <c r="L669" s="5" t="n">
        <v>3</v>
      </c>
      <c r="M669" s="5" t="n">
        <v>3</v>
      </c>
      <c r="N669" s="5" t="n">
        <v>8</v>
      </c>
      <c r="O669" s="5" t="n">
        <v>2</v>
      </c>
      <c r="P669" s="5" t="n">
        <v>3</v>
      </c>
      <c r="Q669" s="5" t="n">
        <v>0</v>
      </c>
      <c r="R669" s="5" t="n">
        <v>5</v>
      </c>
      <c r="S669" s="5" t="n">
        <v>8</v>
      </c>
      <c r="T669" s="5" t="s">
        <v>1710</v>
      </c>
      <c r="U669" s="6"/>
      <c r="V669" s="6"/>
      <c r="W669" s="6"/>
      <c r="X669" s="6"/>
      <c r="Y669" s="7" t="str">
        <f aca="false">IF(COUNT(U669:X669)=4,(W669-X669)/2,"")</f>
        <v/>
      </c>
      <c r="Z669" s="7" t="str">
        <f aca="false">IF(COUNT(U669:X669)=4,(U669-V669)/2,"")</f>
        <v/>
      </c>
      <c r="AA669" s="7" t="str">
        <f aca="false">IF(COUNT(U669:X669)=4,MAX(1,MIN(10,ROUNDUP(5-Z669,0))),"")</f>
        <v/>
      </c>
      <c r="AB669" s="7" t="str">
        <f aca="false">IF(COUNT(U669:X669)=4,MAX(1,MIN(10,ROUNDUP(Y669+5,0))),"")</f>
        <v/>
      </c>
      <c r="AC669" s="6"/>
      <c r="AD669" s="6"/>
    </row>
    <row r="670" customFormat="false" ht="15" hidden="false" customHeight="true" outlineLevel="0" collapsed="false">
      <c r="A670" s="5" t="n">
        <v>669</v>
      </c>
      <c r="B670" s="5" t="s">
        <v>1711</v>
      </c>
      <c r="C670" s="5" t="s">
        <v>203</v>
      </c>
      <c r="D670" s="5" t="s">
        <v>204</v>
      </c>
      <c r="E670" s="5" t="n">
        <v>165</v>
      </c>
      <c r="F670" s="5" t="s">
        <v>1711</v>
      </c>
      <c r="G670" s="5" t="n">
        <v>4</v>
      </c>
      <c r="H670" s="5" t="s">
        <v>53</v>
      </c>
      <c r="I670" s="5" t="s">
        <v>54</v>
      </c>
      <c r="J670" s="5" t="s">
        <v>117</v>
      </c>
      <c r="K670" s="5" t="s">
        <v>117</v>
      </c>
      <c r="L670" s="5" t="n">
        <v>4</v>
      </c>
      <c r="M670" s="5" t="n">
        <v>1</v>
      </c>
      <c r="N670" s="5" t="n">
        <v>2</v>
      </c>
      <c r="O670" s="5" t="n">
        <v>7</v>
      </c>
      <c r="P670" s="5" t="n">
        <v>-2.5</v>
      </c>
      <c r="Q670" s="5" t="n">
        <v>1.5</v>
      </c>
      <c r="R670" s="5" t="n">
        <v>4</v>
      </c>
      <c r="S670" s="5" t="n">
        <v>3</v>
      </c>
      <c r="T670" s="5" t="s">
        <v>1712</v>
      </c>
      <c r="U670" s="6"/>
      <c r="V670" s="6"/>
      <c r="W670" s="6"/>
      <c r="X670" s="6"/>
      <c r="Y670" s="7" t="str">
        <f aca="false">IF(COUNT(U670:X670)=4,(W670-X670)/2,"")</f>
        <v/>
      </c>
      <c r="Z670" s="7" t="str">
        <f aca="false">IF(COUNT(U670:X670)=4,(U670-V670)/2,"")</f>
        <v/>
      </c>
      <c r="AA670" s="7" t="str">
        <f aca="false">IF(COUNT(U670:X670)=4,MAX(1,MIN(10,ROUNDUP(5-Z670,0))),"")</f>
        <v/>
      </c>
      <c r="AB670" s="7" t="str">
        <f aca="false">IF(COUNT(U670:X670)=4,MAX(1,MIN(10,ROUNDUP(Y670+5,0))),"")</f>
        <v/>
      </c>
      <c r="AC670" s="6"/>
      <c r="AD670" s="6"/>
    </row>
    <row r="671" customFormat="false" ht="15" hidden="false" customHeight="true" outlineLevel="0" collapsed="false">
      <c r="A671" s="5" t="n">
        <v>670</v>
      </c>
      <c r="B671" s="5" t="s">
        <v>427</v>
      </c>
      <c r="C671" s="5" t="s">
        <v>171</v>
      </c>
      <c r="D671" s="5" t="s">
        <v>172</v>
      </c>
      <c r="E671" s="5" t="n">
        <v>165</v>
      </c>
      <c r="F671" s="5" t="s">
        <v>1713</v>
      </c>
      <c r="G671" s="5" t="n">
        <v>4</v>
      </c>
      <c r="H671" s="5" t="s">
        <v>53</v>
      </c>
      <c r="I671" s="5" t="s">
        <v>54</v>
      </c>
      <c r="J671" s="5" t="s">
        <v>181</v>
      </c>
      <c r="K671" s="5" t="s">
        <v>511</v>
      </c>
      <c r="L671" s="5" t="n">
        <v>2</v>
      </c>
      <c r="M671" s="5" t="n">
        <v>6</v>
      </c>
      <c r="N671" s="5" t="n">
        <v>5</v>
      </c>
      <c r="O671" s="5" t="n">
        <v>5</v>
      </c>
      <c r="P671" s="5" t="n">
        <v>0</v>
      </c>
      <c r="Q671" s="5" t="n">
        <v>-2</v>
      </c>
      <c r="R671" s="5" t="n">
        <v>7</v>
      </c>
      <c r="S671" s="5" t="n">
        <v>5</v>
      </c>
      <c r="T671" s="5" t="s">
        <v>1184</v>
      </c>
      <c r="U671" s="6"/>
      <c r="V671" s="6"/>
      <c r="W671" s="6"/>
      <c r="X671" s="6"/>
      <c r="Y671" s="7" t="str">
        <f aca="false">IF(COUNT(U671:X671)=4,(W671-X671)/2,"")</f>
        <v/>
      </c>
      <c r="Z671" s="7" t="str">
        <f aca="false">IF(COUNT(U671:X671)=4,(U671-V671)/2,"")</f>
        <v/>
      </c>
      <c r="AA671" s="7" t="str">
        <f aca="false">IF(COUNT(U671:X671)=4,MAX(1,MIN(10,ROUNDUP(5-Z671,0))),"")</f>
        <v/>
      </c>
      <c r="AB671" s="7" t="str">
        <f aca="false">IF(COUNT(U671:X671)=4,MAX(1,MIN(10,ROUNDUP(Y671+5,0))),"")</f>
        <v/>
      </c>
      <c r="AC671" s="6"/>
      <c r="AD671" s="6"/>
    </row>
    <row r="672" customFormat="false" ht="15" hidden="false" customHeight="true" outlineLevel="0" collapsed="false">
      <c r="A672" s="5" t="n">
        <v>671</v>
      </c>
      <c r="B672" s="5" t="s">
        <v>1714</v>
      </c>
      <c r="C672" s="5" t="s">
        <v>203</v>
      </c>
      <c r="D672" s="5" t="s">
        <v>204</v>
      </c>
      <c r="E672" s="5" t="n">
        <v>165</v>
      </c>
      <c r="F672" s="5" t="s">
        <v>1714</v>
      </c>
      <c r="G672" s="5" t="n">
        <v>4</v>
      </c>
      <c r="H672" s="5" t="s">
        <v>53</v>
      </c>
      <c r="I672" s="5" t="s">
        <v>54</v>
      </c>
      <c r="J672" s="5" t="s">
        <v>117</v>
      </c>
      <c r="K672" s="5" t="s">
        <v>117</v>
      </c>
      <c r="L672" s="5" t="n">
        <v>3</v>
      </c>
      <c r="M672" s="5" t="n">
        <v>1</v>
      </c>
      <c r="N672" s="5" t="n">
        <v>2</v>
      </c>
      <c r="O672" s="5" t="n">
        <v>8</v>
      </c>
      <c r="P672" s="5" t="n">
        <v>-3</v>
      </c>
      <c r="Q672" s="5" t="n">
        <v>1</v>
      </c>
      <c r="R672" s="5" t="n">
        <v>4</v>
      </c>
      <c r="S672" s="5" t="n">
        <v>2</v>
      </c>
      <c r="T672" s="5" t="s">
        <v>214</v>
      </c>
      <c r="U672" s="6"/>
      <c r="V672" s="6"/>
      <c r="W672" s="6"/>
      <c r="X672" s="6"/>
      <c r="Y672" s="7" t="str">
        <f aca="false">IF(COUNT(U672:X672)=4,(W672-X672)/2,"")</f>
        <v/>
      </c>
      <c r="Z672" s="7" t="str">
        <f aca="false">IF(COUNT(U672:X672)=4,(U672-V672)/2,"")</f>
        <v/>
      </c>
      <c r="AA672" s="7" t="str">
        <f aca="false">IF(COUNT(U672:X672)=4,MAX(1,MIN(10,ROUNDUP(5-Z672,0))),"")</f>
        <v/>
      </c>
      <c r="AB672" s="7" t="str">
        <f aca="false">IF(COUNT(U672:X672)=4,MAX(1,MIN(10,ROUNDUP(Y672+5,0))),"")</f>
        <v/>
      </c>
      <c r="AC672" s="6"/>
      <c r="AD672" s="6"/>
    </row>
    <row r="673" customFormat="false" ht="15" hidden="false" customHeight="true" outlineLevel="0" collapsed="false">
      <c r="A673" s="5" t="n">
        <v>672</v>
      </c>
      <c r="B673" s="5" t="s">
        <v>1715</v>
      </c>
      <c r="C673" s="5" t="s">
        <v>127</v>
      </c>
      <c r="D673" s="5" t="s">
        <v>128</v>
      </c>
      <c r="E673" s="5" t="n">
        <v>165</v>
      </c>
      <c r="F673" s="5" t="s">
        <v>1716</v>
      </c>
      <c r="G673" s="5" t="n">
        <v>4</v>
      </c>
      <c r="H673" s="5" t="s">
        <v>53</v>
      </c>
      <c r="I673" s="5" t="s">
        <v>54</v>
      </c>
      <c r="J673" s="5" t="s">
        <v>117</v>
      </c>
      <c r="K673" s="5" t="s">
        <v>117</v>
      </c>
      <c r="L673" s="5" t="n">
        <v>3</v>
      </c>
      <c r="M673" s="5" t="n">
        <v>1</v>
      </c>
      <c r="N673" s="5" t="n">
        <v>2</v>
      </c>
      <c r="O673" s="5" t="n">
        <v>7</v>
      </c>
      <c r="P673" s="5" t="n">
        <v>-2.5</v>
      </c>
      <c r="Q673" s="5" t="n">
        <v>1</v>
      </c>
      <c r="R673" s="5" t="n">
        <v>4</v>
      </c>
      <c r="S673" s="5" t="n">
        <v>3</v>
      </c>
      <c r="T673" s="5" t="s">
        <v>1717</v>
      </c>
      <c r="U673" s="6"/>
      <c r="V673" s="6"/>
      <c r="W673" s="6"/>
      <c r="X673" s="6"/>
      <c r="Y673" s="7" t="str">
        <f aca="false">IF(COUNT(U673:X673)=4,(W673-X673)/2,"")</f>
        <v/>
      </c>
      <c r="Z673" s="7" t="str">
        <f aca="false">IF(COUNT(U673:X673)=4,(U673-V673)/2,"")</f>
        <v/>
      </c>
      <c r="AA673" s="7" t="str">
        <f aca="false">IF(COUNT(U673:X673)=4,MAX(1,MIN(10,ROUNDUP(5-Z673,0))),"")</f>
        <v/>
      </c>
      <c r="AB673" s="7" t="str">
        <f aca="false">IF(COUNT(U673:X673)=4,MAX(1,MIN(10,ROUNDUP(Y673+5,0))),"")</f>
        <v/>
      </c>
      <c r="AC673" s="6"/>
      <c r="AD673" s="6"/>
    </row>
    <row r="674" customFormat="false" ht="15" hidden="false" customHeight="true" outlineLevel="0" collapsed="false">
      <c r="A674" s="5" t="n">
        <v>673</v>
      </c>
      <c r="B674" s="5" t="s">
        <v>1718</v>
      </c>
      <c r="C674" s="5" t="s">
        <v>171</v>
      </c>
      <c r="D674" s="5" t="s">
        <v>172</v>
      </c>
      <c r="E674" s="5" t="n">
        <v>164</v>
      </c>
      <c r="F674" s="5" t="s">
        <v>1719</v>
      </c>
      <c r="G674" s="5" t="n">
        <v>4</v>
      </c>
      <c r="H674" s="5" t="s">
        <v>53</v>
      </c>
      <c r="I674" s="5" t="s">
        <v>54</v>
      </c>
      <c r="J674" s="5" t="s">
        <v>181</v>
      </c>
      <c r="K674" s="5" t="s">
        <v>223</v>
      </c>
      <c r="L674" s="5" t="n">
        <v>3</v>
      </c>
      <c r="M674" s="5" t="n">
        <v>4</v>
      </c>
      <c r="N674" s="5" t="n">
        <v>6</v>
      </c>
      <c r="O674" s="5" t="n">
        <v>4</v>
      </c>
      <c r="P674" s="5" t="n">
        <v>1</v>
      </c>
      <c r="Q674" s="5" t="n">
        <v>-0.5</v>
      </c>
      <c r="R674" s="5" t="n">
        <v>6</v>
      </c>
      <c r="S674" s="5" t="n">
        <v>6</v>
      </c>
      <c r="T674" s="5" t="s">
        <v>1720</v>
      </c>
      <c r="U674" s="6"/>
      <c r="V674" s="6"/>
      <c r="W674" s="6"/>
      <c r="X674" s="6"/>
      <c r="Y674" s="7" t="str">
        <f aca="false">IF(COUNT(U674:X674)=4,(W674-X674)/2,"")</f>
        <v/>
      </c>
      <c r="Z674" s="7" t="str">
        <f aca="false">IF(COUNT(U674:X674)=4,(U674-V674)/2,"")</f>
        <v/>
      </c>
      <c r="AA674" s="7" t="str">
        <f aca="false">IF(COUNT(U674:X674)=4,MAX(1,MIN(10,ROUNDUP(5-Z674,0))),"")</f>
        <v/>
      </c>
      <c r="AB674" s="7" t="str">
        <f aca="false">IF(COUNT(U674:X674)=4,MAX(1,MIN(10,ROUNDUP(Y674+5,0))),"")</f>
        <v/>
      </c>
      <c r="AC674" s="6"/>
      <c r="AD674" s="6"/>
    </row>
    <row r="675" customFormat="false" ht="15" hidden="false" customHeight="true" outlineLevel="0" collapsed="false">
      <c r="A675" s="5" t="n">
        <v>674</v>
      </c>
      <c r="B675" s="5" t="s">
        <v>1721</v>
      </c>
      <c r="C675" s="5" t="s">
        <v>171</v>
      </c>
      <c r="D675" s="5" t="s">
        <v>172</v>
      </c>
      <c r="E675" s="5" t="n">
        <v>164</v>
      </c>
      <c r="F675" s="5" t="s">
        <v>1722</v>
      </c>
      <c r="G675" s="5" t="n">
        <v>4</v>
      </c>
      <c r="H675" s="5" t="s">
        <v>53</v>
      </c>
      <c r="I675" s="5" t="s">
        <v>54</v>
      </c>
      <c r="J675" s="5" t="s">
        <v>181</v>
      </c>
      <c r="K675" s="5" t="s">
        <v>279</v>
      </c>
      <c r="L675" s="5" t="n">
        <v>5</v>
      </c>
      <c r="M675" s="5" t="n">
        <v>5</v>
      </c>
      <c r="N675" s="5" t="n">
        <v>5</v>
      </c>
      <c r="O675" s="5" t="n">
        <v>7</v>
      </c>
      <c r="P675" s="5" t="n">
        <v>-1</v>
      </c>
      <c r="Q675" s="5" t="n">
        <v>0</v>
      </c>
      <c r="R675" s="5" t="n">
        <v>5</v>
      </c>
      <c r="S675" s="5" t="n">
        <v>4</v>
      </c>
      <c r="T675" s="5" t="s">
        <v>1723</v>
      </c>
      <c r="U675" s="6"/>
      <c r="V675" s="6"/>
      <c r="W675" s="6"/>
      <c r="X675" s="6"/>
      <c r="Y675" s="7" t="str">
        <f aca="false">IF(COUNT(U675:X675)=4,(W675-X675)/2,"")</f>
        <v/>
      </c>
      <c r="Z675" s="7" t="str">
        <f aca="false">IF(COUNT(U675:X675)=4,(U675-V675)/2,"")</f>
        <v/>
      </c>
      <c r="AA675" s="7" t="str">
        <f aca="false">IF(COUNT(U675:X675)=4,MAX(1,MIN(10,ROUNDUP(5-Z675,0))),"")</f>
        <v/>
      </c>
      <c r="AB675" s="7" t="str">
        <f aca="false">IF(COUNT(U675:X675)=4,MAX(1,MIN(10,ROUNDUP(Y675+5,0))),"")</f>
        <v/>
      </c>
      <c r="AC675" s="6"/>
      <c r="AD675" s="6"/>
    </row>
    <row r="676" customFormat="false" ht="15" hidden="false" customHeight="true" outlineLevel="0" collapsed="false">
      <c r="A676" s="5" t="n">
        <v>675</v>
      </c>
      <c r="B676" s="5" t="s">
        <v>1724</v>
      </c>
      <c r="C676" s="5" t="s">
        <v>145</v>
      </c>
      <c r="D676" s="5" t="s">
        <v>51</v>
      </c>
      <c r="E676" s="5" t="n">
        <v>163</v>
      </c>
      <c r="F676" s="5" t="s">
        <v>1725</v>
      </c>
      <c r="G676" s="5" t="n">
        <v>4</v>
      </c>
      <c r="H676" s="5" t="s">
        <v>53</v>
      </c>
      <c r="I676" s="5" t="s">
        <v>54</v>
      </c>
      <c r="J676" s="5" t="s">
        <v>55</v>
      </c>
      <c r="K676" s="5" t="s">
        <v>55</v>
      </c>
      <c r="L676" s="5" t="n">
        <v>4</v>
      </c>
      <c r="M676" s="5" t="n">
        <v>3</v>
      </c>
      <c r="N676" s="5" t="n">
        <v>6</v>
      </c>
      <c r="O676" s="5" t="n">
        <v>4</v>
      </c>
      <c r="P676" s="5" t="n">
        <v>1</v>
      </c>
      <c r="Q676" s="5" t="n">
        <v>0.5</v>
      </c>
      <c r="R676" s="5" t="n">
        <v>5</v>
      </c>
      <c r="S676" s="5" t="n">
        <v>6</v>
      </c>
      <c r="T676" s="5" t="s">
        <v>1726</v>
      </c>
      <c r="U676" s="6"/>
      <c r="V676" s="6"/>
      <c r="W676" s="6"/>
      <c r="X676" s="6"/>
      <c r="Y676" s="7" t="str">
        <f aca="false">IF(COUNT(U676:X676)=4,(W676-X676)/2,"")</f>
        <v/>
      </c>
      <c r="Z676" s="7" t="str">
        <f aca="false">IF(COUNT(U676:X676)=4,(U676-V676)/2,"")</f>
        <v/>
      </c>
      <c r="AA676" s="7" t="str">
        <f aca="false">IF(COUNT(U676:X676)=4,MAX(1,MIN(10,ROUNDUP(5-Z676,0))),"")</f>
        <v/>
      </c>
      <c r="AB676" s="7" t="str">
        <f aca="false">IF(COUNT(U676:X676)=4,MAX(1,MIN(10,ROUNDUP(Y676+5,0))),"")</f>
        <v/>
      </c>
      <c r="AC676" s="6"/>
      <c r="AD676" s="6"/>
    </row>
    <row r="677" customFormat="false" ht="15" hidden="false" customHeight="true" outlineLevel="0" collapsed="false">
      <c r="A677" s="5" t="n">
        <v>676</v>
      </c>
      <c r="B677" s="5" t="s">
        <v>1727</v>
      </c>
      <c r="C677" s="5" t="s">
        <v>145</v>
      </c>
      <c r="D677" s="5" t="s">
        <v>51</v>
      </c>
      <c r="E677" s="5" t="n">
        <v>163</v>
      </c>
      <c r="F677" s="5" t="s">
        <v>1728</v>
      </c>
      <c r="G677" s="5" t="n">
        <v>4</v>
      </c>
      <c r="H677" s="5" t="s">
        <v>53</v>
      </c>
      <c r="I677" s="5" t="s">
        <v>54</v>
      </c>
      <c r="J677" s="5" t="s">
        <v>55</v>
      </c>
      <c r="K677" s="5" t="s">
        <v>55</v>
      </c>
      <c r="L677" s="5" t="n">
        <v>4</v>
      </c>
      <c r="M677" s="5" t="n">
        <v>3</v>
      </c>
      <c r="N677" s="5" t="n">
        <v>3</v>
      </c>
      <c r="O677" s="5" t="n">
        <v>6</v>
      </c>
      <c r="P677" s="5" t="n">
        <v>-1.5</v>
      </c>
      <c r="Q677" s="5" t="n">
        <v>0.5</v>
      </c>
      <c r="R677" s="5" t="n">
        <v>5</v>
      </c>
      <c r="S677" s="5" t="n">
        <v>4</v>
      </c>
      <c r="T677" s="5" t="s">
        <v>519</v>
      </c>
      <c r="U677" s="6"/>
      <c r="V677" s="6"/>
      <c r="W677" s="6"/>
      <c r="X677" s="6"/>
      <c r="Y677" s="7" t="str">
        <f aca="false">IF(COUNT(U677:X677)=4,(W677-X677)/2,"")</f>
        <v/>
      </c>
      <c r="Z677" s="7" t="str">
        <f aca="false">IF(COUNT(U677:X677)=4,(U677-V677)/2,"")</f>
        <v/>
      </c>
      <c r="AA677" s="7" t="str">
        <f aca="false">IF(COUNT(U677:X677)=4,MAX(1,MIN(10,ROUNDUP(5-Z677,0))),"")</f>
        <v/>
      </c>
      <c r="AB677" s="7" t="str">
        <f aca="false">IF(COUNT(U677:X677)=4,MAX(1,MIN(10,ROUNDUP(Y677+5,0))),"")</f>
        <v/>
      </c>
      <c r="AC677" s="6"/>
      <c r="AD677" s="6"/>
    </row>
    <row r="678" customFormat="false" ht="15" hidden="false" customHeight="true" outlineLevel="0" collapsed="false">
      <c r="A678" s="5" t="n">
        <v>677</v>
      </c>
      <c r="B678" s="5" t="s">
        <v>1729</v>
      </c>
      <c r="C678" s="5" t="s">
        <v>145</v>
      </c>
      <c r="D678" s="5" t="s">
        <v>51</v>
      </c>
      <c r="E678" s="5" t="n">
        <v>163</v>
      </c>
      <c r="F678" s="5" t="s">
        <v>1730</v>
      </c>
      <c r="G678" s="5" t="n">
        <v>4</v>
      </c>
      <c r="H678" s="5" t="s">
        <v>53</v>
      </c>
      <c r="I678" s="5" t="s">
        <v>54</v>
      </c>
      <c r="J678" s="5" t="s">
        <v>55</v>
      </c>
      <c r="K678" s="5" t="s">
        <v>55</v>
      </c>
      <c r="L678" s="5" t="n">
        <v>6</v>
      </c>
      <c r="M678" s="5" t="n">
        <v>2</v>
      </c>
      <c r="N678" s="5" t="n">
        <v>4</v>
      </c>
      <c r="O678" s="5" t="n">
        <v>8</v>
      </c>
      <c r="P678" s="5" t="n">
        <v>-2</v>
      </c>
      <c r="Q678" s="5" t="n">
        <v>2</v>
      </c>
      <c r="R678" s="5" t="n">
        <v>3</v>
      </c>
      <c r="S678" s="5" t="n">
        <v>3</v>
      </c>
      <c r="T678" s="5" t="s">
        <v>1731</v>
      </c>
      <c r="U678" s="6"/>
      <c r="V678" s="6"/>
      <c r="W678" s="6"/>
      <c r="X678" s="6"/>
      <c r="Y678" s="7" t="str">
        <f aca="false">IF(COUNT(U678:X678)=4,(W678-X678)/2,"")</f>
        <v/>
      </c>
      <c r="Z678" s="7" t="str">
        <f aca="false">IF(COUNT(U678:X678)=4,(U678-V678)/2,"")</f>
        <v/>
      </c>
      <c r="AA678" s="7" t="str">
        <f aca="false">IF(COUNT(U678:X678)=4,MAX(1,MIN(10,ROUNDUP(5-Z678,0))),"")</f>
        <v/>
      </c>
      <c r="AB678" s="7" t="str">
        <f aca="false">IF(COUNT(U678:X678)=4,MAX(1,MIN(10,ROUNDUP(Y678+5,0))),"")</f>
        <v/>
      </c>
      <c r="AC678" s="6"/>
      <c r="AD678" s="6"/>
    </row>
    <row r="679" customFormat="false" ht="15" hidden="false" customHeight="true" outlineLevel="0" collapsed="false">
      <c r="A679" s="5" t="n">
        <v>678</v>
      </c>
      <c r="B679" s="5" t="s">
        <v>1732</v>
      </c>
      <c r="C679" s="5" t="s">
        <v>171</v>
      </c>
      <c r="D679" s="5" t="s">
        <v>172</v>
      </c>
      <c r="E679" s="5" t="n">
        <v>162</v>
      </c>
      <c r="F679" s="5" t="s">
        <v>1733</v>
      </c>
      <c r="G679" s="5" t="n">
        <v>4</v>
      </c>
      <c r="H679" s="5" t="s">
        <v>53</v>
      </c>
      <c r="I679" s="5" t="s">
        <v>54</v>
      </c>
      <c r="J679" s="5" t="s">
        <v>181</v>
      </c>
      <c r="K679" s="5" t="s">
        <v>309</v>
      </c>
      <c r="L679" s="5" t="n">
        <v>2</v>
      </c>
      <c r="M679" s="5" t="n">
        <v>5</v>
      </c>
      <c r="N679" s="5" t="n">
        <v>5</v>
      </c>
      <c r="O679" s="5" t="n">
        <v>4</v>
      </c>
      <c r="P679" s="5" t="n">
        <v>0.5</v>
      </c>
      <c r="Q679" s="5" t="n">
        <v>-1.5</v>
      </c>
      <c r="R679" s="5" t="n">
        <v>7</v>
      </c>
      <c r="S679" s="5" t="n">
        <v>6</v>
      </c>
      <c r="T679" s="5" t="s">
        <v>1734</v>
      </c>
      <c r="U679" s="6"/>
      <c r="V679" s="6"/>
      <c r="W679" s="6"/>
      <c r="X679" s="6"/>
      <c r="Y679" s="7" t="str">
        <f aca="false">IF(COUNT(U679:X679)=4,(W679-X679)/2,"")</f>
        <v/>
      </c>
      <c r="Z679" s="7" t="str">
        <f aca="false">IF(COUNT(U679:X679)=4,(U679-V679)/2,"")</f>
        <v/>
      </c>
      <c r="AA679" s="7" t="str">
        <f aca="false">IF(COUNT(U679:X679)=4,MAX(1,MIN(10,ROUNDUP(5-Z679,0))),"")</f>
        <v/>
      </c>
      <c r="AB679" s="7" t="str">
        <f aca="false">IF(COUNT(U679:X679)=4,MAX(1,MIN(10,ROUNDUP(Y679+5,0))),"")</f>
        <v/>
      </c>
      <c r="AC679" s="6"/>
      <c r="AD679" s="6"/>
    </row>
    <row r="680" customFormat="false" ht="15" hidden="false" customHeight="true" outlineLevel="0" collapsed="false">
      <c r="A680" s="5" t="n">
        <v>679</v>
      </c>
      <c r="B680" s="5" t="s">
        <v>1735</v>
      </c>
      <c r="C680" s="5" t="s">
        <v>108</v>
      </c>
      <c r="D680" s="5" t="s">
        <v>109</v>
      </c>
      <c r="E680" s="5" t="n">
        <v>162</v>
      </c>
      <c r="F680" s="5" t="s">
        <v>1735</v>
      </c>
      <c r="G680" s="5" t="n">
        <v>4</v>
      </c>
      <c r="H680" s="5" t="s">
        <v>53</v>
      </c>
      <c r="I680" s="5" t="s">
        <v>54</v>
      </c>
      <c r="J680" s="5" t="s">
        <v>117</v>
      </c>
      <c r="K680" s="5" t="s">
        <v>117</v>
      </c>
      <c r="L680" s="5" t="n">
        <v>3</v>
      </c>
      <c r="M680" s="5" t="n">
        <v>1</v>
      </c>
      <c r="N680" s="5" t="n">
        <v>2</v>
      </c>
      <c r="O680" s="5" t="n">
        <v>7</v>
      </c>
      <c r="P680" s="5" t="n">
        <v>-2.5</v>
      </c>
      <c r="Q680" s="5" t="n">
        <v>1</v>
      </c>
      <c r="R680" s="5" t="n">
        <v>4</v>
      </c>
      <c r="S680" s="5" t="n">
        <v>3</v>
      </c>
      <c r="T680" s="5" t="s">
        <v>1002</v>
      </c>
      <c r="U680" s="6"/>
      <c r="V680" s="6"/>
      <c r="W680" s="6"/>
      <c r="X680" s="6"/>
      <c r="Y680" s="7" t="str">
        <f aca="false">IF(COUNT(U680:X680)=4,(W680-X680)/2,"")</f>
        <v/>
      </c>
      <c r="Z680" s="7" t="str">
        <f aca="false">IF(COUNT(U680:X680)=4,(U680-V680)/2,"")</f>
        <v/>
      </c>
      <c r="AA680" s="7" t="str">
        <f aca="false">IF(COUNT(U680:X680)=4,MAX(1,MIN(10,ROUNDUP(5-Z680,0))),"")</f>
        <v/>
      </c>
      <c r="AB680" s="7" t="str">
        <f aca="false">IF(COUNT(U680:X680)=4,MAX(1,MIN(10,ROUNDUP(Y680+5,0))),"")</f>
        <v/>
      </c>
      <c r="AC680" s="6"/>
      <c r="AD680" s="6"/>
    </row>
    <row r="681" customFormat="false" ht="15" hidden="false" customHeight="true" outlineLevel="0" collapsed="false">
      <c r="A681" s="5" t="n">
        <v>680</v>
      </c>
      <c r="B681" s="5" t="s">
        <v>1736</v>
      </c>
      <c r="C681" s="5" t="s">
        <v>108</v>
      </c>
      <c r="D681" s="5" t="s">
        <v>109</v>
      </c>
      <c r="E681" s="5" t="n">
        <v>162</v>
      </c>
      <c r="F681" s="5" t="s">
        <v>1736</v>
      </c>
      <c r="G681" s="5" t="n">
        <v>4</v>
      </c>
      <c r="H681" s="5" t="s">
        <v>53</v>
      </c>
      <c r="I681" s="5" t="s">
        <v>64</v>
      </c>
      <c r="J681" s="5"/>
      <c r="K681" s="5"/>
      <c r="L681" s="5" t="n">
        <v>6</v>
      </c>
      <c r="M681" s="5" t="n">
        <v>1</v>
      </c>
      <c r="N681" s="5" t="n">
        <v>9</v>
      </c>
      <c r="O681" s="5" t="n">
        <v>1</v>
      </c>
      <c r="P681" s="5" t="n">
        <v>4</v>
      </c>
      <c r="Q681" s="5" t="n">
        <v>2.5</v>
      </c>
      <c r="R681" s="5" t="n">
        <v>3</v>
      </c>
      <c r="S681" s="5" t="n">
        <v>9</v>
      </c>
      <c r="T681" s="5" t="s">
        <v>1737</v>
      </c>
      <c r="U681" s="6"/>
      <c r="V681" s="6"/>
      <c r="W681" s="6"/>
      <c r="X681" s="6"/>
      <c r="Y681" s="7" t="str">
        <f aca="false">IF(COUNT(U681:X681)=4,(W681-X681)/2,"")</f>
        <v/>
      </c>
      <c r="Z681" s="7" t="str">
        <f aca="false">IF(COUNT(U681:X681)=4,(U681-V681)/2,"")</f>
        <v/>
      </c>
      <c r="AA681" s="7" t="str">
        <f aca="false">IF(COUNT(U681:X681)=4,MAX(1,MIN(10,ROUNDUP(5-Z681,0))),"")</f>
        <v/>
      </c>
      <c r="AB681" s="7" t="str">
        <f aca="false">IF(COUNT(U681:X681)=4,MAX(1,MIN(10,ROUNDUP(Y681+5,0))),"")</f>
        <v/>
      </c>
      <c r="AC681" s="6"/>
      <c r="AD681" s="6"/>
    </row>
    <row r="682" customFormat="false" ht="15" hidden="false" customHeight="true" outlineLevel="0" collapsed="false">
      <c r="A682" s="5" t="n">
        <v>681</v>
      </c>
      <c r="B682" s="5" t="s">
        <v>1738</v>
      </c>
      <c r="C682" s="5" t="s">
        <v>203</v>
      </c>
      <c r="D682" s="5" t="s">
        <v>204</v>
      </c>
      <c r="E682" s="5" t="n">
        <v>162</v>
      </c>
      <c r="F682" s="5" t="s">
        <v>1738</v>
      </c>
      <c r="G682" s="5" t="n">
        <v>4</v>
      </c>
      <c r="H682" s="5" t="s">
        <v>53</v>
      </c>
      <c r="I682" s="5" t="s">
        <v>54</v>
      </c>
      <c r="J682" s="5" t="s">
        <v>117</v>
      </c>
      <c r="K682" s="5" t="s">
        <v>117</v>
      </c>
      <c r="L682" s="5" t="n">
        <v>3</v>
      </c>
      <c r="M682" s="5" t="n">
        <v>1</v>
      </c>
      <c r="N682" s="5" t="n">
        <v>2</v>
      </c>
      <c r="O682" s="5" t="n">
        <v>8</v>
      </c>
      <c r="P682" s="5" t="n">
        <v>-3</v>
      </c>
      <c r="Q682" s="5" t="n">
        <v>1</v>
      </c>
      <c r="R682" s="5" t="n">
        <v>4</v>
      </c>
      <c r="S682" s="5" t="n">
        <v>2</v>
      </c>
      <c r="T682" s="5" t="s">
        <v>1739</v>
      </c>
      <c r="U682" s="6"/>
      <c r="V682" s="6"/>
      <c r="W682" s="6"/>
      <c r="X682" s="6"/>
      <c r="Y682" s="7" t="str">
        <f aca="false">IF(COUNT(U682:X682)=4,(W682-X682)/2,"")</f>
        <v/>
      </c>
      <c r="Z682" s="7" t="str">
        <f aca="false">IF(COUNT(U682:X682)=4,(U682-V682)/2,"")</f>
        <v/>
      </c>
      <c r="AA682" s="7" t="str">
        <f aca="false">IF(COUNT(U682:X682)=4,MAX(1,MIN(10,ROUNDUP(5-Z682,0))),"")</f>
        <v/>
      </c>
      <c r="AB682" s="7" t="str">
        <f aca="false">IF(COUNT(U682:X682)=4,MAX(1,MIN(10,ROUNDUP(Y682+5,0))),"")</f>
        <v/>
      </c>
      <c r="AC682" s="6"/>
      <c r="AD682" s="6"/>
    </row>
    <row r="683" customFormat="false" ht="15" hidden="false" customHeight="true" outlineLevel="0" collapsed="false">
      <c r="A683" s="5" t="n">
        <v>682</v>
      </c>
      <c r="B683" s="5" t="s">
        <v>1740</v>
      </c>
      <c r="C683" s="5" t="s">
        <v>145</v>
      </c>
      <c r="D683" s="5" t="s">
        <v>51</v>
      </c>
      <c r="E683" s="5" t="n">
        <v>162</v>
      </c>
      <c r="F683" s="5" t="s">
        <v>1741</v>
      </c>
      <c r="G683" s="5" t="n">
        <v>4</v>
      </c>
      <c r="H683" s="5" t="s">
        <v>53</v>
      </c>
      <c r="I683" s="5" t="s">
        <v>54</v>
      </c>
      <c r="J683" s="5" t="s">
        <v>55</v>
      </c>
      <c r="K683" s="5" t="s">
        <v>55</v>
      </c>
      <c r="L683" s="5" t="n">
        <v>7</v>
      </c>
      <c r="M683" s="5" t="n">
        <v>2</v>
      </c>
      <c r="N683" s="5" t="n">
        <v>3</v>
      </c>
      <c r="O683" s="5" t="n">
        <v>8</v>
      </c>
      <c r="P683" s="5" t="n">
        <v>-2.5</v>
      </c>
      <c r="Q683" s="5" t="n">
        <v>2.5</v>
      </c>
      <c r="R683" s="5" t="n">
        <v>3</v>
      </c>
      <c r="S683" s="5" t="n">
        <v>3</v>
      </c>
      <c r="T683" s="5" t="s">
        <v>1742</v>
      </c>
      <c r="U683" s="6"/>
      <c r="V683" s="6"/>
      <c r="W683" s="6"/>
      <c r="X683" s="6"/>
      <c r="Y683" s="7" t="str">
        <f aca="false">IF(COUNT(U683:X683)=4,(W683-X683)/2,"")</f>
        <v/>
      </c>
      <c r="Z683" s="7" t="str">
        <f aca="false">IF(COUNT(U683:X683)=4,(U683-V683)/2,"")</f>
        <v/>
      </c>
      <c r="AA683" s="7" t="str">
        <f aca="false">IF(COUNT(U683:X683)=4,MAX(1,MIN(10,ROUNDUP(5-Z683,0))),"")</f>
        <v/>
      </c>
      <c r="AB683" s="7" t="str">
        <f aca="false">IF(COUNT(U683:X683)=4,MAX(1,MIN(10,ROUNDUP(Y683+5,0))),"")</f>
        <v/>
      </c>
      <c r="AC683" s="6"/>
      <c r="AD683" s="6"/>
    </row>
    <row r="684" customFormat="false" ht="15" hidden="false" customHeight="true" outlineLevel="0" collapsed="false">
      <c r="A684" s="5" t="n">
        <v>683</v>
      </c>
      <c r="B684" s="5" t="s">
        <v>1743</v>
      </c>
      <c r="C684" s="5" t="s">
        <v>145</v>
      </c>
      <c r="D684" s="5" t="s">
        <v>51</v>
      </c>
      <c r="E684" s="5" t="n">
        <v>162</v>
      </c>
      <c r="F684" s="5" t="s">
        <v>1744</v>
      </c>
      <c r="G684" s="5" t="n">
        <v>4</v>
      </c>
      <c r="H684" s="5" t="s">
        <v>53</v>
      </c>
      <c r="I684" s="5" t="s">
        <v>54</v>
      </c>
      <c r="J684" s="5" t="s">
        <v>55</v>
      </c>
      <c r="K684" s="5" t="s">
        <v>55</v>
      </c>
      <c r="L684" s="5" t="n">
        <v>5</v>
      </c>
      <c r="M684" s="5" t="n">
        <v>4</v>
      </c>
      <c r="N684" s="5" t="n">
        <v>7</v>
      </c>
      <c r="O684" s="5" t="n">
        <v>3</v>
      </c>
      <c r="P684" s="5" t="n">
        <v>2</v>
      </c>
      <c r="Q684" s="5" t="n">
        <v>0.5</v>
      </c>
      <c r="R684" s="5" t="n">
        <v>5</v>
      </c>
      <c r="S684" s="5" t="n">
        <v>7</v>
      </c>
      <c r="T684" s="5" t="s">
        <v>1745</v>
      </c>
      <c r="U684" s="6"/>
      <c r="V684" s="6"/>
      <c r="W684" s="6"/>
      <c r="X684" s="6"/>
      <c r="Y684" s="7" t="str">
        <f aca="false">IF(COUNT(U684:X684)=4,(W684-X684)/2,"")</f>
        <v/>
      </c>
      <c r="Z684" s="7" t="str">
        <f aca="false">IF(COUNT(U684:X684)=4,(U684-V684)/2,"")</f>
        <v/>
      </c>
      <c r="AA684" s="7" t="str">
        <f aca="false">IF(COUNT(U684:X684)=4,MAX(1,MIN(10,ROUNDUP(5-Z684,0))),"")</f>
        <v/>
      </c>
      <c r="AB684" s="7" t="str">
        <f aca="false">IF(COUNT(U684:X684)=4,MAX(1,MIN(10,ROUNDUP(Y684+5,0))),"")</f>
        <v/>
      </c>
      <c r="AC684" s="6"/>
      <c r="AD684" s="6"/>
    </row>
    <row r="685" customFormat="false" ht="15" hidden="false" customHeight="true" outlineLevel="0" collapsed="false">
      <c r="A685" s="5" t="n">
        <v>684</v>
      </c>
      <c r="B685" s="5" t="s">
        <v>1746</v>
      </c>
      <c r="C685" s="5" t="s">
        <v>171</v>
      </c>
      <c r="D685" s="5" t="s">
        <v>172</v>
      </c>
      <c r="E685" s="5" t="n">
        <v>161</v>
      </c>
      <c r="F685" s="5" t="s">
        <v>1746</v>
      </c>
      <c r="G685" s="5" t="n">
        <v>4</v>
      </c>
      <c r="H685" s="5" t="s">
        <v>53</v>
      </c>
      <c r="I685" s="5" t="s">
        <v>54</v>
      </c>
      <c r="J685" s="5" t="s">
        <v>181</v>
      </c>
      <c r="K685" s="5" t="s">
        <v>235</v>
      </c>
      <c r="L685" s="5" t="n">
        <v>5</v>
      </c>
      <c r="M685" s="5" t="n">
        <v>4</v>
      </c>
      <c r="N685" s="5" t="n">
        <v>7</v>
      </c>
      <c r="O685" s="5" t="n">
        <v>4</v>
      </c>
      <c r="P685" s="5" t="n">
        <v>1.5</v>
      </c>
      <c r="Q685" s="5" t="n">
        <v>0.5</v>
      </c>
      <c r="R685" s="5" t="n">
        <v>5</v>
      </c>
      <c r="S685" s="5" t="n">
        <v>7</v>
      </c>
      <c r="T685" s="5" t="s">
        <v>114</v>
      </c>
      <c r="U685" s="6"/>
      <c r="V685" s="6"/>
      <c r="W685" s="6"/>
      <c r="X685" s="6"/>
      <c r="Y685" s="7" t="str">
        <f aca="false">IF(COUNT(U685:X685)=4,(W685-X685)/2,"")</f>
        <v/>
      </c>
      <c r="Z685" s="7" t="str">
        <f aca="false">IF(COUNT(U685:X685)=4,(U685-V685)/2,"")</f>
        <v/>
      </c>
      <c r="AA685" s="7" t="str">
        <f aca="false">IF(COUNT(U685:X685)=4,MAX(1,MIN(10,ROUNDUP(5-Z685,0))),"")</f>
        <v/>
      </c>
      <c r="AB685" s="7" t="str">
        <f aca="false">IF(COUNT(U685:X685)=4,MAX(1,MIN(10,ROUNDUP(Y685+5,0))),"")</f>
        <v/>
      </c>
      <c r="AC685" s="6"/>
      <c r="AD685" s="6"/>
    </row>
    <row r="686" customFormat="false" ht="15" hidden="false" customHeight="true" outlineLevel="0" collapsed="false">
      <c r="A686" s="5" t="n">
        <v>685</v>
      </c>
      <c r="B686" s="5" t="s">
        <v>1747</v>
      </c>
      <c r="C686" s="5" t="s">
        <v>171</v>
      </c>
      <c r="D686" s="5" t="s">
        <v>172</v>
      </c>
      <c r="E686" s="5" t="n">
        <v>161</v>
      </c>
      <c r="F686" s="5" t="s">
        <v>1748</v>
      </c>
      <c r="G686" s="5" t="n">
        <v>4</v>
      </c>
      <c r="H686" s="5" t="s">
        <v>53</v>
      </c>
      <c r="I686" s="5" t="s">
        <v>54</v>
      </c>
      <c r="J686" s="5" t="s">
        <v>181</v>
      </c>
      <c r="K686" s="5" t="s">
        <v>235</v>
      </c>
      <c r="L686" s="5" t="n">
        <v>2</v>
      </c>
      <c r="M686" s="5" t="n">
        <v>9</v>
      </c>
      <c r="N686" s="5" t="n">
        <v>7</v>
      </c>
      <c r="O686" s="5" t="n">
        <v>4</v>
      </c>
      <c r="P686" s="5" t="n">
        <v>1.5</v>
      </c>
      <c r="Q686" s="5" t="n">
        <v>-3.5</v>
      </c>
      <c r="R686" s="5" t="n">
        <v>9</v>
      </c>
      <c r="S686" s="5" t="n">
        <v>7</v>
      </c>
      <c r="T686" s="5" t="s">
        <v>1749</v>
      </c>
      <c r="U686" s="6"/>
      <c r="V686" s="6"/>
      <c r="W686" s="6"/>
      <c r="X686" s="6"/>
      <c r="Y686" s="7" t="str">
        <f aca="false">IF(COUNT(U686:X686)=4,(W686-X686)/2,"")</f>
        <v/>
      </c>
      <c r="Z686" s="7" t="str">
        <f aca="false">IF(COUNT(U686:X686)=4,(U686-V686)/2,"")</f>
        <v/>
      </c>
      <c r="AA686" s="7" t="str">
        <f aca="false">IF(COUNT(U686:X686)=4,MAX(1,MIN(10,ROUNDUP(5-Z686,0))),"")</f>
        <v/>
      </c>
      <c r="AB686" s="7" t="str">
        <f aca="false">IF(COUNT(U686:X686)=4,MAX(1,MIN(10,ROUNDUP(Y686+5,0))),"")</f>
        <v/>
      </c>
      <c r="AC686" s="6"/>
      <c r="AD686" s="6"/>
    </row>
    <row r="687" customFormat="false" ht="15" hidden="false" customHeight="true" outlineLevel="0" collapsed="false">
      <c r="A687" s="5" t="n">
        <v>686</v>
      </c>
      <c r="B687" s="5" t="s">
        <v>1750</v>
      </c>
      <c r="C687" s="5" t="s">
        <v>171</v>
      </c>
      <c r="D687" s="5" t="s">
        <v>172</v>
      </c>
      <c r="E687" s="5" t="n">
        <v>161</v>
      </c>
      <c r="F687" s="5" t="s">
        <v>1751</v>
      </c>
      <c r="G687" s="5" t="n">
        <v>4</v>
      </c>
      <c r="H687" s="5" t="s">
        <v>53</v>
      </c>
      <c r="I687" s="5" t="s">
        <v>54</v>
      </c>
      <c r="J687" s="5" t="s">
        <v>117</v>
      </c>
      <c r="K687" s="5" t="s">
        <v>117</v>
      </c>
      <c r="L687" s="5" t="n">
        <v>4</v>
      </c>
      <c r="M687" s="5" t="n">
        <v>3</v>
      </c>
      <c r="N687" s="5" t="n">
        <v>2</v>
      </c>
      <c r="O687" s="5" t="n">
        <v>8</v>
      </c>
      <c r="P687" s="5" t="n">
        <v>-3</v>
      </c>
      <c r="Q687" s="5" t="n">
        <v>0.5</v>
      </c>
      <c r="R687" s="5" t="n">
        <v>5</v>
      </c>
      <c r="S687" s="5" t="n">
        <v>2</v>
      </c>
      <c r="T687" s="5" t="s">
        <v>1056</v>
      </c>
      <c r="U687" s="6"/>
      <c r="V687" s="6"/>
      <c r="W687" s="6"/>
      <c r="X687" s="6"/>
      <c r="Y687" s="7" t="str">
        <f aca="false">IF(COUNT(U687:X687)=4,(W687-X687)/2,"")</f>
        <v/>
      </c>
      <c r="Z687" s="7" t="str">
        <f aca="false">IF(COUNT(U687:X687)=4,(U687-V687)/2,"")</f>
        <v/>
      </c>
      <c r="AA687" s="7" t="str">
        <f aca="false">IF(COUNT(U687:X687)=4,MAX(1,MIN(10,ROUNDUP(5-Z687,0))),"")</f>
        <v/>
      </c>
      <c r="AB687" s="7" t="str">
        <f aca="false">IF(COUNT(U687:X687)=4,MAX(1,MIN(10,ROUNDUP(Y687+5,0))),"")</f>
        <v/>
      </c>
      <c r="AC687" s="6"/>
      <c r="AD687" s="6"/>
    </row>
    <row r="688" customFormat="false" ht="15" hidden="false" customHeight="true" outlineLevel="0" collapsed="false">
      <c r="A688" s="5" t="n">
        <v>687</v>
      </c>
      <c r="B688" s="5" t="s">
        <v>1752</v>
      </c>
      <c r="C688" s="5" t="s">
        <v>145</v>
      </c>
      <c r="D688" s="5" t="s">
        <v>51</v>
      </c>
      <c r="E688" s="5" t="n">
        <v>161</v>
      </c>
      <c r="F688" s="5" t="s">
        <v>1753</v>
      </c>
      <c r="G688" s="5" t="n">
        <v>4</v>
      </c>
      <c r="H688" s="5" t="s">
        <v>53</v>
      </c>
      <c r="I688" s="5" t="s">
        <v>54</v>
      </c>
      <c r="J688" s="5" t="s">
        <v>55</v>
      </c>
      <c r="K688" s="5" t="s">
        <v>55</v>
      </c>
      <c r="L688" s="5" t="n">
        <v>5</v>
      </c>
      <c r="M688" s="5" t="n">
        <v>3</v>
      </c>
      <c r="N688" s="5" t="n">
        <v>4</v>
      </c>
      <c r="O688" s="5" t="n">
        <v>6</v>
      </c>
      <c r="P688" s="5" t="n">
        <v>-1</v>
      </c>
      <c r="Q688" s="5" t="n">
        <v>1</v>
      </c>
      <c r="R688" s="5" t="n">
        <v>4</v>
      </c>
      <c r="S688" s="5" t="n">
        <v>4</v>
      </c>
      <c r="T688" s="5" t="s">
        <v>1754</v>
      </c>
      <c r="U688" s="6"/>
      <c r="V688" s="6"/>
      <c r="W688" s="6"/>
      <c r="X688" s="6"/>
      <c r="Y688" s="7" t="str">
        <f aca="false">IF(COUNT(U688:X688)=4,(W688-X688)/2,"")</f>
        <v/>
      </c>
      <c r="Z688" s="7" t="str">
        <f aca="false">IF(COUNT(U688:X688)=4,(U688-V688)/2,"")</f>
        <v/>
      </c>
      <c r="AA688" s="7" t="str">
        <f aca="false">IF(COUNT(U688:X688)=4,MAX(1,MIN(10,ROUNDUP(5-Z688,0))),"")</f>
        <v/>
      </c>
      <c r="AB688" s="7" t="str">
        <f aca="false">IF(COUNT(U688:X688)=4,MAX(1,MIN(10,ROUNDUP(Y688+5,0))),"")</f>
        <v/>
      </c>
      <c r="AC688" s="6"/>
      <c r="AD688" s="6"/>
    </row>
    <row r="689" customFormat="false" ht="15" hidden="false" customHeight="true" outlineLevel="0" collapsed="false">
      <c r="A689" s="5" t="n">
        <v>688</v>
      </c>
      <c r="B689" s="5" t="s">
        <v>1755</v>
      </c>
      <c r="C689" s="5" t="s">
        <v>203</v>
      </c>
      <c r="D689" s="5" t="s">
        <v>204</v>
      </c>
      <c r="E689" s="5" t="n">
        <v>161</v>
      </c>
      <c r="F689" s="5" t="s">
        <v>1756</v>
      </c>
      <c r="G689" s="5" t="n">
        <v>4</v>
      </c>
      <c r="H689" s="5" t="s">
        <v>53</v>
      </c>
      <c r="I689" s="5" t="s">
        <v>54</v>
      </c>
      <c r="J689" s="5" t="s">
        <v>117</v>
      </c>
      <c r="K689" s="5" t="s">
        <v>117</v>
      </c>
      <c r="L689" s="5" t="n">
        <v>4</v>
      </c>
      <c r="M689" s="5" t="n">
        <v>1</v>
      </c>
      <c r="N689" s="5" t="n">
        <v>2</v>
      </c>
      <c r="O689" s="5" t="n">
        <v>8</v>
      </c>
      <c r="P689" s="5" t="n">
        <v>-3</v>
      </c>
      <c r="Q689" s="5" t="n">
        <v>1.5</v>
      </c>
      <c r="R689" s="5" t="n">
        <v>4</v>
      </c>
      <c r="S689" s="5" t="n">
        <v>2</v>
      </c>
      <c r="T689" s="5" t="s">
        <v>1757</v>
      </c>
      <c r="U689" s="6"/>
      <c r="V689" s="6"/>
      <c r="W689" s="6"/>
      <c r="X689" s="6"/>
      <c r="Y689" s="7" t="str">
        <f aca="false">IF(COUNT(U689:X689)=4,(W689-X689)/2,"")</f>
        <v/>
      </c>
      <c r="Z689" s="7" t="str">
        <f aca="false">IF(COUNT(U689:X689)=4,(U689-V689)/2,"")</f>
        <v/>
      </c>
      <c r="AA689" s="7" t="str">
        <f aca="false">IF(COUNT(U689:X689)=4,MAX(1,MIN(10,ROUNDUP(5-Z689,0))),"")</f>
        <v/>
      </c>
      <c r="AB689" s="7" t="str">
        <f aca="false">IF(COUNT(U689:X689)=4,MAX(1,MIN(10,ROUNDUP(Y689+5,0))),"")</f>
        <v/>
      </c>
      <c r="AC689" s="6"/>
      <c r="AD689" s="6"/>
    </row>
    <row r="690" customFormat="false" ht="15" hidden="false" customHeight="true" outlineLevel="0" collapsed="false">
      <c r="A690" s="5" t="n">
        <v>689</v>
      </c>
      <c r="B690" s="5" t="s">
        <v>1758</v>
      </c>
      <c r="C690" s="5" t="s">
        <v>203</v>
      </c>
      <c r="D690" s="5" t="s">
        <v>204</v>
      </c>
      <c r="E690" s="5" t="n">
        <v>161</v>
      </c>
      <c r="F690" s="5" t="s">
        <v>1758</v>
      </c>
      <c r="G690" s="5" t="n">
        <v>4</v>
      </c>
      <c r="H690" s="5" t="s">
        <v>53</v>
      </c>
      <c r="I690" s="5" t="s">
        <v>54</v>
      </c>
      <c r="J690" s="5" t="s">
        <v>117</v>
      </c>
      <c r="K690" s="5" t="s">
        <v>117</v>
      </c>
      <c r="L690" s="5" t="n">
        <v>2</v>
      </c>
      <c r="M690" s="5" t="n">
        <v>7</v>
      </c>
      <c r="N690" s="5" t="n">
        <v>8</v>
      </c>
      <c r="O690" s="5" t="n">
        <v>2</v>
      </c>
      <c r="P690" s="5" t="n">
        <v>3</v>
      </c>
      <c r="Q690" s="5" t="n">
        <v>-2.5</v>
      </c>
      <c r="R690" s="5" t="n">
        <v>8</v>
      </c>
      <c r="S690" s="5" t="n">
        <v>8</v>
      </c>
      <c r="T690" s="5" t="s">
        <v>1759</v>
      </c>
      <c r="U690" s="6"/>
      <c r="V690" s="6"/>
      <c r="W690" s="6"/>
      <c r="X690" s="6"/>
      <c r="Y690" s="7" t="str">
        <f aca="false">IF(COUNT(U690:X690)=4,(W690-X690)/2,"")</f>
        <v/>
      </c>
      <c r="Z690" s="7" t="str">
        <f aca="false">IF(COUNT(U690:X690)=4,(U690-V690)/2,"")</f>
        <v/>
      </c>
      <c r="AA690" s="7" t="str">
        <f aca="false">IF(COUNT(U690:X690)=4,MAX(1,MIN(10,ROUNDUP(5-Z690,0))),"")</f>
        <v/>
      </c>
      <c r="AB690" s="7" t="str">
        <f aca="false">IF(COUNT(U690:X690)=4,MAX(1,MIN(10,ROUNDUP(Y690+5,0))),"")</f>
        <v/>
      </c>
      <c r="AC690" s="6"/>
      <c r="AD690" s="6"/>
    </row>
    <row r="691" customFormat="false" ht="15" hidden="false" customHeight="true" outlineLevel="0" collapsed="false">
      <c r="A691" s="5" t="n">
        <v>690</v>
      </c>
      <c r="B691" s="5" t="s">
        <v>1760</v>
      </c>
      <c r="C691" s="5" t="s">
        <v>171</v>
      </c>
      <c r="D691" s="5" t="s">
        <v>172</v>
      </c>
      <c r="E691" s="5" t="n">
        <v>161</v>
      </c>
      <c r="F691" s="5" t="s">
        <v>1761</v>
      </c>
      <c r="G691" s="5" t="n">
        <v>4</v>
      </c>
      <c r="H691" s="5" t="s">
        <v>53</v>
      </c>
      <c r="I691" s="5" t="s">
        <v>54</v>
      </c>
      <c r="J691" s="5" t="s">
        <v>181</v>
      </c>
      <c r="K691" s="5" t="s">
        <v>333</v>
      </c>
      <c r="L691" s="5" t="n">
        <v>0</v>
      </c>
      <c r="M691" s="5" t="n">
        <v>10</v>
      </c>
      <c r="N691" s="5" t="n">
        <v>9</v>
      </c>
      <c r="O691" s="5" t="n">
        <v>1</v>
      </c>
      <c r="P691" s="5" t="n">
        <v>4</v>
      </c>
      <c r="Q691" s="5" t="n">
        <v>-5</v>
      </c>
      <c r="R691" s="5" t="n">
        <v>10</v>
      </c>
      <c r="S691" s="5" t="n">
        <v>9</v>
      </c>
      <c r="T691" s="5" t="s">
        <v>1762</v>
      </c>
      <c r="U691" s="6"/>
      <c r="V691" s="6"/>
      <c r="W691" s="6"/>
      <c r="X691" s="6"/>
      <c r="Y691" s="7" t="str">
        <f aca="false">IF(COUNT(U691:X691)=4,(W691-X691)/2,"")</f>
        <v/>
      </c>
      <c r="Z691" s="7" t="str">
        <f aca="false">IF(COUNT(U691:X691)=4,(U691-V691)/2,"")</f>
        <v/>
      </c>
      <c r="AA691" s="7" t="str">
        <f aca="false">IF(COUNT(U691:X691)=4,MAX(1,MIN(10,ROUNDUP(5-Z691,0))),"")</f>
        <v/>
      </c>
      <c r="AB691" s="7" t="str">
        <f aca="false">IF(COUNT(U691:X691)=4,MAX(1,MIN(10,ROUNDUP(Y691+5,0))),"")</f>
        <v/>
      </c>
      <c r="AC691" s="6"/>
      <c r="AD691" s="6"/>
    </row>
    <row r="692" customFormat="false" ht="15" hidden="false" customHeight="true" outlineLevel="0" collapsed="false">
      <c r="A692" s="5" t="n">
        <v>691</v>
      </c>
      <c r="B692" s="5" t="s">
        <v>1763</v>
      </c>
      <c r="C692" s="5" t="s">
        <v>171</v>
      </c>
      <c r="D692" s="5" t="s">
        <v>172</v>
      </c>
      <c r="E692" s="5" t="n">
        <v>161</v>
      </c>
      <c r="F692" s="5" t="s">
        <v>1764</v>
      </c>
      <c r="G692" s="5" t="n">
        <v>4</v>
      </c>
      <c r="H692" s="5" t="s">
        <v>53</v>
      </c>
      <c r="I692" s="5" t="s">
        <v>54</v>
      </c>
      <c r="J692" s="5" t="s">
        <v>181</v>
      </c>
      <c r="K692" s="5" t="s">
        <v>413</v>
      </c>
      <c r="L692" s="5" t="n">
        <v>7</v>
      </c>
      <c r="M692" s="5" t="n">
        <v>3</v>
      </c>
      <c r="N692" s="5" t="n">
        <v>3</v>
      </c>
      <c r="O692" s="5" t="n">
        <v>8</v>
      </c>
      <c r="P692" s="5" t="n">
        <v>-2.5</v>
      </c>
      <c r="Q692" s="5" t="n">
        <v>2</v>
      </c>
      <c r="R692" s="5" t="n">
        <v>3</v>
      </c>
      <c r="S692" s="5" t="n">
        <v>3</v>
      </c>
      <c r="T692" s="5" t="s">
        <v>705</v>
      </c>
      <c r="U692" s="6"/>
      <c r="V692" s="6"/>
      <c r="W692" s="6"/>
      <c r="X692" s="6"/>
      <c r="Y692" s="7" t="str">
        <f aca="false">IF(COUNT(U692:X692)=4,(W692-X692)/2,"")</f>
        <v/>
      </c>
      <c r="Z692" s="7" t="str">
        <f aca="false">IF(COUNT(U692:X692)=4,(U692-V692)/2,"")</f>
        <v/>
      </c>
      <c r="AA692" s="7" t="str">
        <f aca="false">IF(COUNT(U692:X692)=4,MAX(1,MIN(10,ROUNDUP(5-Z692,0))),"")</f>
        <v/>
      </c>
      <c r="AB692" s="7" t="str">
        <f aca="false">IF(COUNT(U692:X692)=4,MAX(1,MIN(10,ROUNDUP(Y692+5,0))),"")</f>
        <v/>
      </c>
      <c r="AC692" s="6"/>
      <c r="AD692" s="6"/>
    </row>
    <row r="693" customFormat="false" ht="15" hidden="false" customHeight="true" outlineLevel="0" collapsed="false">
      <c r="A693" s="5" t="n">
        <v>692</v>
      </c>
      <c r="B693" s="5" t="s">
        <v>1765</v>
      </c>
      <c r="C693" s="5" t="s">
        <v>171</v>
      </c>
      <c r="D693" s="5" t="s">
        <v>172</v>
      </c>
      <c r="E693" s="5" t="n">
        <v>161</v>
      </c>
      <c r="F693" s="5" t="s">
        <v>1766</v>
      </c>
      <c r="G693" s="5" t="n">
        <v>4</v>
      </c>
      <c r="H693" s="5" t="s">
        <v>53</v>
      </c>
      <c r="I693" s="5" t="s">
        <v>54</v>
      </c>
      <c r="J693" s="5" t="s">
        <v>181</v>
      </c>
      <c r="K693" s="5" t="s">
        <v>1767</v>
      </c>
      <c r="L693" s="5" t="n">
        <v>3</v>
      </c>
      <c r="M693" s="5" t="n">
        <v>5</v>
      </c>
      <c r="N693" s="5" t="n">
        <v>8</v>
      </c>
      <c r="O693" s="5" t="n">
        <v>4</v>
      </c>
      <c r="P693" s="5" t="n">
        <v>2</v>
      </c>
      <c r="Q693" s="5" t="n">
        <v>-1</v>
      </c>
      <c r="R693" s="5" t="n">
        <v>6</v>
      </c>
      <c r="S693" s="5" t="n">
        <v>7</v>
      </c>
      <c r="T693" s="5" t="s">
        <v>1768</v>
      </c>
      <c r="U693" s="6"/>
      <c r="V693" s="6"/>
      <c r="W693" s="6"/>
      <c r="X693" s="6"/>
      <c r="Y693" s="7" t="str">
        <f aca="false">IF(COUNT(U693:X693)=4,(W693-X693)/2,"")</f>
        <v/>
      </c>
      <c r="Z693" s="7" t="str">
        <f aca="false">IF(COUNT(U693:X693)=4,(U693-V693)/2,"")</f>
        <v/>
      </c>
      <c r="AA693" s="7" t="str">
        <f aca="false">IF(COUNT(U693:X693)=4,MAX(1,MIN(10,ROUNDUP(5-Z693,0))),"")</f>
        <v/>
      </c>
      <c r="AB693" s="7" t="str">
        <f aca="false">IF(COUNT(U693:X693)=4,MAX(1,MIN(10,ROUNDUP(Y693+5,0))),"")</f>
        <v/>
      </c>
      <c r="AC693" s="6"/>
      <c r="AD693" s="6"/>
    </row>
    <row r="694" customFormat="false" ht="15" hidden="false" customHeight="true" outlineLevel="0" collapsed="false">
      <c r="A694" s="5" t="n">
        <v>693</v>
      </c>
      <c r="B694" s="5" t="s">
        <v>1769</v>
      </c>
      <c r="C694" s="5" t="s">
        <v>171</v>
      </c>
      <c r="D694" s="5" t="s">
        <v>172</v>
      </c>
      <c r="E694" s="5" t="n">
        <v>161</v>
      </c>
      <c r="F694" s="5" t="s">
        <v>1770</v>
      </c>
      <c r="G694" s="5" t="n">
        <v>4</v>
      </c>
      <c r="H694" s="5" t="s">
        <v>53</v>
      </c>
      <c r="I694" s="5" t="s">
        <v>54</v>
      </c>
      <c r="J694" s="5" t="s">
        <v>181</v>
      </c>
      <c r="K694" s="5" t="s">
        <v>279</v>
      </c>
      <c r="L694" s="5" t="n">
        <v>4</v>
      </c>
      <c r="M694" s="5" t="n">
        <v>5</v>
      </c>
      <c r="N694" s="5" t="n">
        <v>5</v>
      </c>
      <c r="O694" s="5" t="n">
        <v>7</v>
      </c>
      <c r="P694" s="5" t="n">
        <v>-1</v>
      </c>
      <c r="Q694" s="5" t="n">
        <v>-0.5</v>
      </c>
      <c r="R694" s="5" t="n">
        <v>6</v>
      </c>
      <c r="S694" s="5" t="n">
        <v>4</v>
      </c>
      <c r="T694" s="5" t="s">
        <v>1771</v>
      </c>
      <c r="U694" s="6"/>
      <c r="V694" s="6"/>
      <c r="W694" s="6"/>
      <c r="X694" s="6"/>
      <c r="Y694" s="7" t="str">
        <f aca="false">IF(COUNT(U694:X694)=4,(W694-X694)/2,"")</f>
        <v/>
      </c>
      <c r="Z694" s="7" t="str">
        <f aca="false">IF(COUNT(U694:X694)=4,(U694-V694)/2,"")</f>
        <v/>
      </c>
      <c r="AA694" s="7" t="str">
        <f aca="false">IF(COUNT(U694:X694)=4,MAX(1,MIN(10,ROUNDUP(5-Z694,0))),"")</f>
        <v/>
      </c>
      <c r="AB694" s="7" t="str">
        <f aca="false">IF(COUNT(U694:X694)=4,MAX(1,MIN(10,ROUNDUP(Y694+5,0))),"")</f>
        <v/>
      </c>
      <c r="AC694" s="6"/>
      <c r="AD694" s="6"/>
    </row>
    <row r="695" customFormat="false" ht="15" hidden="false" customHeight="true" outlineLevel="0" collapsed="false">
      <c r="A695" s="5" t="n">
        <v>694</v>
      </c>
      <c r="B695" s="5" t="s">
        <v>1772</v>
      </c>
      <c r="C695" s="5" t="s">
        <v>145</v>
      </c>
      <c r="D695" s="5" t="s">
        <v>51</v>
      </c>
      <c r="E695" s="5" t="n">
        <v>160</v>
      </c>
      <c r="F695" s="5" t="s">
        <v>1773</v>
      </c>
      <c r="G695" s="5" t="n">
        <v>4</v>
      </c>
      <c r="H695" s="5" t="s">
        <v>53</v>
      </c>
      <c r="I695" s="5" t="s">
        <v>54</v>
      </c>
      <c r="J695" s="5" t="s">
        <v>55</v>
      </c>
      <c r="K695" s="5" t="s">
        <v>55</v>
      </c>
      <c r="L695" s="5" t="n">
        <v>5</v>
      </c>
      <c r="M695" s="5" t="n">
        <v>3</v>
      </c>
      <c r="N695" s="5" t="n">
        <v>3</v>
      </c>
      <c r="O695" s="5" t="n">
        <v>8</v>
      </c>
      <c r="P695" s="5" t="n">
        <v>-2.5</v>
      </c>
      <c r="Q695" s="5" t="n">
        <v>1</v>
      </c>
      <c r="R695" s="5" t="n">
        <v>4</v>
      </c>
      <c r="S695" s="5" t="n">
        <v>3</v>
      </c>
      <c r="T695" s="5" t="s">
        <v>1774</v>
      </c>
      <c r="U695" s="6"/>
      <c r="V695" s="6"/>
      <c r="W695" s="6"/>
      <c r="X695" s="6"/>
      <c r="Y695" s="7" t="str">
        <f aca="false">IF(COUNT(U695:X695)=4,(W695-X695)/2,"")</f>
        <v/>
      </c>
      <c r="Z695" s="7" t="str">
        <f aca="false">IF(COUNT(U695:X695)=4,(U695-V695)/2,"")</f>
        <v/>
      </c>
      <c r="AA695" s="7" t="str">
        <f aca="false">IF(COUNT(U695:X695)=4,MAX(1,MIN(10,ROUNDUP(5-Z695,0))),"")</f>
        <v/>
      </c>
      <c r="AB695" s="7" t="str">
        <f aca="false">IF(COUNT(U695:X695)=4,MAX(1,MIN(10,ROUNDUP(Y695+5,0))),"")</f>
        <v/>
      </c>
      <c r="AC695" s="6"/>
      <c r="AD695" s="6"/>
    </row>
    <row r="696" customFormat="false" ht="15" hidden="false" customHeight="true" outlineLevel="0" collapsed="false">
      <c r="A696" s="5" t="n">
        <v>695</v>
      </c>
      <c r="B696" s="5" t="s">
        <v>1775</v>
      </c>
      <c r="C696" s="5" t="s">
        <v>171</v>
      </c>
      <c r="D696" s="5" t="s">
        <v>172</v>
      </c>
      <c r="E696" s="5" t="n">
        <v>160</v>
      </c>
      <c r="F696" s="5" t="s">
        <v>1776</v>
      </c>
      <c r="G696" s="5" t="n">
        <v>4</v>
      </c>
      <c r="H696" s="5" t="s">
        <v>53</v>
      </c>
      <c r="I696" s="5" t="s">
        <v>81</v>
      </c>
      <c r="J696" s="5" t="s">
        <v>174</v>
      </c>
      <c r="K696" s="5" t="s">
        <v>347</v>
      </c>
      <c r="L696" s="5" t="n">
        <v>5</v>
      </c>
      <c r="M696" s="5" t="n">
        <v>2</v>
      </c>
      <c r="N696" s="5" t="n">
        <v>9</v>
      </c>
      <c r="O696" s="5" t="n">
        <v>2</v>
      </c>
      <c r="P696" s="5" t="n">
        <v>3.5</v>
      </c>
      <c r="Q696" s="5" t="n">
        <v>1.5</v>
      </c>
      <c r="R696" s="5" t="n">
        <v>4</v>
      </c>
      <c r="S696" s="5" t="n">
        <v>9</v>
      </c>
      <c r="T696" s="5" t="s">
        <v>491</v>
      </c>
      <c r="U696" s="6"/>
      <c r="V696" s="6"/>
      <c r="W696" s="6"/>
      <c r="X696" s="6"/>
      <c r="Y696" s="7" t="str">
        <f aca="false">IF(COUNT(U696:X696)=4,(W696-X696)/2,"")</f>
        <v/>
      </c>
      <c r="Z696" s="7" t="str">
        <f aca="false">IF(COUNT(U696:X696)=4,(U696-V696)/2,"")</f>
        <v/>
      </c>
      <c r="AA696" s="7" t="str">
        <f aca="false">IF(COUNT(U696:X696)=4,MAX(1,MIN(10,ROUNDUP(5-Z696,0))),"")</f>
        <v/>
      </c>
      <c r="AB696" s="7" t="str">
        <f aca="false">IF(COUNT(U696:X696)=4,MAX(1,MIN(10,ROUNDUP(Y696+5,0))),"")</f>
        <v/>
      </c>
      <c r="AC696" s="6"/>
      <c r="AD696" s="6"/>
    </row>
    <row r="697" customFormat="false" ht="15" hidden="false" customHeight="true" outlineLevel="0" collapsed="false">
      <c r="A697" s="5" t="n">
        <v>696</v>
      </c>
      <c r="B697" s="5" t="s">
        <v>1777</v>
      </c>
      <c r="C697" s="5" t="s">
        <v>171</v>
      </c>
      <c r="D697" s="5" t="s">
        <v>172</v>
      </c>
      <c r="E697" s="5" t="n">
        <v>160</v>
      </c>
      <c r="F697" s="5" t="s">
        <v>1778</v>
      </c>
      <c r="G697" s="5" t="n">
        <v>4</v>
      </c>
      <c r="H697" s="5" t="s">
        <v>53</v>
      </c>
      <c r="I697" s="5" t="s">
        <v>81</v>
      </c>
      <c r="J697" s="5" t="s">
        <v>174</v>
      </c>
      <c r="K697" s="5" t="s">
        <v>1416</v>
      </c>
      <c r="L697" s="5" t="n">
        <v>6</v>
      </c>
      <c r="M697" s="5" t="n">
        <v>1</v>
      </c>
      <c r="N697" s="5" t="n">
        <v>5</v>
      </c>
      <c r="O697" s="5" t="n">
        <v>5</v>
      </c>
      <c r="P697" s="5" t="n">
        <v>0</v>
      </c>
      <c r="Q697" s="5" t="n">
        <v>2.5</v>
      </c>
      <c r="R697" s="5" t="n">
        <v>3</v>
      </c>
      <c r="S697" s="5" t="n">
        <v>5</v>
      </c>
      <c r="T697" s="5" t="s">
        <v>1779</v>
      </c>
      <c r="U697" s="6"/>
      <c r="V697" s="6"/>
      <c r="W697" s="6"/>
      <c r="X697" s="6"/>
      <c r="Y697" s="7" t="str">
        <f aca="false">IF(COUNT(U697:X697)=4,(W697-X697)/2,"")</f>
        <v/>
      </c>
      <c r="Z697" s="7" t="str">
        <f aca="false">IF(COUNT(U697:X697)=4,(U697-V697)/2,"")</f>
        <v/>
      </c>
      <c r="AA697" s="7" t="str">
        <f aca="false">IF(COUNT(U697:X697)=4,MAX(1,MIN(10,ROUNDUP(5-Z697,0))),"")</f>
        <v/>
      </c>
      <c r="AB697" s="7" t="str">
        <f aca="false">IF(COUNT(U697:X697)=4,MAX(1,MIN(10,ROUNDUP(Y697+5,0))),"")</f>
        <v/>
      </c>
      <c r="AC697" s="6"/>
      <c r="AD697" s="6"/>
    </row>
    <row r="698" customFormat="false" ht="15" hidden="false" customHeight="true" outlineLevel="0" collapsed="false">
      <c r="A698" s="5" t="n">
        <v>697</v>
      </c>
      <c r="B698" s="5" t="s">
        <v>1780</v>
      </c>
      <c r="C698" s="5" t="s">
        <v>203</v>
      </c>
      <c r="D698" s="5" t="s">
        <v>204</v>
      </c>
      <c r="E698" s="5" t="n">
        <v>159</v>
      </c>
      <c r="F698" s="5" t="s">
        <v>1781</v>
      </c>
      <c r="G698" s="5" t="n">
        <v>4</v>
      </c>
      <c r="H698" s="5" t="s">
        <v>53</v>
      </c>
      <c r="I698" s="5" t="s">
        <v>54</v>
      </c>
      <c r="J698" s="5" t="s">
        <v>117</v>
      </c>
      <c r="K698" s="5" t="s">
        <v>117</v>
      </c>
      <c r="L698" s="5" t="n">
        <v>4</v>
      </c>
      <c r="M698" s="5" t="n">
        <v>1</v>
      </c>
      <c r="N698" s="5" t="n">
        <v>8</v>
      </c>
      <c r="O698" s="5" t="n">
        <v>2</v>
      </c>
      <c r="P698" s="5" t="n">
        <v>3</v>
      </c>
      <c r="Q698" s="5" t="n">
        <v>1.5</v>
      </c>
      <c r="R698" s="5" t="n">
        <v>4</v>
      </c>
      <c r="S698" s="5" t="n">
        <v>8</v>
      </c>
      <c r="T698" s="5" t="s">
        <v>1782</v>
      </c>
      <c r="U698" s="6"/>
      <c r="V698" s="6"/>
      <c r="W698" s="6"/>
      <c r="X698" s="6"/>
      <c r="Y698" s="7" t="str">
        <f aca="false">IF(COUNT(U698:X698)=4,(W698-X698)/2,"")</f>
        <v/>
      </c>
      <c r="Z698" s="7" t="str">
        <f aca="false">IF(COUNT(U698:X698)=4,(U698-V698)/2,"")</f>
        <v/>
      </c>
      <c r="AA698" s="7" t="str">
        <f aca="false">IF(COUNT(U698:X698)=4,MAX(1,MIN(10,ROUNDUP(5-Z698,0))),"")</f>
        <v/>
      </c>
      <c r="AB698" s="7" t="str">
        <f aca="false">IF(COUNT(U698:X698)=4,MAX(1,MIN(10,ROUNDUP(Y698+5,0))),"")</f>
        <v/>
      </c>
      <c r="AC698" s="6"/>
      <c r="AD698" s="6"/>
    </row>
    <row r="699" customFormat="false" ht="15" hidden="false" customHeight="true" outlineLevel="0" collapsed="false">
      <c r="A699" s="5" t="n">
        <v>698</v>
      </c>
      <c r="B699" s="5" t="s">
        <v>1783</v>
      </c>
      <c r="C699" s="5" t="s">
        <v>171</v>
      </c>
      <c r="D699" s="5" t="s">
        <v>172</v>
      </c>
      <c r="E699" s="5" t="n">
        <v>159</v>
      </c>
      <c r="F699" s="5" t="s">
        <v>1784</v>
      </c>
      <c r="G699" s="5" t="n">
        <v>4</v>
      </c>
      <c r="H699" s="5" t="s">
        <v>53</v>
      </c>
      <c r="I699" s="5" t="s">
        <v>54</v>
      </c>
      <c r="J699" s="5" t="s">
        <v>181</v>
      </c>
      <c r="K699" s="5" t="s">
        <v>413</v>
      </c>
      <c r="L699" s="5" t="n">
        <v>5</v>
      </c>
      <c r="M699" s="5" t="n">
        <v>4</v>
      </c>
      <c r="N699" s="5" t="n">
        <v>3</v>
      </c>
      <c r="O699" s="5" t="n">
        <v>8</v>
      </c>
      <c r="P699" s="5" t="n">
        <v>-2.5</v>
      </c>
      <c r="Q699" s="5" t="n">
        <v>0.5</v>
      </c>
      <c r="R699" s="5" t="n">
        <v>5</v>
      </c>
      <c r="S699" s="5" t="n">
        <v>3</v>
      </c>
      <c r="T699" s="5" t="s">
        <v>1785</v>
      </c>
      <c r="U699" s="6"/>
      <c r="V699" s="6"/>
      <c r="W699" s="6"/>
      <c r="X699" s="6"/>
      <c r="Y699" s="7" t="str">
        <f aca="false">IF(COUNT(U699:X699)=4,(W699-X699)/2,"")</f>
        <v/>
      </c>
      <c r="Z699" s="7" t="str">
        <f aca="false">IF(COUNT(U699:X699)=4,(U699-V699)/2,"")</f>
        <v/>
      </c>
      <c r="AA699" s="7" t="str">
        <f aca="false">IF(COUNT(U699:X699)=4,MAX(1,MIN(10,ROUNDUP(5-Z699,0))),"")</f>
        <v/>
      </c>
      <c r="AB699" s="7" t="str">
        <f aca="false">IF(COUNT(U699:X699)=4,MAX(1,MIN(10,ROUNDUP(Y699+5,0))),"")</f>
        <v/>
      </c>
      <c r="AC699" s="6"/>
      <c r="AD699" s="6"/>
    </row>
    <row r="700" customFormat="false" ht="15" hidden="false" customHeight="true" outlineLevel="0" collapsed="false">
      <c r="A700" s="5" t="n">
        <v>699</v>
      </c>
      <c r="B700" s="5" t="s">
        <v>117</v>
      </c>
      <c r="C700" s="5" t="s">
        <v>171</v>
      </c>
      <c r="D700" s="5" t="s">
        <v>172</v>
      </c>
      <c r="E700" s="5" t="n">
        <v>159</v>
      </c>
      <c r="F700" s="5" t="s">
        <v>1786</v>
      </c>
      <c r="G700" s="5" t="n">
        <v>4</v>
      </c>
      <c r="H700" s="5" t="s">
        <v>53</v>
      </c>
      <c r="I700" s="5" t="s">
        <v>54</v>
      </c>
      <c r="J700" s="5" t="s">
        <v>181</v>
      </c>
      <c r="K700" s="5" t="s">
        <v>279</v>
      </c>
      <c r="L700" s="5" t="n">
        <v>6</v>
      </c>
      <c r="M700" s="5" t="n">
        <v>4</v>
      </c>
      <c r="N700" s="5" t="n">
        <v>5</v>
      </c>
      <c r="O700" s="5" t="n">
        <v>7</v>
      </c>
      <c r="P700" s="5" t="n">
        <v>-1</v>
      </c>
      <c r="Q700" s="5" t="n">
        <v>1</v>
      </c>
      <c r="R700" s="5" t="n">
        <v>4</v>
      </c>
      <c r="S700" s="5" t="n">
        <v>4</v>
      </c>
      <c r="T700" s="5" t="s">
        <v>1787</v>
      </c>
      <c r="U700" s="6"/>
      <c r="V700" s="6"/>
      <c r="W700" s="6"/>
      <c r="X700" s="6"/>
      <c r="Y700" s="7" t="str">
        <f aca="false">IF(COUNT(U700:X700)=4,(W700-X700)/2,"")</f>
        <v/>
      </c>
      <c r="Z700" s="7" t="str">
        <f aca="false">IF(COUNT(U700:X700)=4,(U700-V700)/2,"")</f>
        <v/>
      </c>
      <c r="AA700" s="7" t="str">
        <f aca="false">IF(COUNT(U700:X700)=4,MAX(1,MIN(10,ROUNDUP(5-Z700,0))),"")</f>
        <v/>
      </c>
      <c r="AB700" s="7" t="str">
        <f aca="false">IF(COUNT(U700:X700)=4,MAX(1,MIN(10,ROUNDUP(Y700+5,0))),"")</f>
        <v/>
      </c>
      <c r="AC700" s="6"/>
      <c r="AD700" s="6"/>
    </row>
    <row r="701" customFormat="false" ht="15" hidden="false" customHeight="true" outlineLevel="0" collapsed="false">
      <c r="A701" s="5" t="n">
        <v>700</v>
      </c>
      <c r="B701" s="5" t="s">
        <v>1788</v>
      </c>
      <c r="C701" s="5" t="s">
        <v>171</v>
      </c>
      <c r="D701" s="5" t="s">
        <v>172</v>
      </c>
      <c r="E701" s="5" t="n">
        <v>159</v>
      </c>
      <c r="F701" s="5" t="s">
        <v>1789</v>
      </c>
      <c r="G701" s="5" t="n">
        <v>4</v>
      </c>
      <c r="H701" s="5" t="s">
        <v>53</v>
      </c>
      <c r="I701" s="5" t="s">
        <v>54</v>
      </c>
      <c r="J701" s="5" t="s">
        <v>181</v>
      </c>
      <c r="K701" s="5" t="s">
        <v>413</v>
      </c>
      <c r="L701" s="5" t="n">
        <v>5</v>
      </c>
      <c r="M701" s="5" t="n">
        <v>3</v>
      </c>
      <c r="N701" s="5" t="n">
        <v>3</v>
      </c>
      <c r="O701" s="5" t="n">
        <v>8</v>
      </c>
      <c r="P701" s="5" t="n">
        <v>-2.5</v>
      </c>
      <c r="Q701" s="5" t="n">
        <v>1</v>
      </c>
      <c r="R701" s="5" t="n">
        <v>4</v>
      </c>
      <c r="S701" s="5" t="n">
        <v>3</v>
      </c>
      <c r="T701" s="5" t="s">
        <v>1790</v>
      </c>
      <c r="U701" s="6"/>
      <c r="V701" s="6"/>
      <c r="W701" s="6"/>
      <c r="X701" s="6"/>
      <c r="Y701" s="7" t="str">
        <f aca="false">IF(COUNT(U701:X701)=4,(W701-X701)/2,"")</f>
        <v/>
      </c>
      <c r="Z701" s="7" t="str">
        <f aca="false">IF(COUNT(U701:X701)=4,(U701-V701)/2,"")</f>
        <v/>
      </c>
      <c r="AA701" s="7" t="str">
        <f aca="false">IF(COUNT(U701:X701)=4,MAX(1,MIN(10,ROUNDUP(5-Z701,0))),"")</f>
        <v/>
      </c>
      <c r="AB701" s="7" t="str">
        <f aca="false">IF(COUNT(U701:X701)=4,MAX(1,MIN(10,ROUNDUP(Y701+5,0))),"")</f>
        <v/>
      </c>
      <c r="AC701" s="6"/>
      <c r="AD701" s="6"/>
    </row>
    <row r="702" customFormat="false" ht="15" hidden="false" customHeight="true" outlineLevel="0" collapsed="false">
      <c r="A702" s="5" t="n">
        <v>701</v>
      </c>
      <c r="B702" s="5" t="s">
        <v>1791</v>
      </c>
      <c r="C702" s="5" t="s">
        <v>171</v>
      </c>
      <c r="D702" s="5" t="s">
        <v>172</v>
      </c>
      <c r="E702" s="5" t="n">
        <v>158</v>
      </c>
      <c r="F702" s="5" t="s">
        <v>1792</v>
      </c>
      <c r="G702" s="5" t="n">
        <v>4</v>
      </c>
      <c r="H702" s="5" t="s">
        <v>53</v>
      </c>
      <c r="I702" s="5" t="s">
        <v>54</v>
      </c>
      <c r="J702" s="5" t="s">
        <v>181</v>
      </c>
      <c r="K702" s="5" t="s">
        <v>221</v>
      </c>
      <c r="L702" s="5" t="n">
        <v>4</v>
      </c>
      <c r="M702" s="5" t="n">
        <v>5</v>
      </c>
      <c r="N702" s="5" t="n">
        <v>6</v>
      </c>
      <c r="O702" s="5" t="n">
        <v>5</v>
      </c>
      <c r="P702" s="5" t="n">
        <v>0.5</v>
      </c>
      <c r="Q702" s="5" t="n">
        <v>-0.5</v>
      </c>
      <c r="R702" s="5" t="n">
        <v>6</v>
      </c>
      <c r="S702" s="5" t="n">
        <v>6</v>
      </c>
      <c r="T702" s="5" t="s">
        <v>1759</v>
      </c>
      <c r="U702" s="6"/>
      <c r="V702" s="6"/>
      <c r="W702" s="6"/>
      <c r="X702" s="6"/>
      <c r="Y702" s="7" t="str">
        <f aca="false">IF(COUNT(U702:X702)=4,(W702-X702)/2,"")</f>
        <v/>
      </c>
      <c r="Z702" s="7" t="str">
        <f aca="false">IF(COUNT(U702:X702)=4,(U702-V702)/2,"")</f>
        <v/>
      </c>
      <c r="AA702" s="7" t="str">
        <f aca="false">IF(COUNT(U702:X702)=4,MAX(1,MIN(10,ROUNDUP(5-Z702,0))),"")</f>
        <v/>
      </c>
      <c r="AB702" s="7" t="str">
        <f aca="false">IF(COUNT(U702:X702)=4,MAX(1,MIN(10,ROUNDUP(Y702+5,0))),"")</f>
        <v/>
      </c>
      <c r="AC702" s="6"/>
      <c r="AD702" s="6"/>
    </row>
    <row r="703" customFormat="false" ht="15" hidden="false" customHeight="true" outlineLevel="0" collapsed="false">
      <c r="A703" s="5" t="n">
        <v>702</v>
      </c>
      <c r="B703" s="5" t="s">
        <v>1793</v>
      </c>
      <c r="C703" s="5" t="s">
        <v>171</v>
      </c>
      <c r="D703" s="5" t="s">
        <v>172</v>
      </c>
      <c r="E703" s="5" t="n">
        <v>158</v>
      </c>
      <c r="F703" s="5" t="s">
        <v>1794</v>
      </c>
      <c r="G703" s="5" t="n">
        <v>4</v>
      </c>
      <c r="H703" s="5" t="s">
        <v>53</v>
      </c>
      <c r="I703" s="5" t="s">
        <v>54</v>
      </c>
      <c r="J703" s="5" t="s">
        <v>181</v>
      </c>
      <c r="K703" s="5" t="s">
        <v>840</v>
      </c>
      <c r="L703" s="5" t="n">
        <v>7</v>
      </c>
      <c r="M703" s="5" t="n">
        <v>1</v>
      </c>
      <c r="N703" s="5" t="n">
        <v>8</v>
      </c>
      <c r="O703" s="5" t="n">
        <v>2</v>
      </c>
      <c r="P703" s="5" t="n">
        <v>3</v>
      </c>
      <c r="Q703" s="5" t="n">
        <v>3</v>
      </c>
      <c r="R703" s="5" t="n">
        <v>2</v>
      </c>
      <c r="S703" s="5" t="n">
        <v>8</v>
      </c>
      <c r="T703" s="5" t="s">
        <v>1795</v>
      </c>
      <c r="U703" s="6"/>
      <c r="V703" s="6"/>
      <c r="W703" s="6"/>
      <c r="X703" s="6"/>
      <c r="Y703" s="7" t="str">
        <f aca="false">IF(COUNT(U703:X703)=4,(W703-X703)/2,"")</f>
        <v/>
      </c>
      <c r="Z703" s="7" t="str">
        <f aca="false">IF(COUNT(U703:X703)=4,(U703-V703)/2,"")</f>
        <v/>
      </c>
      <c r="AA703" s="7" t="str">
        <f aca="false">IF(COUNT(U703:X703)=4,MAX(1,MIN(10,ROUNDUP(5-Z703,0))),"")</f>
        <v/>
      </c>
      <c r="AB703" s="7" t="str">
        <f aca="false">IF(COUNT(U703:X703)=4,MAX(1,MIN(10,ROUNDUP(Y703+5,0))),"")</f>
        <v/>
      </c>
      <c r="AC703" s="6"/>
      <c r="AD703" s="6"/>
    </row>
    <row r="704" customFormat="false" ht="15" hidden="false" customHeight="true" outlineLevel="0" collapsed="false">
      <c r="A704" s="5" t="n">
        <v>703</v>
      </c>
      <c r="B704" s="5" t="s">
        <v>1796</v>
      </c>
      <c r="C704" s="5" t="s">
        <v>203</v>
      </c>
      <c r="D704" s="5" t="s">
        <v>204</v>
      </c>
      <c r="E704" s="5" t="n">
        <v>158</v>
      </c>
      <c r="F704" s="5" t="s">
        <v>1796</v>
      </c>
      <c r="G704" s="5" t="n">
        <v>4</v>
      </c>
      <c r="H704" s="5" t="s">
        <v>53</v>
      </c>
      <c r="I704" s="5" t="s">
        <v>54</v>
      </c>
      <c r="J704" s="5" t="s">
        <v>117</v>
      </c>
      <c r="K704" s="5" t="s">
        <v>117</v>
      </c>
      <c r="L704" s="5" t="n">
        <v>3</v>
      </c>
      <c r="M704" s="5" t="n">
        <v>3</v>
      </c>
      <c r="N704" s="5" t="n">
        <v>2</v>
      </c>
      <c r="O704" s="5" t="n">
        <v>8</v>
      </c>
      <c r="P704" s="5" t="n">
        <v>-3</v>
      </c>
      <c r="Q704" s="5" t="n">
        <v>0</v>
      </c>
      <c r="R704" s="5" t="n">
        <v>5</v>
      </c>
      <c r="S704" s="5" t="n">
        <v>2</v>
      </c>
      <c r="T704" s="5" t="s">
        <v>1754</v>
      </c>
      <c r="U704" s="6"/>
      <c r="V704" s="6"/>
      <c r="W704" s="6"/>
      <c r="X704" s="6"/>
      <c r="Y704" s="7" t="str">
        <f aca="false">IF(COUNT(U704:X704)=4,(W704-X704)/2,"")</f>
        <v/>
      </c>
      <c r="Z704" s="7" t="str">
        <f aca="false">IF(COUNT(U704:X704)=4,(U704-V704)/2,"")</f>
        <v/>
      </c>
      <c r="AA704" s="7" t="str">
        <f aca="false">IF(COUNT(U704:X704)=4,MAX(1,MIN(10,ROUNDUP(5-Z704,0))),"")</f>
        <v/>
      </c>
      <c r="AB704" s="7" t="str">
        <f aca="false">IF(COUNT(U704:X704)=4,MAX(1,MIN(10,ROUNDUP(Y704+5,0))),"")</f>
        <v/>
      </c>
      <c r="AC704" s="6"/>
      <c r="AD704" s="6"/>
    </row>
    <row r="705" customFormat="false" ht="15" hidden="false" customHeight="true" outlineLevel="0" collapsed="false">
      <c r="A705" s="5" t="n">
        <v>704</v>
      </c>
      <c r="B705" s="5" t="s">
        <v>1797</v>
      </c>
      <c r="C705" s="5" t="s">
        <v>171</v>
      </c>
      <c r="D705" s="5" t="s">
        <v>172</v>
      </c>
      <c r="E705" s="5" t="n">
        <v>158</v>
      </c>
      <c r="F705" s="5" t="s">
        <v>1798</v>
      </c>
      <c r="G705" s="5" t="n">
        <v>4</v>
      </c>
      <c r="H705" s="5" t="s">
        <v>53</v>
      </c>
      <c r="I705" s="5" t="s">
        <v>54</v>
      </c>
      <c r="J705" s="5" t="s">
        <v>181</v>
      </c>
      <c r="K705" s="5" t="s">
        <v>673</v>
      </c>
      <c r="L705" s="5" t="n">
        <v>4</v>
      </c>
      <c r="M705" s="5" t="n">
        <v>4</v>
      </c>
      <c r="N705" s="5" t="n">
        <v>5</v>
      </c>
      <c r="O705" s="5" t="n">
        <v>6</v>
      </c>
      <c r="P705" s="5" t="n">
        <v>-0.5</v>
      </c>
      <c r="Q705" s="5" t="n">
        <v>0</v>
      </c>
      <c r="R705" s="5" t="n">
        <v>5</v>
      </c>
      <c r="S705" s="5" t="n">
        <v>5</v>
      </c>
      <c r="T705" s="5" t="s">
        <v>1799</v>
      </c>
      <c r="U705" s="6"/>
      <c r="V705" s="6"/>
      <c r="W705" s="6"/>
      <c r="X705" s="6"/>
      <c r="Y705" s="7" t="str">
        <f aca="false">IF(COUNT(U705:X705)=4,(W705-X705)/2,"")</f>
        <v/>
      </c>
      <c r="Z705" s="7" t="str">
        <f aca="false">IF(COUNT(U705:X705)=4,(U705-V705)/2,"")</f>
        <v/>
      </c>
      <c r="AA705" s="7" t="str">
        <f aca="false">IF(COUNT(U705:X705)=4,MAX(1,MIN(10,ROUNDUP(5-Z705,0))),"")</f>
        <v/>
      </c>
      <c r="AB705" s="7" t="str">
        <f aca="false">IF(COUNT(U705:X705)=4,MAX(1,MIN(10,ROUNDUP(Y705+5,0))),"")</f>
        <v/>
      </c>
      <c r="AC705" s="6"/>
      <c r="AD705" s="6"/>
    </row>
    <row r="706" customFormat="false" ht="15" hidden="false" customHeight="true" outlineLevel="0" collapsed="false">
      <c r="A706" s="5" t="n">
        <v>705</v>
      </c>
      <c r="B706" s="5" t="s">
        <v>1800</v>
      </c>
      <c r="C706" s="5" t="s">
        <v>145</v>
      </c>
      <c r="D706" s="5" t="s">
        <v>51</v>
      </c>
      <c r="E706" s="5" t="n">
        <v>158</v>
      </c>
      <c r="F706" s="5" t="s">
        <v>1801</v>
      </c>
      <c r="G706" s="5" t="n">
        <v>4</v>
      </c>
      <c r="H706" s="5" t="s">
        <v>53</v>
      </c>
      <c r="I706" s="5" t="s">
        <v>54</v>
      </c>
      <c r="J706" s="5" t="s">
        <v>55</v>
      </c>
      <c r="K706" s="5" t="s">
        <v>55</v>
      </c>
      <c r="L706" s="5" t="n">
        <v>5</v>
      </c>
      <c r="M706" s="5" t="n">
        <v>3</v>
      </c>
      <c r="N706" s="5" t="n">
        <v>6</v>
      </c>
      <c r="O706" s="5" t="n">
        <v>4</v>
      </c>
      <c r="P706" s="5" t="n">
        <v>1</v>
      </c>
      <c r="Q706" s="5" t="n">
        <v>1</v>
      </c>
      <c r="R706" s="5" t="n">
        <v>4</v>
      </c>
      <c r="S706" s="5" t="n">
        <v>6</v>
      </c>
      <c r="T706" s="5" t="s">
        <v>1802</v>
      </c>
      <c r="U706" s="6"/>
      <c r="V706" s="6"/>
      <c r="W706" s="6"/>
      <c r="X706" s="6"/>
      <c r="Y706" s="7" t="str">
        <f aca="false">IF(COUNT(U706:X706)=4,(W706-X706)/2,"")</f>
        <v/>
      </c>
      <c r="Z706" s="7" t="str">
        <f aca="false">IF(COUNT(U706:X706)=4,(U706-V706)/2,"")</f>
        <v/>
      </c>
      <c r="AA706" s="7" t="str">
        <f aca="false">IF(COUNT(U706:X706)=4,MAX(1,MIN(10,ROUNDUP(5-Z706,0))),"")</f>
        <v/>
      </c>
      <c r="AB706" s="7" t="str">
        <f aca="false">IF(COUNT(U706:X706)=4,MAX(1,MIN(10,ROUNDUP(Y706+5,0))),"")</f>
        <v/>
      </c>
      <c r="AC706" s="6"/>
      <c r="AD706" s="6"/>
    </row>
    <row r="707" customFormat="false" ht="15" hidden="false" customHeight="true" outlineLevel="0" collapsed="false">
      <c r="A707" s="5" t="n">
        <v>706</v>
      </c>
      <c r="B707" s="5" t="s">
        <v>1803</v>
      </c>
      <c r="C707" s="5" t="s">
        <v>171</v>
      </c>
      <c r="D707" s="5" t="s">
        <v>172</v>
      </c>
      <c r="E707" s="5" t="n">
        <v>158</v>
      </c>
      <c r="F707" s="5" t="s">
        <v>1804</v>
      </c>
      <c r="G707" s="5" t="n">
        <v>4</v>
      </c>
      <c r="H707" s="5" t="s">
        <v>53</v>
      </c>
      <c r="I707" s="5" t="s">
        <v>81</v>
      </c>
      <c r="J707" s="5" t="s">
        <v>174</v>
      </c>
      <c r="K707" s="5" t="s">
        <v>309</v>
      </c>
      <c r="L707" s="5" t="n">
        <v>6</v>
      </c>
      <c r="M707" s="5" t="n">
        <v>2</v>
      </c>
      <c r="N707" s="5" t="n">
        <v>3</v>
      </c>
      <c r="O707" s="5" t="n">
        <v>8</v>
      </c>
      <c r="P707" s="5" t="n">
        <v>-2.5</v>
      </c>
      <c r="Q707" s="5" t="n">
        <v>2</v>
      </c>
      <c r="R707" s="5" t="n">
        <v>3</v>
      </c>
      <c r="S707" s="5" t="n">
        <v>3</v>
      </c>
      <c r="T707" s="5" t="s">
        <v>1666</v>
      </c>
      <c r="U707" s="6"/>
      <c r="V707" s="6"/>
      <c r="W707" s="6"/>
      <c r="X707" s="6"/>
      <c r="Y707" s="7" t="str">
        <f aca="false">IF(COUNT(U707:X707)=4,(W707-X707)/2,"")</f>
        <v/>
      </c>
      <c r="Z707" s="7" t="str">
        <f aca="false">IF(COUNT(U707:X707)=4,(U707-V707)/2,"")</f>
        <v/>
      </c>
      <c r="AA707" s="7" t="str">
        <f aca="false">IF(COUNT(U707:X707)=4,MAX(1,MIN(10,ROUNDUP(5-Z707,0))),"")</f>
        <v/>
      </c>
      <c r="AB707" s="7" t="str">
        <f aca="false">IF(COUNT(U707:X707)=4,MAX(1,MIN(10,ROUNDUP(Y707+5,0))),"")</f>
        <v/>
      </c>
      <c r="AC707" s="6"/>
      <c r="AD707" s="6"/>
    </row>
    <row r="708" customFormat="false" ht="15" hidden="false" customHeight="true" outlineLevel="0" collapsed="false">
      <c r="A708" s="5" t="n">
        <v>707</v>
      </c>
      <c r="B708" s="5" t="s">
        <v>1805</v>
      </c>
      <c r="C708" s="5" t="s">
        <v>145</v>
      </c>
      <c r="D708" s="5" t="s">
        <v>51</v>
      </c>
      <c r="E708" s="5" t="n">
        <v>158</v>
      </c>
      <c r="F708" s="5" t="s">
        <v>1806</v>
      </c>
      <c r="G708" s="5" t="n">
        <v>4</v>
      </c>
      <c r="H708" s="5" t="s">
        <v>53</v>
      </c>
      <c r="I708" s="5" t="s">
        <v>54</v>
      </c>
      <c r="J708" s="5" t="s">
        <v>55</v>
      </c>
      <c r="K708" s="5" t="s">
        <v>55</v>
      </c>
      <c r="L708" s="5" t="n">
        <v>4</v>
      </c>
      <c r="M708" s="5" t="n">
        <v>3</v>
      </c>
      <c r="N708" s="5" t="n">
        <v>9</v>
      </c>
      <c r="O708" s="5" t="n">
        <v>2</v>
      </c>
      <c r="P708" s="5" t="n">
        <v>3.5</v>
      </c>
      <c r="Q708" s="5" t="n">
        <v>0.5</v>
      </c>
      <c r="R708" s="5" t="n">
        <v>5</v>
      </c>
      <c r="S708" s="5" t="n">
        <v>9</v>
      </c>
      <c r="T708" s="5" t="s">
        <v>1807</v>
      </c>
      <c r="U708" s="6"/>
      <c r="V708" s="6"/>
      <c r="W708" s="6"/>
      <c r="X708" s="6"/>
      <c r="Y708" s="7" t="str">
        <f aca="false">IF(COUNT(U708:X708)=4,(W708-X708)/2,"")</f>
        <v/>
      </c>
      <c r="Z708" s="7" t="str">
        <f aca="false">IF(COUNT(U708:X708)=4,(U708-V708)/2,"")</f>
        <v/>
      </c>
      <c r="AA708" s="7" t="str">
        <f aca="false">IF(COUNT(U708:X708)=4,MAX(1,MIN(10,ROUNDUP(5-Z708,0))),"")</f>
        <v/>
      </c>
      <c r="AB708" s="7" t="str">
        <f aca="false">IF(COUNT(U708:X708)=4,MAX(1,MIN(10,ROUNDUP(Y708+5,0))),"")</f>
        <v/>
      </c>
      <c r="AC708" s="6"/>
      <c r="AD708" s="6"/>
    </row>
    <row r="709" customFormat="false" ht="15" hidden="false" customHeight="true" outlineLevel="0" collapsed="false">
      <c r="A709" s="5" t="n">
        <v>708</v>
      </c>
      <c r="B709" s="5" t="s">
        <v>1808</v>
      </c>
      <c r="C709" s="5" t="s">
        <v>145</v>
      </c>
      <c r="D709" s="5" t="s">
        <v>51</v>
      </c>
      <c r="E709" s="5" t="n">
        <v>158</v>
      </c>
      <c r="F709" s="5" t="s">
        <v>1809</v>
      </c>
      <c r="G709" s="5" t="n">
        <v>4</v>
      </c>
      <c r="H709" s="5" t="s">
        <v>53</v>
      </c>
      <c r="I709" s="5" t="s">
        <v>54</v>
      </c>
      <c r="J709" s="5" t="s">
        <v>181</v>
      </c>
      <c r="K709" s="5" t="s">
        <v>182</v>
      </c>
      <c r="L709" s="5" t="n">
        <v>2</v>
      </c>
      <c r="M709" s="5" t="n">
        <v>6</v>
      </c>
      <c r="N709" s="5" t="n">
        <v>7</v>
      </c>
      <c r="O709" s="5" t="n">
        <v>3</v>
      </c>
      <c r="P709" s="5" t="n">
        <v>2</v>
      </c>
      <c r="Q709" s="5" t="n">
        <v>-2</v>
      </c>
      <c r="R709" s="5" t="n">
        <v>7</v>
      </c>
      <c r="S709" s="5" t="n">
        <v>7</v>
      </c>
      <c r="T709" s="5" t="s">
        <v>1810</v>
      </c>
      <c r="U709" s="6"/>
      <c r="V709" s="6"/>
      <c r="W709" s="6"/>
      <c r="X709" s="6"/>
      <c r="Y709" s="7" t="str">
        <f aca="false">IF(COUNT(U709:X709)=4,(W709-X709)/2,"")</f>
        <v/>
      </c>
      <c r="Z709" s="7" t="str">
        <f aca="false">IF(COUNT(U709:X709)=4,(U709-V709)/2,"")</f>
        <v/>
      </c>
      <c r="AA709" s="7" t="str">
        <f aca="false">IF(COUNT(U709:X709)=4,MAX(1,MIN(10,ROUNDUP(5-Z709,0))),"")</f>
        <v/>
      </c>
      <c r="AB709" s="7" t="str">
        <f aca="false">IF(COUNT(U709:X709)=4,MAX(1,MIN(10,ROUNDUP(Y709+5,0))),"")</f>
        <v/>
      </c>
      <c r="AC709" s="6"/>
      <c r="AD709" s="6"/>
    </row>
    <row r="710" customFormat="false" ht="15" hidden="false" customHeight="true" outlineLevel="0" collapsed="false">
      <c r="A710" s="5" t="n">
        <v>709</v>
      </c>
      <c r="B710" s="5" t="s">
        <v>1811</v>
      </c>
      <c r="C710" s="5" t="s">
        <v>145</v>
      </c>
      <c r="D710" s="5" t="s">
        <v>51</v>
      </c>
      <c r="E710" s="5" t="n">
        <v>157</v>
      </c>
      <c r="F710" s="5" t="s">
        <v>1812</v>
      </c>
      <c r="G710" s="5" t="n">
        <v>4</v>
      </c>
      <c r="H710" s="5" t="s">
        <v>53</v>
      </c>
      <c r="I710" s="5" t="s">
        <v>54</v>
      </c>
      <c r="J710" s="5" t="s">
        <v>55</v>
      </c>
      <c r="K710" s="5" t="s">
        <v>55</v>
      </c>
      <c r="L710" s="5" t="n">
        <v>2</v>
      </c>
      <c r="M710" s="5" t="n">
        <v>8</v>
      </c>
      <c r="N710" s="5" t="n">
        <v>9</v>
      </c>
      <c r="O710" s="5" t="n">
        <v>2</v>
      </c>
      <c r="P710" s="5" t="n">
        <v>3.5</v>
      </c>
      <c r="Q710" s="5" t="n">
        <v>-3</v>
      </c>
      <c r="R710" s="5" t="n">
        <v>8</v>
      </c>
      <c r="S710" s="5" t="n">
        <v>9</v>
      </c>
      <c r="T710" s="5" t="s">
        <v>1813</v>
      </c>
      <c r="U710" s="6"/>
      <c r="V710" s="6"/>
      <c r="W710" s="6"/>
      <c r="X710" s="6"/>
      <c r="Y710" s="7" t="str">
        <f aca="false">IF(COUNT(U710:X710)=4,(W710-X710)/2,"")</f>
        <v/>
      </c>
      <c r="Z710" s="7" t="str">
        <f aca="false">IF(COUNT(U710:X710)=4,(U710-V710)/2,"")</f>
        <v/>
      </c>
      <c r="AA710" s="7" t="str">
        <f aca="false">IF(COUNT(U710:X710)=4,MAX(1,MIN(10,ROUNDUP(5-Z710,0))),"")</f>
        <v/>
      </c>
      <c r="AB710" s="7" t="str">
        <f aca="false">IF(COUNT(U710:X710)=4,MAX(1,MIN(10,ROUNDUP(Y710+5,0))),"")</f>
        <v/>
      </c>
      <c r="AC710" s="6"/>
      <c r="AD710" s="6"/>
    </row>
    <row r="711" customFormat="false" ht="15" hidden="false" customHeight="true" outlineLevel="0" collapsed="false">
      <c r="A711" s="5" t="n">
        <v>710</v>
      </c>
      <c r="B711" s="5" t="s">
        <v>1814</v>
      </c>
      <c r="C711" s="5" t="s">
        <v>171</v>
      </c>
      <c r="D711" s="5" t="s">
        <v>172</v>
      </c>
      <c r="E711" s="5" t="n">
        <v>157</v>
      </c>
      <c r="F711" s="5" t="s">
        <v>1815</v>
      </c>
      <c r="G711" s="5" t="n">
        <v>4</v>
      </c>
      <c r="H711" s="5" t="s">
        <v>53</v>
      </c>
      <c r="I711" s="5" t="s">
        <v>54</v>
      </c>
      <c r="J711" s="5" t="s">
        <v>181</v>
      </c>
      <c r="K711" s="5" t="s">
        <v>333</v>
      </c>
      <c r="L711" s="5" t="n">
        <v>2</v>
      </c>
      <c r="M711" s="5" t="n">
        <v>5</v>
      </c>
      <c r="N711" s="5" t="n">
        <v>9</v>
      </c>
      <c r="O711" s="5" t="n">
        <v>2</v>
      </c>
      <c r="P711" s="5" t="n">
        <v>3.5</v>
      </c>
      <c r="Q711" s="5" t="n">
        <v>-1.5</v>
      </c>
      <c r="R711" s="5" t="n">
        <v>7</v>
      </c>
      <c r="S711" s="5" t="n">
        <v>9</v>
      </c>
      <c r="T711" s="5" t="s">
        <v>199</v>
      </c>
      <c r="U711" s="6"/>
      <c r="V711" s="6"/>
      <c r="W711" s="6"/>
      <c r="X711" s="6"/>
      <c r="Y711" s="7" t="str">
        <f aca="false">IF(COUNT(U711:X711)=4,(W711-X711)/2,"")</f>
        <v/>
      </c>
      <c r="Z711" s="7" t="str">
        <f aca="false">IF(COUNT(U711:X711)=4,(U711-V711)/2,"")</f>
        <v/>
      </c>
      <c r="AA711" s="7" t="str">
        <f aca="false">IF(COUNT(U711:X711)=4,MAX(1,MIN(10,ROUNDUP(5-Z711,0))),"")</f>
        <v/>
      </c>
      <c r="AB711" s="7" t="str">
        <f aca="false">IF(COUNT(U711:X711)=4,MAX(1,MIN(10,ROUNDUP(Y711+5,0))),"")</f>
        <v/>
      </c>
      <c r="AC711" s="6"/>
      <c r="AD711" s="6"/>
    </row>
    <row r="712" customFormat="false" ht="15" hidden="false" customHeight="true" outlineLevel="0" collapsed="false">
      <c r="A712" s="5" t="n">
        <v>711</v>
      </c>
      <c r="B712" s="5" t="s">
        <v>1816</v>
      </c>
      <c r="C712" s="5" t="s">
        <v>203</v>
      </c>
      <c r="D712" s="5" t="s">
        <v>204</v>
      </c>
      <c r="E712" s="5" t="n">
        <v>157</v>
      </c>
      <c r="F712" s="5" t="s">
        <v>1816</v>
      </c>
      <c r="G712" s="5" t="n">
        <v>4</v>
      </c>
      <c r="H712" s="5" t="s">
        <v>53</v>
      </c>
      <c r="I712" s="5" t="s">
        <v>54</v>
      </c>
      <c r="J712" s="5" t="s">
        <v>117</v>
      </c>
      <c r="K712" s="5" t="s">
        <v>117</v>
      </c>
      <c r="L712" s="5" t="n">
        <v>4</v>
      </c>
      <c r="M712" s="5" t="n">
        <v>2</v>
      </c>
      <c r="N712" s="5" t="n">
        <v>1</v>
      </c>
      <c r="O712" s="5" t="n">
        <v>9</v>
      </c>
      <c r="P712" s="5" t="n">
        <v>-4</v>
      </c>
      <c r="Q712" s="5" t="n">
        <v>1</v>
      </c>
      <c r="R712" s="5" t="n">
        <v>4</v>
      </c>
      <c r="S712" s="5" t="n">
        <v>1</v>
      </c>
      <c r="T712" s="5" t="s">
        <v>161</v>
      </c>
      <c r="U712" s="6"/>
      <c r="V712" s="6"/>
      <c r="W712" s="6"/>
      <c r="X712" s="6"/>
      <c r="Y712" s="7" t="str">
        <f aca="false">IF(COUNT(U712:X712)=4,(W712-X712)/2,"")</f>
        <v/>
      </c>
      <c r="Z712" s="7" t="str">
        <f aca="false">IF(COUNT(U712:X712)=4,(U712-V712)/2,"")</f>
        <v/>
      </c>
      <c r="AA712" s="7" t="str">
        <f aca="false">IF(COUNT(U712:X712)=4,MAX(1,MIN(10,ROUNDUP(5-Z712,0))),"")</f>
        <v/>
      </c>
      <c r="AB712" s="7" t="str">
        <f aca="false">IF(COUNT(U712:X712)=4,MAX(1,MIN(10,ROUNDUP(Y712+5,0))),"")</f>
        <v/>
      </c>
      <c r="AC712" s="6"/>
      <c r="AD712" s="6"/>
    </row>
    <row r="713" customFormat="false" ht="15" hidden="false" customHeight="true" outlineLevel="0" collapsed="false">
      <c r="A713" s="5" t="n">
        <v>712</v>
      </c>
      <c r="B713" s="5" t="s">
        <v>1817</v>
      </c>
      <c r="C713" s="5" t="s">
        <v>171</v>
      </c>
      <c r="D713" s="5" t="s">
        <v>172</v>
      </c>
      <c r="E713" s="5" t="n">
        <v>157</v>
      </c>
      <c r="F713" s="5" t="s">
        <v>1818</v>
      </c>
      <c r="G713" s="5" t="n">
        <v>4</v>
      </c>
      <c r="H713" s="5" t="s">
        <v>53</v>
      </c>
      <c r="I713" s="5" t="s">
        <v>54</v>
      </c>
      <c r="J713" s="5" t="s">
        <v>181</v>
      </c>
      <c r="K713" s="5" t="s">
        <v>413</v>
      </c>
      <c r="L713" s="5" t="n">
        <v>5</v>
      </c>
      <c r="M713" s="5" t="n">
        <v>3</v>
      </c>
      <c r="N713" s="5" t="n">
        <v>3</v>
      </c>
      <c r="O713" s="5" t="n">
        <v>8</v>
      </c>
      <c r="P713" s="5" t="n">
        <v>-2.5</v>
      </c>
      <c r="Q713" s="5" t="n">
        <v>1</v>
      </c>
      <c r="R713" s="5" t="n">
        <v>4</v>
      </c>
      <c r="S713" s="5" t="n">
        <v>3</v>
      </c>
      <c r="T713" s="5" t="s">
        <v>1383</v>
      </c>
      <c r="U713" s="6"/>
      <c r="V713" s="6"/>
      <c r="W713" s="6"/>
      <c r="X713" s="6"/>
      <c r="Y713" s="7" t="str">
        <f aca="false">IF(COUNT(U713:X713)=4,(W713-X713)/2,"")</f>
        <v/>
      </c>
      <c r="Z713" s="7" t="str">
        <f aca="false">IF(COUNT(U713:X713)=4,(U713-V713)/2,"")</f>
        <v/>
      </c>
      <c r="AA713" s="7" t="str">
        <f aca="false">IF(COUNT(U713:X713)=4,MAX(1,MIN(10,ROUNDUP(5-Z713,0))),"")</f>
        <v/>
      </c>
      <c r="AB713" s="7" t="str">
        <f aca="false">IF(COUNT(U713:X713)=4,MAX(1,MIN(10,ROUNDUP(Y713+5,0))),"")</f>
        <v/>
      </c>
      <c r="AC713" s="6"/>
      <c r="AD713" s="6"/>
    </row>
    <row r="714" customFormat="false" ht="15" hidden="false" customHeight="true" outlineLevel="0" collapsed="false">
      <c r="A714" s="5" t="n">
        <v>713</v>
      </c>
      <c r="B714" s="5" t="s">
        <v>1819</v>
      </c>
      <c r="C714" s="5" t="s">
        <v>171</v>
      </c>
      <c r="D714" s="5" t="s">
        <v>172</v>
      </c>
      <c r="E714" s="5" t="n">
        <v>156</v>
      </c>
      <c r="F714" s="5" t="s">
        <v>1820</v>
      </c>
      <c r="G714" s="5" t="n">
        <v>4</v>
      </c>
      <c r="H714" s="5" t="s">
        <v>53</v>
      </c>
      <c r="I714" s="5" t="s">
        <v>81</v>
      </c>
      <c r="J714" s="5" t="s">
        <v>174</v>
      </c>
      <c r="K714" s="5" t="s">
        <v>309</v>
      </c>
      <c r="L714" s="5" t="n">
        <v>6</v>
      </c>
      <c r="M714" s="5" t="n">
        <v>3</v>
      </c>
      <c r="N714" s="5" t="n">
        <v>3</v>
      </c>
      <c r="O714" s="5" t="n">
        <v>8</v>
      </c>
      <c r="P714" s="5" t="n">
        <v>-2.5</v>
      </c>
      <c r="Q714" s="5" t="n">
        <v>1.5</v>
      </c>
      <c r="R714" s="5" t="n">
        <v>4</v>
      </c>
      <c r="S714" s="5" t="n">
        <v>3</v>
      </c>
      <c r="T714" s="5" t="s">
        <v>56</v>
      </c>
      <c r="U714" s="6"/>
      <c r="V714" s="6"/>
      <c r="W714" s="6"/>
      <c r="X714" s="6"/>
      <c r="Y714" s="7" t="str">
        <f aca="false">IF(COUNT(U714:X714)=4,(W714-X714)/2,"")</f>
        <v/>
      </c>
      <c r="Z714" s="7" t="str">
        <f aca="false">IF(COUNT(U714:X714)=4,(U714-V714)/2,"")</f>
        <v/>
      </c>
      <c r="AA714" s="7" t="str">
        <f aca="false">IF(COUNT(U714:X714)=4,MAX(1,MIN(10,ROUNDUP(5-Z714,0))),"")</f>
        <v/>
      </c>
      <c r="AB714" s="7" t="str">
        <f aca="false">IF(COUNT(U714:X714)=4,MAX(1,MIN(10,ROUNDUP(Y714+5,0))),"")</f>
        <v/>
      </c>
      <c r="AC714" s="6"/>
      <c r="AD714" s="6"/>
    </row>
    <row r="715" customFormat="false" ht="15" hidden="false" customHeight="true" outlineLevel="0" collapsed="false">
      <c r="A715" s="5" t="n">
        <v>714</v>
      </c>
      <c r="B715" s="5" t="s">
        <v>1821</v>
      </c>
      <c r="C715" s="5" t="s">
        <v>171</v>
      </c>
      <c r="D715" s="5" t="s">
        <v>172</v>
      </c>
      <c r="E715" s="5" t="n">
        <v>156</v>
      </c>
      <c r="F715" s="5" t="s">
        <v>1822</v>
      </c>
      <c r="G715" s="5" t="n">
        <v>4</v>
      </c>
      <c r="H715" s="5" t="s">
        <v>53</v>
      </c>
      <c r="I715" s="5" t="s">
        <v>54</v>
      </c>
      <c r="J715" s="5" t="s">
        <v>181</v>
      </c>
      <c r="K715" s="5" t="s">
        <v>179</v>
      </c>
      <c r="L715" s="5" t="n">
        <v>2</v>
      </c>
      <c r="M715" s="5" t="n">
        <v>6</v>
      </c>
      <c r="N715" s="5" t="n">
        <v>2</v>
      </c>
      <c r="O715" s="5" t="n">
        <v>6</v>
      </c>
      <c r="P715" s="5" t="n">
        <v>-2</v>
      </c>
      <c r="Q715" s="5" t="n">
        <v>-2</v>
      </c>
      <c r="R715" s="5" t="n">
        <v>7</v>
      </c>
      <c r="S715" s="5" t="n">
        <v>3</v>
      </c>
      <c r="T715" s="5" t="s">
        <v>1823</v>
      </c>
      <c r="U715" s="6"/>
      <c r="V715" s="6"/>
      <c r="W715" s="6"/>
      <c r="X715" s="6"/>
      <c r="Y715" s="7" t="str">
        <f aca="false">IF(COUNT(U715:X715)=4,(W715-X715)/2,"")</f>
        <v/>
      </c>
      <c r="Z715" s="7" t="str">
        <f aca="false">IF(COUNT(U715:X715)=4,(U715-V715)/2,"")</f>
        <v/>
      </c>
      <c r="AA715" s="7" t="str">
        <f aca="false">IF(COUNT(U715:X715)=4,MAX(1,MIN(10,ROUNDUP(5-Z715,0))),"")</f>
        <v/>
      </c>
      <c r="AB715" s="7" t="str">
        <f aca="false">IF(COUNT(U715:X715)=4,MAX(1,MIN(10,ROUNDUP(Y715+5,0))),"")</f>
        <v/>
      </c>
      <c r="AC715" s="6"/>
      <c r="AD715" s="6"/>
    </row>
    <row r="716" customFormat="false" ht="15" hidden="false" customHeight="true" outlineLevel="0" collapsed="false">
      <c r="A716" s="5" t="n">
        <v>715</v>
      </c>
      <c r="B716" s="5" t="s">
        <v>1824</v>
      </c>
      <c r="C716" s="5" t="s">
        <v>171</v>
      </c>
      <c r="D716" s="5" t="s">
        <v>172</v>
      </c>
      <c r="E716" s="5" t="n">
        <v>156</v>
      </c>
      <c r="F716" s="5" t="s">
        <v>1825</v>
      </c>
      <c r="G716" s="5" t="n">
        <v>4</v>
      </c>
      <c r="H716" s="5" t="s">
        <v>53</v>
      </c>
      <c r="I716" s="5" t="s">
        <v>54</v>
      </c>
      <c r="J716" s="5" t="s">
        <v>181</v>
      </c>
      <c r="K716" s="5" t="s">
        <v>960</v>
      </c>
      <c r="L716" s="5" t="n">
        <v>2</v>
      </c>
      <c r="M716" s="5" t="n">
        <v>6</v>
      </c>
      <c r="N716" s="5" t="n">
        <v>6</v>
      </c>
      <c r="O716" s="5" t="n">
        <v>4</v>
      </c>
      <c r="P716" s="5" t="n">
        <v>1</v>
      </c>
      <c r="Q716" s="5" t="n">
        <v>-2</v>
      </c>
      <c r="R716" s="5" t="n">
        <v>7</v>
      </c>
      <c r="S716" s="5" t="n">
        <v>6</v>
      </c>
      <c r="T716" s="5" t="s">
        <v>1826</v>
      </c>
      <c r="U716" s="6"/>
      <c r="V716" s="6"/>
      <c r="W716" s="6"/>
      <c r="X716" s="6"/>
      <c r="Y716" s="7" t="str">
        <f aca="false">IF(COUNT(U716:X716)=4,(W716-X716)/2,"")</f>
        <v/>
      </c>
      <c r="Z716" s="7" t="str">
        <f aca="false">IF(COUNT(U716:X716)=4,(U716-V716)/2,"")</f>
        <v/>
      </c>
      <c r="AA716" s="7" t="str">
        <f aca="false">IF(COUNT(U716:X716)=4,MAX(1,MIN(10,ROUNDUP(5-Z716,0))),"")</f>
        <v/>
      </c>
      <c r="AB716" s="7" t="str">
        <f aca="false">IF(COUNT(U716:X716)=4,MAX(1,MIN(10,ROUNDUP(Y716+5,0))),"")</f>
        <v/>
      </c>
      <c r="AC716" s="6"/>
      <c r="AD716" s="6"/>
    </row>
    <row r="717" customFormat="false" ht="15" hidden="false" customHeight="true" outlineLevel="0" collapsed="false">
      <c r="A717" s="5" t="n">
        <v>716</v>
      </c>
      <c r="B717" s="5" t="s">
        <v>1827</v>
      </c>
      <c r="C717" s="5" t="s">
        <v>171</v>
      </c>
      <c r="D717" s="5" t="s">
        <v>172</v>
      </c>
      <c r="E717" s="5" t="n">
        <v>156</v>
      </c>
      <c r="F717" s="5" t="s">
        <v>1828</v>
      </c>
      <c r="G717" s="5" t="n">
        <v>4</v>
      </c>
      <c r="H717" s="5" t="s">
        <v>53</v>
      </c>
      <c r="I717" s="5" t="s">
        <v>54</v>
      </c>
      <c r="J717" s="5" t="s">
        <v>181</v>
      </c>
      <c r="K717" s="5" t="s">
        <v>333</v>
      </c>
      <c r="L717" s="5" t="n">
        <v>2</v>
      </c>
      <c r="M717" s="5" t="n">
        <v>4</v>
      </c>
      <c r="N717" s="5" t="n">
        <v>8</v>
      </c>
      <c r="O717" s="5" t="n">
        <v>2</v>
      </c>
      <c r="P717" s="5" t="n">
        <v>3</v>
      </c>
      <c r="Q717" s="5" t="n">
        <v>-1</v>
      </c>
      <c r="R717" s="5" t="n">
        <v>6</v>
      </c>
      <c r="S717" s="5" t="n">
        <v>8</v>
      </c>
      <c r="T717" s="5" t="s">
        <v>1829</v>
      </c>
      <c r="U717" s="6"/>
      <c r="V717" s="6"/>
      <c r="W717" s="6"/>
      <c r="X717" s="6"/>
      <c r="Y717" s="7" t="str">
        <f aca="false">IF(COUNT(U717:X717)=4,(W717-X717)/2,"")</f>
        <v/>
      </c>
      <c r="Z717" s="7" t="str">
        <f aca="false">IF(COUNT(U717:X717)=4,(U717-V717)/2,"")</f>
        <v/>
      </c>
      <c r="AA717" s="7" t="str">
        <f aca="false">IF(COUNT(U717:X717)=4,MAX(1,MIN(10,ROUNDUP(5-Z717,0))),"")</f>
        <v/>
      </c>
      <c r="AB717" s="7" t="str">
        <f aca="false">IF(COUNT(U717:X717)=4,MAX(1,MIN(10,ROUNDUP(Y717+5,0))),"")</f>
        <v/>
      </c>
      <c r="AC717" s="6"/>
      <c r="AD717" s="6"/>
    </row>
    <row r="718" customFormat="false" ht="15" hidden="false" customHeight="true" outlineLevel="0" collapsed="false">
      <c r="A718" s="5" t="n">
        <v>717</v>
      </c>
      <c r="B718" s="5" t="s">
        <v>1830</v>
      </c>
      <c r="C718" s="5" t="s">
        <v>171</v>
      </c>
      <c r="D718" s="5" t="s">
        <v>172</v>
      </c>
      <c r="E718" s="5" t="n">
        <v>156</v>
      </c>
      <c r="F718" s="5" t="s">
        <v>1831</v>
      </c>
      <c r="G718" s="5" t="n">
        <v>4</v>
      </c>
      <c r="H718" s="5" t="s">
        <v>53</v>
      </c>
      <c r="I718" s="5" t="s">
        <v>54</v>
      </c>
      <c r="J718" s="5" t="s">
        <v>181</v>
      </c>
      <c r="K718" s="5" t="s">
        <v>413</v>
      </c>
      <c r="L718" s="5" t="n">
        <v>5</v>
      </c>
      <c r="M718" s="5" t="n">
        <v>3</v>
      </c>
      <c r="N718" s="5" t="n">
        <v>3</v>
      </c>
      <c r="O718" s="5" t="n">
        <v>8</v>
      </c>
      <c r="P718" s="5" t="n">
        <v>-2.5</v>
      </c>
      <c r="Q718" s="5" t="n">
        <v>1</v>
      </c>
      <c r="R718" s="5" t="n">
        <v>4</v>
      </c>
      <c r="S718" s="5" t="n">
        <v>3</v>
      </c>
      <c r="T718" s="5" t="s">
        <v>1832</v>
      </c>
      <c r="U718" s="6"/>
      <c r="V718" s="6"/>
      <c r="W718" s="6"/>
      <c r="X718" s="6"/>
      <c r="Y718" s="7" t="str">
        <f aca="false">IF(COUNT(U718:X718)=4,(W718-X718)/2,"")</f>
        <v/>
      </c>
      <c r="Z718" s="7" t="str">
        <f aca="false">IF(COUNT(U718:X718)=4,(U718-V718)/2,"")</f>
        <v/>
      </c>
      <c r="AA718" s="7" t="str">
        <f aca="false">IF(COUNT(U718:X718)=4,MAX(1,MIN(10,ROUNDUP(5-Z718,0))),"")</f>
        <v/>
      </c>
      <c r="AB718" s="7" t="str">
        <f aca="false">IF(COUNT(U718:X718)=4,MAX(1,MIN(10,ROUNDUP(Y718+5,0))),"")</f>
        <v/>
      </c>
      <c r="AC718" s="6"/>
      <c r="AD718" s="6"/>
    </row>
    <row r="719" customFormat="false" ht="15" hidden="false" customHeight="true" outlineLevel="0" collapsed="false">
      <c r="A719" s="5" t="n">
        <v>718</v>
      </c>
      <c r="B719" s="5" t="s">
        <v>1833</v>
      </c>
      <c r="C719" s="5" t="s">
        <v>171</v>
      </c>
      <c r="D719" s="5" t="s">
        <v>172</v>
      </c>
      <c r="E719" s="5" t="n">
        <v>156</v>
      </c>
      <c r="F719" s="5" t="s">
        <v>1834</v>
      </c>
      <c r="G719" s="5" t="n">
        <v>4</v>
      </c>
      <c r="H719" s="5" t="s">
        <v>53</v>
      </c>
      <c r="I719" s="5" t="s">
        <v>54</v>
      </c>
      <c r="J719" s="5" t="s">
        <v>181</v>
      </c>
      <c r="K719" s="5" t="s">
        <v>309</v>
      </c>
      <c r="L719" s="5" t="n">
        <v>2</v>
      </c>
      <c r="M719" s="5" t="n">
        <v>5</v>
      </c>
      <c r="N719" s="5" t="n">
        <v>5</v>
      </c>
      <c r="O719" s="5" t="n">
        <v>4</v>
      </c>
      <c r="P719" s="5" t="n">
        <v>0.5</v>
      </c>
      <c r="Q719" s="5" t="n">
        <v>-1.5</v>
      </c>
      <c r="R719" s="5" t="n">
        <v>7</v>
      </c>
      <c r="S719" s="5" t="n">
        <v>6</v>
      </c>
      <c r="T719" s="5" t="s">
        <v>1835</v>
      </c>
      <c r="U719" s="6"/>
      <c r="V719" s="6"/>
      <c r="W719" s="6"/>
      <c r="X719" s="6"/>
      <c r="Y719" s="7" t="str">
        <f aca="false">IF(COUNT(U719:X719)=4,(W719-X719)/2,"")</f>
        <v/>
      </c>
      <c r="Z719" s="7" t="str">
        <f aca="false">IF(COUNT(U719:X719)=4,(U719-V719)/2,"")</f>
        <v/>
      </c>
      <c r="AA719" s="7" t="str">
        <f aca="false">IF(COUNT(U719:X719)=4,MAX(1,MIN(10,ROUNDUP(5-Z719,0))),"")</f>
        <v/>
      </c>
      <c r="AB719" s="7" t="str">
        <f aca="false">IF(COUNT(U719:X719)=4,MAX(1,MIN(10,ROUNDUP(Y719+5,0))),"")</f>
        <v/>
      </c>
      <c r="AC719" s="6"/>
      <c r="AD719" s="6"/>
    </row>
    <row r="720" customFormat="false" ht="15" hidden="false" customHeight="true" outlineLevel="0" collapsed="false">
      <c r="A720" s="5" t="n">
        <v>719</v>
      </c>
      <c r="B720" s="5" t="s">
        <v>1836</v>
      </c>
      <c r="C720" s="5" t="s">
        <v>203</v>
      </c>
      <c r="D720" s="5" t="s">
        <v>204</v>
      </c>
      <c r="E720" s="5" t="n">
        <v>156</v>
      </c>
      <c r="F720" s="5" t="s">
        <v>1836</v>
      </c>
      <c r="G720" s="5" t="n">
        <v>4</v>
      </c>
      <c r="H720" s="5" t="s">
        <v>53</v>
      </c>
      <c r="I720" s="5" t="s">
        <v>54</v>
      </c>
      <c r="J720" s="5" t="s">
        <v>117</v>
      </c>
      <c r="K720" s="5" t="s">
        <v>117</v>
      </c>
      <c r="L720" s="5" t="n">
        <v>4</v>
      </c>
      <c r="M720" s="5" t="n">
        <v>3</v>
      </c>
      <c r="N720" s="5" t="n">
        <v>1</v>
      </c>
      <c r="O720" s="5" t="n">
        <v>8</v>
      </c>
      <c r="P720" s="5" t="n">
        <v>-3.5</v>
      </c>
      <c r="Q720" s="5" t="n">
        <v>0.5</v>
      </c>
      <c r="R720" s="5" t="n">
        <v>5</v>
      </c>
      <c r="S720" s="5" t="n">
        <v>2</v>
      </c>
      <c r="T720" s="5" t="s">
        <v>1837</v>
      </c>
      <c r="U720" s="6"/>
      <c r="V720" s="6"/>
      <c r="W720" s="6"/>
      <c r="X720" s="6"/>
      <c r="Y720" s="7" t="str">
        <f aca="false">IF(COUNT(U720:X720)=4,(W720-X720)/2,"")</f>
        <v/>
      </c>
      <c r="Z720" s="7" t="str">
        <f aca="false">IF(COUNT(U720:X720)=4,(U720-V720)/2,"")</f>
        <v/>
      </c>
      <c r="AA720" s="7" t="str">
        <f aca="false">IF(COUNT(U720:X720)=4,MAX(1,MIN(10,ROUNDUP(5-Z720,0))),"")</f>
        <v/>
      </c>
      <c r="AB720" s="7" t="str">
        <f aca="false">IF(COUNT(U720:X720)=4,MAX(1,MIN(10,ROUNDUP(Y720+5,0))),"")</f>
        <v/>
      </c>
      <c r="AC720" s="6"/>
      <c r="AD720" s="6"/>
    </row>
    <row r="721" customFormat="false" ht="15" hidden="false" customHeight="true" outlineLevel="0" collapsed="false">
      <c r="A721" s="5" t="n">
        <v>720</v>
      </c>
      <c r="B721" s="5" t="s">
        <v>1838</v>
      </c>
      <c r="C721" s="5" t="s">
        <v>145</v>
      </c>
      <c r="D721" s="5" t="s">
        <v>51</v>
      </c>
      <c r="E721" s="5" t="n">
        <v>156</v>
      </c>
      <c r="F721" s="5" t="s">
        <v>1839</v>
      </c>
      <c r="G721" s="5" t="n">
        <v>4</v>
      </c>
      <c r="H721" s="5" t="s">
        <v>53</v>
      </c>
      <c r="I721" s="5" t="s">
        <v>54</v>
      </c>
      <c r="J721" s="5" t="s">
        <v>55</v>
      </c>
      <c r="K721" s="5" t="s">
        <v>55</v>
      </c>
      <c r="L721" s="5" t="n">
        <v>5</v>
      </c>
      <c r="M721" s="5" t="n">
        <v>3</v>
      </c>
      <c r="N721" s="5" t="n">
        <v>3</v>
      </c>
      <c r="O721" s="5" t="n">
        <v>6</v>
      </c>
      <c r="P721" s="5" t="n">
        <v>-1.5</v>
      </c>
      <c r="Q721" s="5" t="n">
        <v>1</v>
      </c>
      <c r="R721" s="5" t="n">
        <v>4</v>
      </c>
      <c r="S721" s="5" t="n">
        <v>4</v>
      </c>
      <c r="T721" s="5" t="s">
        <v>1840</v>
      </c>
      <c r="U721" s="6"/>
      <c r="V721" s="6"/>
      <c r="W721" s="6"/>
      <c r="X721" s="6"/>
      <c r="Y721" s="7" t="str">
        <f aca="false">IF(COUNT(U721:X721)=4,(W721-X721)/2,"")</f>
        <v/>
      </c>
      <c r="Z721" s="7" t="str">
        <f aca="false">IF(COUNT(U721:X721)=4,(U721-V721)/2,"")</f>
        <v/>
      </c>
      <c r="AA721" s="7" t="str">
        <f aca="false">IF(COUNT(U721:X721)=4,MAX(1,MIN(10,ROUNDUP(5-Z721,0))),"")</f>
        <v/>
      </c>
      <c r="AB721" s="7" t="str">
        <f aca="false">IF(COUNT(U721:X721)=4,MAX(1,MIN(10,ROUNDUP(Y721+5,0))),"")</f>
        <v/>
      </c>
      <c r="AC721" s="6"/>
      <c r="AD721" s="6"/>
    </row>
    <row r="722" customFormat="false" ht="15" hidden="false" customHeight="true" outlineLevel="0" collapsed="false">
      <c r="A722" s="5" t="n">
        <v>721</v>
      </c>
      <c r="B722" s="5" t="s">
        <v>1841</v>
      </c>
      <c r="C722" s="5" t="s">
        <v>171</v>
      </c>
      <c r="D722" s="5" t="s">
        <v>172</v>
      </c>
      <c r="E722" s="5" t="n">
        <v>155</v>
      </c>
      <c r="F722" s="5" t="s">
        <v>1842</v>
      </c>
      <c r="G722" s="5" t="n">
        <v>4</v>
      </c>
      <c r="H722" s="5" t="s">
        <v>53</v>
      </c>
      <c r="I722" s="5" t="s">
        <v>54</v>
      </c>
      <c r="J722" s="5" t="s">
        <v>181</v>
      </c>
      <c r="K722" s="5" t="s">
        <v>413</v>
      </c>
      <c r="L722" s="5" t="n">
        <v>5</v>
      </c>
      <c r="M722" s="5" t="n">
        <v>3</v>
      </c>
      <c r="N722" s="5" t="n">
        <v>3</v>
      </c>
      <c r="O722" s="5" t="n">
        <v>8</v>
      </c>
      <c r="P722" s="5" t="n">
        <v>-2.5</v>
      </c>
      <c r="Q722" s="5" t="n">
        <v>1</v>
      </c>
      <c r="R722" s="5" t="n">
        <v>4</v>
      </c>
      <c r="S722" s="5" t="n">
        <v>3</v>
      </c>
      <c r="T722" s="5" t="s">
        <v>1843</v>
      </c>
      <c r="U722" s="6"/>
      <c r="V722" s="6"/>
      <c r="W722" s="6"/>
      <c r="X722" s="6"/>
      <c r="Y722" s="7" t="str">
        <f aca="false">IF(COUNT(U722:X722)=4,(W722-X722)/2,"")</f>
        <v/>
      </c>
      <c r="Z722" s="7" t="str">
        <f aca="false">IF(COUNT(U722:X722)=4,(U722-V722)/2,"")</f>
        <v/>
      </c>
      <c r="AA722" s="7" t="str">
        <f aca="false">IF(COUNT(U722:X722)=4,MAX(1,MIN(10,ROUNDUP(5-Z722,0))),"")</f>
        <v/>
      </c>
      <c r="AB722" s="7" t="str">
        <f aca="false">IF(COUNT(U722:X722)=4,MAX(1,MIN(10,ROUNDUP(Y722+5,0))),"")</f>
        <v/>
      </c>
      <c r="AC722" s="6"/>
      <c r="AD722" s="6"/>
    </row>
    <row r="723" customFormat="false" ht="15" hidden="false" customHeight="true" outlineLevel="0" collapsed="false">
      <c r="A723" s="5" t="n">
        <v>722</v>
      </c>
      <c r="B723" s="5" t="s">
        <v>1844</v>
      </c>
      <c r="C723" s="5" t="s">
        <v>203</v>
      </c>
      <c r="D723" s="5" t="s">
        <v>204</v>
      </c>
      <c r="E723" s="5" t="n">
        <v>155</v>
      </c>
      <c r="F723" s="5" t="s">
        <v>1844</v>
      </c>
      <c r="G723" s="5" t="n">
        <v>4</v>
      </c>
      <c r="H723" s="5" t="s">
        <v>53</v>
      </c>
      <c r="I723" s="5" t="s">
        <v>54</v>
      </c>
      <c r="J723" s="5" t="s">
        <v>117</v>
      </c>
      <c r="K723" s="5" t="s">
        <v>117</v>
      </c>
      <c r="L723" s="5" t="n">
        <v>3</v>
      </c>
      <c r="M723" s="5" t="n">
        <v>3</v>
      </c>
      <c r="N723" s="5" t="n">
        <v>2</v>
      </c>
      <c r="O723" s="5" t="n">
        <v>8</v>
      </c>
      <c r="P723" s="5" t="n">
        <v>-3</v>
      </c>
      <c r="Q723" s="5" t="n">
        <v>0</v>
      </c>
      <c r="R723" s="5" t="n">
        <v>5</v>
      </c>
      <c r="S723" s="5" t="n">
        <v>2</v>
      </c>
      <c r="T723" s="5" t="s">
        <v>1845</v>
      </c>
      <c r="U723" s="6"/>
      <c r="V723" s="6"/>
      <c r="W723" s="6"/>
      <c r="X723" s="6"/>
      <c r="Y723" s="7" t="str">
        <f aca="false">IF(COUNT(U723:X723)=4,(W723-X723)/2,"")</f>
        <v/>
      </c>
      <c r="Z723" s="7" t="str">
        <f aca="false">IF(COUNT(U723:X723)=4,(U723-V723)/2,"")</f>
        <v/>
      </c>
      <c r="AA723" s="7" t="str">
        <f aca="false">IF(COUNT(U723:X723)=4,MAX(1,MIN(10,ROUNDUP(5-Z723,0))),"")</f>
        <v/>
      </c>
      <c r="AB723" s="7" t="str">
        <f aca="false">IF(COUNT(U723:X723)=4,MAX(1,MIN(10,ROUNDUP(Y723+5,0))),"")</f>
        <v/>
      </c>
      <c r="AC723" s="6"/>
      <c r="AD723" s="6"/>
    </row>
    <row r="724" customFormat="false" ht="15" hidden="false" customHeight="true" outlineLevel="0" collapsed="false">
      <c r="A724" s="5" t="n">
        <v>723</v>
      </c>
      <c r="B724" s="5" t="s">
        <v>1846</v>
      </c>
      <c r="C724" s="5" t="s">
        <v>171</v>
      </c>
      <c r="D724" s="5" t="s">
        <v>172</v>
      </c>
      <c r="E724" s="5" t="n">
        <v>155</v>
      </c>
      <c r="F724" s="5" t="s">
        <v>1847</v>
      </c>
      <c r="G724" s="5" t="n">
        <v>4</v>
      </c>
      <c r="H724" s="5" t="s">
        <v>53</v>
      </c>
      <c r="I724" s="5" t="s">
        <v>54</v>
      </c>
      <c r="J724" s="5" t="s">
        <v>181</v>
      </c>
      <c r="K724" s="5" t="s">
        <v>443</v>
      </c>
      <c r="L724" s="5" t="n">
        <v>5</v>
      </c>
      <c r="M724" s="5" t="n">
        <v>3</v>
      </c>
      <c r="N724" s="5" t="n">
        <v>4</v>
      </c>
      <c r="O724" s="5" t="n">
        <v>8</v>
      </c>
      <c r="P724" s="5" t="n">
        <v>-2</v>
      </c>
      <c r="Q724" s="5" t="n">
        <v>1</v>
      </c>
      <c r="R724" s="5" t="n">
        <v>4</v>
      </c>
      <c r="S724" s="5" t="n">
        <v>3</v>
      </c>
      <c r="T724" s="5" t="s">
        <v>1171</v>
      </c>
      <c r="U724" s="6"/>
      <c r="V724" s="6"/>
      <c r="W724" s="6"/>
      <c r="X724" s="6"/>
      <c r="Y724" s="7" t="str">
        <f aca="false">IF(COUNT(U724:X724)=4,(W724-X724)/2,"")</f>
        <v/>
      </c>
      <c r="Z724" s="7" t="str">
        <f aca="false">IF(COUNT(U724:X724)=4,(U724-V724)/2,"")</f>
        <v/>
      </c>
      <c r="AA724" s="7" t="str">
        <f aca="false">IF(COUNT(U724:X724)=4,MAX(1,MIN(10,ROUNDUP(5-Z724,0))),"")</f>
        <v/>
      </c>
      <c r="AB724" s="7" t="str">
        <f aca="false">IF(COUNT(U724:X724)=4,MAX(1,MIN(10,ROUNDUP(Y724+5,0))),"")</f>
        <v/>
      </c>
      <c r="AC724" s="6"/>
      <c r="AD724" s="6"/>
    </row>
    <row r="725" customFormat="false" ht="15" hidden="false" customHeight="true" outlineLevel="0" collapsed="false">
      <c r="A725" s="5" t="n">
        <v>724</v>
      </c>
      <c r="B725" s="5" t="s">
        <v>1848</v>
      </c>
      <c r="C725" s="5" t="s">
        <v>171</v>
      </c>
      <c r="D725" s="5" t="s">
        <v>172</v>
      </c>
      <c r="E725" s="5" t="n">
        <v>155</v>
      </c>
      <c r="F725" s="5" t="s">
        <v>1849</v>
      </c>
      <c r="G725" s="5" t="n">
        <v>4</v>
      </c>
      <c r="H725" s="5" t="s">
        <v>53</v>
      </c>
      <c r="I725" s="5" t="s">
        <v>54</v>
      </c>
      <c r="J725" s="5" t="s">
        <v>181</v>
      </c>
      <c r="K725" s="5" t="s">
        <v>235</v>
      </c>
      <c r="L725" s="5" t="n">
        <v>4</v>
      </c>
      <c r="M725" s="5" t="n">
        <v>4</v>
      </c>
      <c r="N725" s="5" t="n">
        <v>7</v>
      </c>
      <c r="O725" s="5" t="n">
        <v>4</v>
      </c>
      <c r="P725" s="5" t="n">
        <v>1.5</v>
      </c>
      <c r="Q725" s="5" t="n">
        <v>0</v>
      </c>
      <c r="R725" s="5" t="n">
        <v>5</v>
      </c>
      <c r="S725" s="5" t="n">
        <v>7</v>
      </c>
      <c r="T725" s="5" t="s">
        <v>1586</v>
      </c>
      <c r="U725" s="6"/>
      <c r="V725" s="6"/>
      <c r="W725" s="6"/>
      <c r="X725" s="6"/>
      <c r="Y725" s="7" t="str">
        <f aca="false">IF(COUNT(U725:X725)=4,(W725-X725)/2,"")</f>
        <v/>
      </c>
      <c r="Z725" s="7" t="str">
        <f aca="false">IF(COUNT(U725:X725)=4,(U725-V725)/2,"")</f>
        <v/>
      </c>
      <c r="AA725" s="7" t="str">
        <f aca="false">IF(COUNT(U725:X725)=4,MAX(1,MIN(10,ROUNDUP(5-Z725,0))),"")</f>
        <v/>
      </c>
      <c r="AB725" s="7" t="str">
        <f aca="false">IF(COUNT(U725:X725)=4,MAX(1,MIN(10,ROUNDUP(Y725+5,0))),"")</f>
        <v/>
      </c>
      <c r="AC725" s="6"/>
      <c r="AD725" s="6"/>
    </row>
    <row r="726" customFormat="false" ht="15" hidden="false" customHeight="true" outlineLevel="0" collapsed="false">
      <c r="A726" s="5" t="n">
        <v>725</v>
      </c>
      <c r="B726" s="5" t="s">
        <v>1850</v>
      </c>
      <c r="C726" s="5" t="s">
        <v>145</v>
      </c>
      <c r="D726" s="5" t="s">
        <v>51</v>
      </c>
      <c r="E726" s="5" t="n">
        <v>155</v>
      </c>
      <c r="F726" s="5" t="s">
        <v>1851</v>
      </c>
      <c r="G726" s="5" t="n">
        <v>4</v>
      </c>
      <c r="H726" s="5" t="s">
        <v>53</v>
      </c>
      <c r="I726" s="5" t="s">
        <v>54</v>
      </c>
      <c r="J726" s="5" t="s">
        <v>181</v>
      </c>
      <c r="K726" s="5" t="s">
        <v>413</v>
      </c>
      <c r="L726" s="5" t="n">
        <v>5</v>
      </c>
      <c r="M726" s="5" t="n">
        <v>3</v>
      </c>
      <c r="N726" s="5" t="n">
        <v>3</v>
      </c>
      <c r="O726" s="5" t="n">
        <v>8</v>
      </c>
      <c r="P726" s="5" t="n">
        <v>-2.5</v>
      </c>
      <c r="Q726" s="5" t="n">
        <v>1</v>
      </c>
      <c r="R726" s="5" t="n">
        <v>4</v>
      </c>
      <c r="S726" s="5" t="n">
        <v>3</v>
      </c>
      <c r="T726" s="5" t="s">
        <v>1852</v>
      </c>
      <c r="U726" s="6"/>
      <c r="V726" s="6"/>
      <c r="W726" s="6"/>
      <c r="X726" s="6"/>
      <c r="Y726" s="7" t="str">
        <f aca="false">IF(COUNT(U726:X726)=4,(W726-X726)/2,"")</f>
        <v/>
      </c>
      <c r="Z726" s="7" t="str">
        <f aca="false">IF(COUNT(U726:X726)=4,(U726-V726)/2,"")</f>
        <v/>
      </c>
      <c r="AA726" s="7" t="str">
        <f aca="false">IF(COUNT(U726:X726)=4,MAX(1,MIN(10,ROUNDUP(5-Z726,0))),"")</f>
        <v/>
      </c>
      <c r="AB726" s="7" t="str">
        <f aca="false">IF(COUNT(U726:X726)=4,MAX(1,MIN(10,ROUNDUP(Y726+5,0))),"")</f>
        <v/>
      </c>
      <c r="AC726" s="6"/>
      <c r="AD726" s="6"/>
    </row>
    <row r="727" customFormat="false" ht="15" hidden="false" customHeight="true" outlineLevel="0" collapsed="false">
      <c r="A727" s="5" t="n">
        <v>726</v>
      </c>
      <c r="B727" s="5" t="s">
        <v>1853</v>
      </c>
      <c r="C727" s="5" t="s">
        <v>171</v>
      </c>
      <c r="D727" s="5" t="s">
        <v>172</v>
      </c>
      <c r="E727" s="5" t="n">
        <v>154</v>
      </c>
      <c r="F727" s="5" t="s">
        <v>1854</v>
      </c>
      <c r="G727" s="5" t="n">
        <v>4</v>
      </c>
      <c r="H727" s="5" t="s">
        <v>53</v>
      </c>
      <c r="I727" s="5" t="s">
        <v>81</v>
      </c>
      <c r="J727" s="5" t="s">
        <v>174</v>
      </c>
      <c r="K727" s="5" t="s">
        <v>175</v>
      </c>
      <c r="L727" s="5" t="n">
        <v>8</v>
      </c>
      <c r="M727" s="5" t="n">
        <v>3</v>
      </c>
      <c r="N727" s="5" t="n">
        <v>5</v>
      </c>
      <c r="O727" s="5" t="n">
        <v>8</v>
      </c>
      <c r="P727" s="5" t="n">
        <v>-1.5</v>
      </c>
      <c r="Q727" s="5" t="n">
        <v>2.5</v>
      </c>
      <c r="R727" s="5" t="n">
        <v>3</v>
      </c>
      <c r="S727" s="5" t="n">
        <v>4</v>
      </c>
      <c r="T727" s="5" t="s">
        <v>1855</v>
      </c>
      <c r="U727" s="6"/>
      <c r="V727" s="6"/>
      <c r="W727" s="6"/>
      <c r="X727" s="6"/>
      <c r="Y727" s="7" t="str">
        <f aca="false">IF(COUNT(U727:X727)=4,(W727-X727)/2,"")</f>
        <v/>
      </c>
      <c r="Z727" s="7" t="str">
        <f aca="false">IF(COUNT(U727:X727)=4,(U727-V727)/2,"")</f>
        <v/>
      </c>
      <c r="AA727" s="7" t="str">
        <f aca="false">IF(COUNT(U727:X727)=4,MAX(1,MIN(10,ROUNDUP(5-Z727,0))),"")</f>
        <v/>
      </c>
      <c r="AB727" s="7" t="str">
        <f aca="false">IF(COUNT(U727:X727)=4,MAX(1,MIN(10,ROUNDUP(Y727+5,0))),"")</f>
        <v/>
      </c>
      <c r="AC727" s="6"/>
      <c r="AD727" s="6"/>
    </row>
    <row r="728" customFormat="false" ht="15" hidden="false" customHeight="true" outlineLevel="0" collapsed="false">
      <c r="A728" s="5" t="n">
        <v>727</v>
      </c>
      <c r="B728" s="5" t="s">
        <v>1856</v>
      </c>
      <c r="C728" s="5" t="s">
        <v>171</v>
      </c>
      <c r="D728" s="5" t="s">
        <v>172</v>
      </c>
      <c r="E728" s="5" t="n">
        <v>154</v>
      </c>
      <c r="F728" s="5" t="s">
        <v>1857</v>
      </c>
      <c r="G728" s="5" t="n">
        <v>4</v>
      </c>
      <c r="H728" s="5" t="s">
        <v>53</v>
      </c>
      <c r="I728" s="5" t="s">
        <v>54</v>
      </c>
      <c r="J728" s="5" t="s">
        <v>181</v>
      </c>
      <c r="K728" s="5" t="s">
        <v>279</v>
      </c>
      <c r="L728" s="5" t="n">
        <v>4</v>
      </c>
      <c r="M728" s="5" t="n">
        <v>5</v>
      </c>
      <c r="N728" s="5" t="n">
        <v>5</v>
      </c>
      <c r="O728" s="5" t="n">
        <v>7</v>
      </c>
      <c r="P728" s="5" t="n">
        <v>-1</v>
      </c>
      <c r="Q728" s="5" t="n">
        <v>-0.5</v>
      </c>
      <c r="R728" s="5" t="n">
        <v>6</v>
      </c>
      <c r="S728" s="5" t="n">
        <v>4</v>
      </c>
      <c r="T728" s="5" t="s">
        <v>1858</v>
      </c>
      <c r="U728" s="6"/>
      <c r="V728" s="6"/>
      <c r="W728" s="6"/>
      <c r="X728" s="6"/>
      <c r="Y728" s="7" t="str">
        <f aca="false">IF(COUNT(U728:X728)=4,(W728-X728)/2,"")</f>
        <v/>
      </c>
      <c r="Z728" s="7" t="str">
        <f aca="false">IF(COUNT(U728:X728)=4,(U728-V728)/2,"")</f>
        <v/>
      </c>
      <c r="AA728" s="7" t="str">
        <f aca="false">IF(COUNT(U728:X728)=4,MAX(1,MIN(10,ROUNDUP(5-Z728,0))),"")</f>
        <v/>
      </c>
      <c r="AB728" s="7" t="str">
        <f aca="false">IF(COUNT(U728:X728)=4,MAX(1,MIN(10,ROUNDUP(Y728+5,0))),"")</f>
        <v/>
      </c>
      <c r="AC728" s="6"/>
      <c r="AD728" s="6"/>
    </row>
    <row r="729" customFormat="false" ht="15" hidden="false" customHeight="true" outlineLevel="0" collapsed="false">
      <c r="A729" s="5" t="n">
        <v>728</v>
      </c>
      <c r="B729" s="5" t="s">
        <v>1859</v>
      </c>
      <c r="C729" s="5" t="s">
        <v>171</v>
      </c>
      <c r="D729" s="5" t="s">
        <v>172</v>
      </c>
      <c r="E729" s="5" t="n">
        <v>154</v>
      </c>
      <c r="F729" s="5" t="s">
        <v>1860</v>
      </c>
      <c r="G729" s="5" t="n">
        <v>4</v>
      </c>
      <c r="H729" s="5" t="s">
        <v>53</v>
      </c>
      <c r="I729" s="5" t="s">
        <v>54</v>
      </c>
      <c r="J729" s="5" t="s">
        <v>181</v>
      </c>
      <c r="K729" s="5" t="s">
        <v>443</v>
      </c>
      <c r="L729" s="5" t="n">
        <v>5</v>
      </c>
      <c r="M729" s="5" t="n">
        <v>3</v>
      </c>
      <c r="N729" s="5" t="n">
        <v>4</v>
      </c>
      <c r="O729" s="5" t="n">
        <v>8</v>
      </c>
      <c r="P729" s="5" t="n">
        <v>-2</v>
      </c>
      <c r="Q729" s="5" t="n">
        <v>1</v>
      </c>
      <c r="R729" s="5" t="n">
        <v>4</v>
      </c>
      <c r="S729" s="5" t="n">
        <v>3</v>
      </c>
      <c r="T729" s="5" t="s">
        <v>1861</v>
      </c>
      <c r="U729" s="6"/>
      <c r="V729" s="6"/>
      <c r="W729" s="6"/>
      <c r="X729" s="6"/>
      <c r="Y729" s="7" t="str">
        <f aca="false">IF(COUNT(U729:X729)=4,(W729-X729)/2,"")</f>
        <v/>
      </c>
      <c r="Z729" s="7" t="str">
        <f aca="false">IF(COUNT(U729:X729)=4,(U729-V729)/2,"")</f>
        <v/>
      </c>
      <c r="AA729" s="7" t="str">
        <f aca="false">IF(COUNT(U729:X729)=4,MAX(1,MIN(10,ROUNDUP(5-Z729,0))),"")</f>
        <v/>
      </c>
      <c r="AB729" s="7" t="str">
        <f aca="false">IF(COUNT(U729:X729)=4,MAX(1,MIN(10,ROUNDUP(Y729+5,0))),"")</f>
        <v/>
      </c>
      <c r="AC729" s="6"/>
      <c r="AD729" s="6"/>
    </row>
    <row r="730" customFormat="false" ht="15" hidden="false" customHeight="true" outlineLevel="0" collapsed="false">
      <c r="A730" s="5" t="n">
        <v>729</v>
      </c>
      <c r="B730" s="5" t="s">
        <v>1862</v>
      </c>
      <c r="C730" s="5" t="s">
        <v>171</v>
      </c>
      <c r="D730" s="5" t="s">
        <v>172</v>
      </c>
      <c r="E730" s="5" t="n">
        <v>153</v>
      </c>
      <c r="F730" s="5" t="s">
        <v>1863</v>
      </c>
      <c r="G730" s="5" t="n">
        <v>4</v>
      </c>
      <c r="H730" s="5" t="s">
        <v>53</v>
      </c>
      <c r="I730" s="5" t="s">
        <v>54</v>
      </c>
      <c r="J730" s="5" t="s">
        <v>181</v>
      </c>
      <c r="K730" s="5" t="s">
        <v>309</v>
      </c>
      <c r="L730" s="5" t="n">
        <v>2</v>
      </c>
      <c r="M730" s="5" t="n">
        <v>5</v>
      </c>
      <c r="N730" s="5" t="n">
        <v>5</v>
      </c>
      <c r="O730" s="5" t="n">
        <v>4</v>
      </c>
      <c r="P730" s="5" t="n">
        <v>0.5</v>
      </c>
      <c r="Q730" s="5" t="n">
        <v>-1.5</v>
      </c>
      <c r="R730" s="5" t="n">
        <v>7</v>
      </c>
      <c r="S730" s="5" t="n">
        <v>6</v>
      </c>
      <c r="T730" s="5" t="s">
        <v>210</v>
      </c>
      <c r="U730" s="6"/>
      <c r="V730" s="6"/>
      <c r="W730" s="6"/>
      <c r="X730" s="6"/>
      <c r="Y730" s="7" t="str">
        <f aca="false">IF(COUNT(U730:X730)=4,(W730-X730)/2,"")</f>
        <v/>
      </c>
      <c r="Z730" s="7" t="str">
        <f aca="false">IF(COUNT(U730:X730)=4,(U730-V730)/2,"")</f>
        <v/>
      </c>
      <c r="AA730" s="7" t="str">
        <f aca="false">IF(COUNT(U730:X730)=4,MAX(1,MIN(10,ROUNDUP(5-Z730,0))),"")</f>
        <v/>
      </c>
      <c r="AB730" s="7" t="str">
        <f aca="false">IF(COUNT(U730:X730)=4,MAX(1,MIN(10,ROUNDUP(Y730+5,0))),"")</f>
        <v/>
      </c>
      <c r="AC730" s="6"/>
      <c r="AD730" s="6"/>
    </row>
    <row r="731" customFormat="false" ht="15" hidden="false" customHeight="true" outlineLevel="0" collapsed="false">
      <c r="A731" s="5" t="n">
        <v>730</v>
      </c>
      <c r="B731" s="5" t="s">
        <v>1864</v>
      </c>
      <c r="C731" s="5" t="s">
        <v>171</v>
      </c>
      <c r="D731" s="5" t="s">
        <v>172</v>
      </c>
      <c r="E731" s="5" t="n">
        <v>153</v>
      </c>
      <c r="F731" s="5" t="s">
        <v>1865</v>
      </c>
      <c r="G731" s="5" t="n">
        <v>4</v>
      </c>
      <c r="H731" s="5" t="s">
        <v>53</v>
      </c>
      <c r="I731" s="5" t="s">
        <v>54</v>
      </c>
      <c r="J731" s="5" t="s">
        <v>181</v>
      </c>
      <c r="K731" s="5" t="s">
        <v>443</v>
      </c>
      <c r="L731" s="5" t="n">
        <v>5</v>
      </c>
      <c r="M731" s="5" t="n">
        <v>3</v>
      </c>
      <c r="N731" s="5" t="n">
        <v>4</v>
      </c>
      <c r="O731" s="5" t="n">
        <v>8</v>
      </c>
      <c r="P731" s="5" t="n">
        <v>-2</v>
      </c>
      <c r="Q731" s="5" t="n">
        <v>1</v>
      </c>
      <c r="R731" s="5" t="n">
        <v>4</v>
      </c>
      <c r="S731" s="5" t="n">
        <v>3</v>
      </c>
      <c r="T731" s="5" t="s">
        <v>1866</v>
      </c>
      <c r="U731" s="6"/>
      <c r="V731" s="6"/>
      <c r="W731" s="6"/>
      <c r="X731" s="6"/>
      <c r="Y731" s="7" t="str">
        <f aca="false">IF(COUNT(U731:X731)=4,(W731-X731)/2,"")</f>
        <v/>
      </c>
      <c r="Z731" s="7" t="str">
        <f aca="false">IF(COUNT(U731:X731)=4,(U731-V731)/2,"")</f>
        <v/>
      </c>
      <c r="AA731" s="7" t="str">
        <f aca="false">IF(COUNT(U731:X731)=4,MAX(1,MIN(10,ROUNDUP(5-Z731,0))),"")</f>
        <v/>
      </c>
      <c r="AB731" s="7" t="str">
        <f aca="false">IF(COUNT(U731:X731)=4,MAX(1,MIN(10,ROUNDUP(Y731+5,0))),"")</f>
        <v/>
      </c>
      <c r="AC731" s="6"/>
      <c r="AD731" s="6"/>
    </row>
    <row r="732" customFormat="false" ht="15" hidden="false" customHeight="true" outlineLevel="0" collapsed="false">
      <c r="A732" s="5" t="n">
        <v>731</v>
      </c>
      <c r="B732" s="5" t="s">
        <v>1867</v>
      </c>
      <c r="C732" s="5" t="s">
        <v>171</v>
      </c>
      <c r="D732" s="5" t="s">
        <v>172</v>
      </c>
      <c r="E732" s="5" t="n">
        <v>153</v>
      </c>
      <c r="F732" s="5" t="s">
        <v>1868</v>
      </c>
      <c r="G732" s="5" t="n">
        <v>4</v>
      </c>
      <c r="H732" s="5" t="s">
        <v>53</v>
      </c>
      <c r="I732" s="5" t="s">
        <v>54</v>
      </c>
      <c r="J732" s="5" t="s">
        <v>181</v>
      </c>
      <c r="K732" s="5" t="s">
        <v>333</v>
      </c>
      <c r="L732" s="5" t="n">
        <v>2</v>
      </c>
      <c r="M732" s="5" t="n">
        <v>4</v>
      </c>
      <c r="N732" s="5" t="n">
        <v>8</v>
      </c>
      <c r="O732" s="5" t="n">
        <v>2</v>
      </c>
      <c r="P732" s="5" t="n">
        <v>3</v>
      </c>
      <c r="Q732" s="5" t="n">
        <v>-1</v>
      </c>
      <c r="R732" s="5" t="n">
        <v>6</v>
      </c>
      <c r="S732" s="5" t="n">
        <v>8</v>
      </c>
      <c r="T732" s="5" t="s">
        <v>1869</v>
      </c>
      <c r="U732" s="6"/>
      <c r="V732" s="6"/>
      <c r="W732" s="6"/>
      <c r="X732" s="6"/>
      <c r="Y732" s="7" t="str">
        <f aca="false">IF(COUNT(U732:X732)=4,(W732-X732)/2,"")</f>
        <v/>
      </c>
      <c r="Z732" s="7" t="str">
        <f aca="false">IF(COUNT(U732:X732)=4,(U732-V732)/2,"")</f>
        <v/>
      </c>
      <c r="AA732" s="7" t="str">
        <f aca="false">IF(COUNT(U732:X732)=4,MAX(1,MIN(10,ROUNDUP(5-Z732,0))),"")</f>
        <v/>
      </c>
      <c r="AB732" s="7" t="str">
        <f aca="false">IF(COUNT(U732:X732)=4,MAX(1,MIN(10,ROUNDUP(Y732+5,0))),"")</f>
        <v/>
      </c>
      <c r="AC732" s="6"/>
      <c r="AD732" s="6"/>
    </row>
    <row r="733" customFormat="false" ht="15" hidden="false" customHeight="true" outlineLevel="0" collapsed="false">
      <c r="A733" s="5" t="n">
        <v>732</v>
      </c>
      <c r="B733" s="5" t="s">
        <v>1870</v>
      </c>
      <c r="C733" s="5" t="s">
        <v>145</v>
      </c>
      <c r="D733" s="5" t="s">
        <v>51</v>
      </c>
      <c r="E733" s="5" t="n">
        <v>153</v>
      </c>
      <c r="F733" s="5" t="s">
        <v>1871</v>
      </c>
      <c r="G733" s="5" t="n">
        <v>4</v>
      </c>
      <c r="H733" s="5" t="s">
        <v>53</v>
      </c>
      <c r="I733" s="5" t="s">
        <v>54</v>
      </c>
      <c r="J733" s="5" t="s">
        <v>55</v>
      </c>
      <c r="K733" s="5" t="s">
        <v>55</v>
      </c>
      <c r="L733" s="5" t="n">
        <v>4</v>
      </c>
      <c r="M733" s="5" t="n">
        <v>3</v>
      </c>
      <c r="N733" s="5" t="n">
        <v>9</v>
      </c>
      <c r="O733" s="5" t="n">
        <v>2</v>
      </c>
      <c r="P733" s="5" t="n">
        <v>3.5</v>
      </c>
      <c r="Q733" s="5" t="n">
        <v>0.5</v>
      </c>
      <c r="R733" s="5" t="n">
        <v>5</v>
      </c>
      <c r="S733" s="5" t="n">
        <v>9</v>
      </c>
      <c r="T733" s="5" t="s">
        <v>1759</v>
      </c>
      <c r="U733" s="6"/>
      <c r="V733" s="6"/>
      <c r="W733" s="6"/>
      <c r="X733" s="6"/>
      <c r="Y733" s="7" t="str">
        <f aca="false">IF(COUNT(U733:X733)=4,(W733-X733)/2,"")</f>
        <v/>
      </c>
      <c r="Z733" s="7" t="str">
        <f aca="false">IF(COUNT(U733:X733)=4,(U733-V733)/2,"")</f>
        <v/>
      </c>
      <c r="AA733" s="7" t="str">
        <f aca="false">IF(COUNT(U733:X733)=4,MAX(1,MIN(10,ROUNDUP(5-Z733,0))),"")</f>
        <v/>
      </c>
      <c r="AB733" s="7" t="str">
        <f aca="false">IF(COUNT(U733:X733)=4,MAX(1,MIN(10,ROUNDUP(Y733+5,0))),"")</f>
        <v/>
      </c>
      <c r="AC733" s="6"/>
      <c r="AD733" s="6"/>
    </row>
    <row r="734" customFormat="false" ht="15" hidden="false" customHeight="true" outlineLevel="0" collapsed="false">
      <c r="A734" s="5" t="n">
        <v>733</v>
      </c>
      <c r="B734" s="5" t="s">
        <v>1872</v>
      </c>
      <c r="C734" s="5" t="s">
        <v>171</v>
      </c>
      <c r="D734" s="5" t="s">
        <v>172</v>
      </c>
      <c r="E734" s="5" t="n">
        <v>153</v>
      </c>
      <c r="F734" s="5" t="s">
        <v>1873</v>
      </c>
      <c r="G734" s="5" t="n">
        <v>4</v>
      </c>
      <c r="H734" s="5" t="s">
        <v>53</v>
      </c>
      <c r="I734" s="5" t="s">
        <v>54</v>
      </c>
      <c r="J734" s="5" t="s">
        <v>181</v>
      </c>
      <c r="K734" s="5" t="s">
        <v>179</v>
      </c>
      <c r="L734" s="5" t="n">
        <v>2</v>
      </c>
      <c r="M734" s="5" t="n">
        <v>6</v>
      </c>
      <c r="N734" s="5" t="n">
        <v>2</v>
      </c>
      <c r="O734" s="5" t="n">
        <v>6</v>
      </c>
      <c r="P734" s="5" t="n">
        <v>-2</v>
      </c>
      <c r="Q734" s="5" t="n">
        <v>-2</v>
      </c>
      <c r="R734" s="5" t="n">
        <v>7</v>
      </c>
      <c r="S734" s="5" t="n">
        <v>3</v>
      </c>
      <c r="T734" s="5" t="s">
        <v>1874</v>
      </c>
      <c r="U734" s="6"/>
      <c r="V734" s="6"/>
      <c r="W734" s="6"/>
      <c r="X734" s="6"/>
      <c r="Y734" s="7" t="str">
        <f aca="false">IF(COUNT(U734:X734)=4,(W734-X734)/2,"")</f>
        <v/>
      </c>
      <c r="Z734" s="7" t="str">
        <f aca="false">IF(COUNT(U734:X734)=4,(U734-V734)/2,"")</f>
        <v/>
      </c>
      <c r="AA734" s="7" t="str">
        <f aca="false">IF(COUNT(U734:X734)=4,MAX(1,MIN(10,ROUNDUP(5-Z734,0))),"")</f>
        <v/>
      </c>
      <c r="AB734" s="7" t="str">
        <f aca="false">IF(COUNT(U734:X734)=4,MAX(1,MIN(10,ROUNDUP(Y734+5,0))),"")</f>
        <v/>
      </c>
      <c r="AC734" s="6"/>
      <c r="AD734" s="6"/>
    </row>
    <row r="735" customFormat="false" ht="15" hidden="false" customHeight="true" outlineLevel="0" collapsed="false">
      <c r="A735" s="5" t="n">
        <v>734</v>
      </c>
      <c r="B735" s="5" t="s">
        <v>1875</v>
      </c>
      <c r="C735" s="5" t="s">
        <v>171</v>
      </c>
      <c r="D735" s="5" t="s">
        <v>172</v>
      </c>
      <c r="E735" s="5" t="n">
        <v>153</v>
      </c>
      <c r="F735" s="5" t="s">
        <v>1876</v>
      </c>
      <c r="G735" s="5" t="n">
        <v>4</v>
      </c>
      <c r="H735" s="5" t="s">
        <v>53</v>
      </c>
      <c r="I735" s="5" t="s">
        <v>54</v>
      </c>
      <c r="J735" s="5" t="s">
        <v>181</v>
      </c>
      <c r="K735" s="5" t="s">
        <v>309</v>
      </c>
      <c r="L735" s="5" t="n">
        <v>2</v>
      </c>
      <c r="M735" s="5" t="n">
        <v>5</v>
      </c>
      <c r="N735" s="5" t="n">
        <v>5</v>
      </c>
      <c r="O735" s="5" t="n">
        <v>4</v>
      </c>
      <c r="P735" s="5" t="n">
        <v>0.5</v>
      </c>
      <c r="Q735" s="5" t="n">
        <v>-1.5</v>
      </c>
      <c r="R735" s="5" t="n">
        <v>7</v>
      </c>
      <c r="S735" s="5" t="n">
        <v>6</v>
      </c>
      <c r="T735" s="5" t="s">
        <v>1877</v>
      </c>
      <c r="U735" s="6"/>
      <c r="V735" s="6"/>
      <c r="W735" s="6"/>
      <c r="X735" s="6"/>
      <c r="Y735" s="7" t="str">
        <f aca="false">IF(COUNT(U735:X735)=4,(W735-X735)/2,"")</f>
        <v/>
      </c>
      <c r="Z735" s="7" t="str">
        <f aca="false">IF(COUNT(U735:X735)=4,(U735-V735)/2,"")</f>
        <v/>
      </c>
      <c r="AA735" s="7" t="str">
        <f aca="false">IF(COUNT(U735:X735)=4,MAX(1,MIN(10,ROUNDUP(5-Z735,0))),"")</f>
        <v/>
      </c>
      <c r="AB735" s="7" t="str">
        <f aca="false">IF(COUNT(U735:X735)=4,MAX(1,MIN(10,ROUNDUP(Y735+5,0))),"")</f>
        <v/>
      </c>
      <c r="AC735" s="6"/>
      <c r="AD735" s="6"/>
    </row>
    <row r="736" customFormat="false" ht="15" hidden="false" customHeight="true" outlineLevel="0" collapsed="false">
      <c r="A736" s="5" t="n">
        <v>735</v>
      </c>
      <c r="B736" s="5" t="s">
        <v>1878</v>
      </c>
      <c r="C736" s="5" t="s">
        <v>145</v>
      </c>
      <c r="D736" s="5" t="s">
        <v>51</v>
      </c>
      <c r="E736" s="5" t="n">
        <v>153</v>
      </c>
      <c r="F736" s="5" t="s">
        <v>1879</v>
      </c>
      <c r="G736" s="5" t="n">
        <v>4</v>
      </c>
      <c r="H736" s="5" t="s">
        <v>53</v>
      </c>
      <c r="I736" s="5" t="s">
        <v>54</v>
      </c>
      <c r="J736" s="5" t="s">
        <v>55</v>
      </c>
      <c r="K736" s="5" t="s">
        <v>55</v>
      </c>
      <c r="L736" s="5" t="n">
        <v>6</v>
      </c>
      <c r="M736" s="5" t="n">
        <v>2</v>
      </c>
      <c r="N736" s="5" t="n">
        <v>3</v>
      </c>
      <c r="O736" s="5" t="n">
        <v>8</v>
      </c>
      <c r="P736" s="5" t="n">
        <v>-2.5</v>
      </c>
      <c r="Q736" s="5" t="n">
        <v>2</v>
      </c>
      <c r="R736" s="5" t="n">
        <v>3</v>
      </c>
      <c r="S736" s="5" t="n">
        <v>3</v>
      </c>
      <c r="T736" s="5" t="s">
        <v>1880</v>
      </c>
      <c r="U736" s="6"/>
      <c r="V736" s="6"/>
      <c r="W736" s="6"/>
      <c r="X736" s="6"/>
      <c r="Y736" s="7" t="str">
        <f aca="false">IF(COUNT(U736:X736)=4,(W736-X736)/2,"")</f>
        <v/>
      </c>
      <c r="Z736" s="7" t="str">
        <f aca="false">IF(COUNT(U736:X736)=4,(U736-V736)/2,"")</f>
        <v/>
      </c>
      <c r="AA736" s="7" t="str">
        <f aca="false">IF(COUNT(U736:X736)=4,MAX(1,MIN(10,ROUNDUP(5-Z736,0))),"")</f>
        <v/>
      </c>
      <c r="AB736" s="7" t="str">
        <f aca="false">IF(COUNT(U736:X736)=4,MAX(1,MIN(10,ROUNDUP(Y736+5,0))),"")</f>
        <v/>
      </c>
      <c r="AC736" s="6"/>
      <c r="AD736" s="6"/>
    </row>
    <row r="737" customFormat="false" ht="15" hidden="false" customHeight="true" outlineLevel="0" collapsed="false">
      <c r="A737" s="5" t="n">
        <v>736</v>
      </c>
      <c r="B737" s="5" t="s">
        <v>1881</v>
      </c>
      <c r="C737" s="5" t="s">
        <v>108</v>
      </c>
      <c r="D737" s="5" t="s">
        <v>109</v>
      </c>
      <c r="E737" s="5" t="n">
        <v>153</v>
      </c>
      <c r="F737" s="5" t="s">
        <v>1881</v>
      </c>
      <c r="G737" s="5" t="n">
        <v>4</v>
      </c>
      <c r="H737" s="5" t="s">
        <v>53</v>
      </c>
      <c r="I737" s="5" t="s">
        <v>54</v>
      </c>
      <c r="J737" s="5" t="s">
        <v>117</v>
      </c>
      <c r="K737" s="5" t="s">
        <v>117</v>
      </c>
      <c r="L737" s="5" t="n">
        <v>3</v>
      </c>
      <c r="M737" s="5" t="n">
        <v>2</v>
      </c>
      <c r="N737" s="5" t="n">
        <v>2</v>
      </c>
      <c r="O737" s="5" t="n">
        <v>7</v>
      </c>
      <c r="P737" s="5" t="n">
        <v>-2.5</v>
      </c>
      <c r="Q737" s="5" t="n">
        <v>0.5</v>
      </c>
      <c r="R737" s="5" t="n">
        <v>5</v>
      </c>
      <c r="S737" s="5" t="n">
        <v>3</v>
      </c>
      <c r="T737" s="5" t="s">
        <v>923</v>
      </c>
      <c r="U737" s="6"/>
      <c r="V737" s="6"/>
      <c r="W737" s="6"/>
      <c r="X737" s="6"/>
      <c r="Y737" s="7" t="str">
        <f aca="false">IF(COUNT(U737:X737)=4,(W737-X737)/2,"")</f>
        <v/>
      </c>
      <c r="Z737" s="7" t="str">
        <f aca="false">IF(COUNT(U737:X737)=4,(U737-V737)/2,"")</f>
        <v/>
      </c>
      <c r="AA737" s="7" t="str">
        <f aca="false">IF(COUNT(U737:X737)=4,MAX(1,MIN(10,ROUNDUP(5-Z737,0))),"")</f>
        <v/>
      </c>
      <c r="AB737" s="7" t="str">
        <f aca="false">IF(COUNT(U737:X737)=4,MAX(1,MIN(10,ROUNDUP(Y737+5,0))),"")</f>
        <v/>
      </c>
      <c r="AC737" s="6"/>
      <c r="AD737" s="6"/>
    </row>
    <row r="738" customFormat="false" ht="15" hidden="false" customHeight="true" outlineLevel="0" collapsed="false">
      <c r="A738" s="5" t="n">
        <v>737</v>
      </c>
      <c r="B738" s="5" t="s">
        <v>1882</v>
      </c>
      <c r="C738" s="5" t="s">
        <v>145</v>
      </c>
      <c r="D738" s="5" t="s">
        <v>51</v>
      </c>
      <c r="E738" s="5" t="n">
        <v>153</v>
      </c>
      <c r="F738" s="5" t="s">
        <v>1883</v>
      </c>
      <c r="G738" s="5" t="n">
        <v>4</v>
      </c>
      <c r="H738" s="5" t="s">
        <v>53</v>
      </c>
      <c r="I738" s="5" t="s">
        <v>54</v>
      </c>
      <c r="J738" s="5" t="s">
        <v>55</v>
      </c>
      <c r="K738" s="5" t="s">
        <v>55</v>
      </c>
      <c r="L738" s="5" t="n">
        <v>7</v>
      </c>
      <c r="M738" s="5" t="n">
        <v>2</v>
      </c>
      <c r="N738" s="5" t="n">
        <v>4</v>
      </c>
      <c r="O738" s="5" t="n">
        <v>8</v>
      </c>
      <c r="P738" s="5" t="n">
        <v>-2</v>
      </c>
      <c r="Q738" s="5" t="n">
        <v>2.5</v>
      </c>
      <c r="R738" s="5" t="n">
        <v>3</v>
      </c>
      <c r="S738" s="5" t="n">
        <v>3</v>
      </c>
      <c r="T738" s="5" t="s">
        <v>1884</v>
      </c>
      <c r="U738" s="6"/>
      <c r="V738" s="6"/>
      <c r="W738" s="6"/>
      <c r="X738" s="6"/>
      <c r="Y738" s="7" t="str">
        <f aca="false">IF(COUNT(U738:X738)=4,(W738-X738)/2,"")</f>
        <v/>
      </c>
      <c r="Z738" s="7" t="str">
        <f aca="false">IF(COUNT(U738:X738)=4,(U738-V738)/2,"")</f>
        <v/>
      </c>
      <c r="AA738" s="7" t="str">
        <f aca="false">IF(COUNT(U738:X738)=4,MAX(1,MIN(10,ROUNDUP(5-Z738,0))),"")</f>
        <v/>
      </c>
      <c r="AB738" s="7" t="str">
        <f aca="false">IF(COUNT(U738:X738)=4,MAX(1,MIN(10,ROUNDUP(Y738+5,0))),"")</f>
        <v/>
      </c>
      <c r="AC738" s="6"/>
      <c r="AD738" s="6"/>
    </row>
    <row r="739" customFormat="false" ht="15" hidden="false" customHeight="true" outlineLevel="0" collapsed="false">
      <c r="A739" s="5" t="n">
        <v>738</v>
      </c>
      <c r="B739" s="5" t="s">
        <v>1885</v>
      </c>
      <c r="C739" s="5" t="s">
        <v>145</v>
      </c>
      <c r="D739" s="5" t="s">
        <v>51</v>
      </c>
      <c r="E739" s="5" t="n">
        <v>153</v>
      </c>
      <c r="F739" s="5" t="s">
        <v>1886</v>
      </c>
      <c r="G739" s="5" t="n">
        <v>4</v>
      </c>
      <c r="H739" s="5" t="s">
        <v>53</v>
      </c>
      <c r="I739" s="5" t="s">
        <v>54</v>
      </c>
      <c r="J739" s="5" t="s">
        <v>55</v>
      </c>
      <c r="K739" s="5" t="s">
        <v>55</v>
      </c>
      <c r="L739" s="5" t="n">
        <v>4</v>
      </c>
      <c r="M739" s="5" t="n">
        <v>3</v>
      </c>
      <c r="N739" s="5" t="n">
        <v>9</v>
      </c>
      <c r="O739" s="5" t="n">
        <v>2</v>
      </c>
      <c r="P739" s="5" t="n">
        <v>3.5</v>
      </c>
      <c r="Q739" s="5" t="n">
        <v>0.5</v>
      </c>
      <c r="R739" s="5" t="n">
        <v>5</v>
      </c>
      <c r="S739" s="5" t="n">
        <v>9</v>
      </c>
      <c r="T739" s="5" t="s">
        <v>1887</v>
      </c>
      <c r="U739" s="6"/>
      <c r="V739" s="6"/>
      <c r="W739" s="6"/>
      <c r="X739" s="6"/>
      <c r="Y739" s="7" t="str">
        <f aca="false">IF(COUNT(U739:X739)=4,(W739-X739)/2,"")</f>
        <v/>
      </c>
      <c r="Z739" s="7" t="str">
        <f aca="false">IF(COUNT(U739:X739)=4,(U739-V739)/2,"")</f>
        <v/>
      </c>
      <c r="AA739" s="7" t="str">
        <f aca="false">IF(COUNT(U739:X739)=4,MAX(1,MIN(10,ROUNDUP(5-Z739,0))),"")</f>
        <v/>
      </c>
      <c r="AB739" s="7" t="str">
        <f aca="false">IF(COUNT(U739:X739)=4,MAX(1,MIN(10,ROUNDUP(Y739+5,0))),"")</f>
        <v/>
      </c>
      <c r="AC739" s="6"/>
      <c r="AD739" s="6"/>
    </row>
    <row r="740" customFormat="false" ht="15" hidden="false" customHeight="true" outlineLevel="0" collapsed="false">
      <c r="A740" s="5" t="n">
        <v>739</v>
      </c>
      <c r="B740" s="5" t="s">
        <v>1888</v>
      </c>
      <c r="C740" s="5" t="s">
        <v>145</v>
      </c>
      <c r="D740" s="5" t="s">
        <v>51</v>
      </c>
      <c r="E740" s="5" t="n">
        <v>153</v>
      </c>
      <c r="F740" s="5" t="s">
        <v>1889</v>
      </c>
      <c r="G740" s="5" t="n">
        <v>4</v>
      </c>
      <c r="H740" s="5" t="s">
        <v>53</v>
      </c>
      <c r="I740" s="5" t="s">
        <v>54</v>
      </c>
      <c r="J740" s="5" t="s">
        <v>55</v>
      </c>
      <c r="K740" s="5" t="s">
        <v>55</v>
      </c>
      <c r="L740" s="5" t="n">
        <v>6</v>
      </c>
      <c r="M740" s="5" t="n">
        <v>2</v>
      </c>
      <c r="N740" s="5" t="n">
        <v>3</v>
      </c>
      <c r="O740" s="5" t="n">
        <v>8</v>
      </c>
      <c r="P740" s="5" t="n">
        <v>-2.5</v>
      </c>
      <c r="Q740" s="5" t="n">
        <v>2</v>
      </c>
      <c r="R740" s="5" t="n">
        <v>3</v>
      </c>
      <c r="S740" s="5" t="n">
        <v>3</v>
      </c>
      <c r="T740" s="5" t="s">
        <v>1890</v>
      </c>
      <c r="U740" s="6"/>
      <c r="V740" s="6"/>
      <c r="W740" s="6"/>
      <c r="X740" s="6"/>
      <c r="Y740" s="7" t="str">
        <f aca="false">IF(COUNT(U740:X740)=4,(W740-X740)/2,"")</f>
        <v/>
      </c>
      <c r="Z740" s="7" t="str">
        <f aca="false">IF(COUNT(U740:X740)=4,(U740-V740)/2,"")</f>
        <v/>
      </c>
      <c r="AA740" s="7" t="str">
        <f aca="false">IF(COUNT(U740:X740)=4,MAX(1,MIN(10,ROUNDUP(5-Z740,0))),"")</f>
        <v/>
      </c>
      <c r="AB740" s="7" t="str">
        <f aca="false">IF(COUNT(U740:X740)=4,MAX(1,MIN(10,ROUNDUP(Y740+5,0))),"")</f>
        <v/>
      </c>
      <c r="AC740" s="6"/>
      <c r="AD740" s="6"/>
    </row>
    <row r="741" customFormat="false" ht="15" hidden="false" customHeight="true" outlineLevel="0" collapsed="false">
      <c r="A741" s="5" t="n">
        <v>740</v>
      </c>
      <c r="B741" s="5" t="s">
        <v>1891</v>
      </c>
      <c r="C741" s="5" t="s">
        <v>145</v>
      </c>
      <c r="D741" s="5" t="s">
        <v>51</v>
      </c>
      <c r="E741" s="5" t="n">
        <v>152</v>
      </c>
      <c r="F741" s="5" t="s">
        <v>1892</v>
      </c>
      <c r="G741" s="5" t="n">
        <v>4</v>
      </c>
      <c r="H741" s="5" t="s">
        <v>53</v>
      </c>
      <c r="I741" s="5" t="s">
        <v>54</v>
      </c>
      <c r="J741" s="5" t="s">
        <v>55</v>
      </c>
      <c r="K741" s="5" t="s">
        <v>55</v>
      </c>
      <c r="L741" s="5" t="n">
        <v>4</v>
      </c>
      <c r="M741" s="5" t="n">
        <v>4</v>
      </c>
      <c r="N741" s="5" t="n">
        <v>3</v>
      </c>
      <c r="O741" s="5" t="n">
        <v>6</v>
      </c>
      <c r="P741" s="5" t="n">
        <v>-1.5</v>
      </c>
      <c r="Q741" s="5" t="n">
        <v>0</v>
      </c>
      <c r="R741" s="5" t="n">
        <v>5</v>
      </c>
      <c r="S741" s="5" t="n">
        <v>4</v>
      </c>
      <c r="T741" s="5" t="s">
        <v>1244</v>
      </c>
      <c r="U741" s="6"/>
      <c r="V741" s="6"/>
      <c r="W741" s="6"/>
      <c r="X741" s="6"/>
      <c r="Y741" s="7" t="str">
        <f aca="false">IF(COUNT(U741:X741)=4,(W741-X741)/2,"")</f>
        <v/>
      </c>
      <c r="Z741" s="7" t="str">
        <f aca="false">IF(COUNT(U741:X741)=4,(U741-V741)/2,"")</f>
        <v/>
      </c>
      <c r="AA741" s="7" t="str">
        <f aca="false">IF(COUNT(U741:X741)=4,MAX(1,MIN(10,ROUNDUP(5-Z741,0))),"")</f>
        <v/>
      </c>
      <c r="AB741" s="7" t="str">
        <f aca="false">IF(COUNT(U741:X741)=4,MAX(1,MIN(10,ROUNDUP(Y741+5,0))),"")</f>
        <v/>
      </c>
      <c r="AC741" s="6"/>
      <c r="AD741" s="6"/>
    </row>
    <row r="742" customFormat="false" ht="15" hidden="false" customHeight="true" outlineLevel="0" collapsed="false">
      <c r="A742" s="5" t="n">
        <v>741</v>
      </c>
      <c r="B742" s="5" t="s">
        <v>1893</v>
      </c>
      <c r="C742" s="5" t="s">
        <v>171</v>
      </c>
      <c r="D742" s="5" t="s">
        <v>172</v>
      </c>
      <c r="E742" s="5" t="n">
        <v>151</v>
      </c>
      <c r="F742" s="5" t="s">
        <v>1894</v>
      </c>
      <c r="G742" s="5" t="n">
        <v>4</v>
      </c>
      <c r="H742" s="5" t="s">
        <v>53</v>
      </c>
      <c r="I742" s="5" t="s">
        <v>54</v>
      </c>
      <c r="J742" s="5" t="s">
        <v>181</v>
      </c>
      <c r="K742" s="5" t="s">
        <v>333</v>
      </c>
      <c r="L742" s="5" t="n">
        <v>2</v>
      </c>
      <c r="M742" s="5" t="n">
        <v>4</v>
      </c>
      <c r="N742" s="5" t="n">
        <v>8</v>
      </c>
      <c r="O742" s="5" t="n">
        <v>2</v>
      </c>
      <c r="P742" s="5" t="n">
        <v>3</v>
      </c>
      <c r="Q742" s="5" t="n">
        <v>-1</v>
      </c>
      <c r="R742" s="5" t="n">
        <v>6</v>
      </c>
      <c r="S742" s="5" t="n">
        <v>8</v>
      </c>
      <c r="T742" s="5" t="s">
        <v>1895</v>
      </c>
      <c r="U742" s="6"/>
      <c r="V742" s="6"/>
      <c r="W742" s="6"/>
      <c r="X742" s="6"/>
      <c r="Y742" s="7" t="str">
        <f aca="false">IF(COUNT(U742:X742)=4,(W742-X742)/2,"")</f>
        <v/>
      </c>
      <c r="Z742" s="7" t="str">
        <f aca="false">IF(COUNT(U742:X742)=4,(U742-V742)/2,"")</f>
        <v/>
      </c>
      <c r="AA742" s="7" t="str">
        <f aca="false">IF(COUNT(U742:X742)=4,MAX(1,MIN(10,ROUNDUP(5-Z742,0))),"")</f>
        <v/>
      </c>
      <c r="AB742" s="7" t="str">
        <f aca="false">IF(COUNT(U742:X742)=4,MAX(1,MIN(10,ROUNDUP(Y742+5,0))),"")</f>
        <v/>
      </c>
      <c r="AC742" s="6"/>
      <c r="AD742" s="6"/>
    </row>
    <row r="743" customFormat="false" ht="15" hidden="false" customHeight="true" outlineLevel="0" collapsed="false">
      <c r="A743" s="5" t="n">
        <v>742</v>
      </c>
      <c r="B743" s="5" t="s">
        <v>1896</v>
      </c>
      <c r="C743" s="5" t="s">
        <v>203</v>
      </c>
      <c r="D743" s="5" t="s">
        <v>204</v>
      </c>
      <c r="E743" s="5" t="n">
        <v>151</v>
      </c>
      <c r="F743" s="5" t="s">
        <v>1896</v>
      </c>
      <c r="G743" s="5" t="n">
        <v>4</v>
      </c>
      <c r="H743" s="5" t="s">
        <v>53</v>
      </c>
      <c r="I743" s="5" t="s">
        <v>54</v>
      </c>
      <c r="J743" s="5" t="s">
        <v>117</v>
      </c>
      <c r="K743" s="5" t="s">
        <v>117</v>
      </c>
      <c r="L743" s="5" t="n">
        <v>4</v>
      </c>
      <c r="M743" s="5" t="n">
        <v>3</v>
      </c>
      <c r="N743" s="5" t="n">
        <v>1</v>
      </c>
      <c r="O743" s="5" t="n">
        <v>8</v>
      </c>
      <c r="P743" s="5" t="n">
        <v>-3.5</v>
      </c>
      <c r="Q743" s="5" t="n">
        <v>0.5</v>
      </c>
      <c r="R743" s="5" t="n">
        <v>5</v>
      </c>
      <c r="S743" s="5" t="n">
        <v>2</v>
      </c>
      <c r="T743" s="5" t="s">
        <v>1802</v>
      </c>
      <c r="U743" s="6"/>
      <c r="V743" s="6"/>
      <c r="W743" s="6"/>
      <c r="X743" s="6"/>
      <c r="Y743" s="7" t="str">
        <f aca="false">IF(COUNT(U743:X743)=4,(W743-X743)/2,"")</f>
        <v/>
      </c>
      <c r="Z743" s="7" t="str">
        <f aca="false">IF(COUNT(U743:X743)=4,(U743-V743)/2,"")</f>
        <v/>
      </c>
      <c r="AA743" s="7" t="str">
        <f aca="false">IF(COUNT(U743:X743)=4,MAX(1,MIN(10,ROUNDUP(5-Z743,0))),"")</f>
        <v/>
      </c>
      <c r="AB743" s="7" t="str">
        <f aca="false">IF(COUNT(U743:X743)=4,MAX(1,MIN(10,ROUNDUP(Y743+5,0))),"")</f>
        <v/>
      </c>
      <c r="AC743" s="6"/>
      <c r="AD743" s="6"/>
    </row>
    <row r="744" customFormat="false" ht="15" hidden="false" customHeight="true" outlineLevel="0" collapsed="false">
      <c r="A744" s="5" t="n">
        <v>743</v>
      </c>
      <c r="B744" s="5" t="s">
        <v>1897</v>
      </c>
      <c r="C744" s="5" t="s">
        <v>171</v>
      </c>
      <c r="D744" s="5" t="s">
        <v>172</v>
      </c>
      <c r="E744" s="5" t="n">
        <v>151</v>
      </c>
      <c r="F744" s="5" t="s">
        <v>1898</v>
      </c>
      <c r="G744" s="5" t="n">
        <v>4</v>
      </c>
      <c r="H744" s="5" t="s">
        <v>53</v>
      </c>
      <c r="I744" s="5" t="s">
        <v>54</v>
      </c>
      <c r="J744" s="5" t="s">
        <v>181</v>
      </c>
      <c r="K744" s="5" t="s">
        <v>179</v>
      </c>
      <c r="L744" s="5" t="n">
        <v>2</v>
      </c>
      <c r="M744" s="5" t="n">
        <v>6</v>
      </c>
      <c r="N744" s="5" t="n">
        <v>2</v>
      </c>
      <c r="O744" s="5" t="n">
        <v>6</v>
      </c>
      <c r="P744" s="5" t="n">
        <v>-2</v>
      </c>
      <c r="Q744" s="5" t="n">
        <v>-2</v>
      </c>
      <c r="R744" s="5" t="n">
        <v>7</v>
      </c>
      <c r="S744" s="5" t="n">
        <v>3</v>
      </c>
      <c r="T744" s="5" t="s">
        <v>1899</v>
      </c>
      <c r="U744" s="6"/>
      <c r="V744" s="6"/>
      <c r="W744" s="6"/>
      <c r="X744" s="6"/>
      <c r="Y744" s="7" t="str">
        <f aca="false">IF(COUNT(U744:X744)=4,(W744-X744)/2,"")</f>
        <v/>
      </c>
      <c r="Z744" s="7" t="str">
        <f aca="false">IF(COUNT(U744:X744)=4,(U744-V744)/2,"")</f>
        <v/>
      </c>
      <c r="AA744" s="7" t="str">
        <f aca="false">IF(COUNT(U744:X744)=4,MAX(1,MIN(10,ROUNDUP(5-Z744,0))),"")</f>
        <v/>
      </c>
      <c r="AB744" s="7" t="str">
        <f aca="false">IF(COUNT(U744:X744)=4,MAX(1,MIN(10,ROUNDUP(Y744+5,0))),"")</f>
        <v/>
      </c>
      <c r="AC744" s="6"/>
      <c r="AD744" s="6"/>
    </row>
    <row r="745" customFormat="false" ht="15" hidden="false" customHeight="true" outlineLevel="0" collapsed="false">
      <c r="A745" s="5" t="n">
        <v>744</v>
      </c>
      <c r="B745" s="5" t="s">
        <v>1900</v>
      </c>
      <c r="C745" s="5" t="s">
        <v>145</v>
      </c>
      <c r="D745" s="5" t="s">
        <v>51</v>
      </c>
      <c r="E745" s="5" t="n">
        <v>150</v>
      </c>
      <c r="F745" s="5" t="s">
        <v>1901</v>
      </c>
      <c r="G745" s="5" t="n">
        <v>4</v>
      </c>
      <c r="H745" s="5" t="s">
        <v>53</v>
      </c>
      <c r="I745" s="5" t="s">
        <v>54</v>
      </c>
      <c r="J745" s="5" t="s">
        <v>55</v>
      </c>
      <c r="K745" s="5" t="s">
        <v>55</v>
      </c>
      <c r="L745" s="5" t="n">
        <v>7</v>
      </c>
      <c r="M745" s="5" t="n">
        <v>2</v>
      </c>
      <c r="N745" s="5" t="n">
        <v>4</v>
      </c>
      <c r="O745" s="5" t="n">
        <v>8</v>
      </c>
      <c r="P745" s="5" t="n">
        <v>-2</v>
      </c>
      <c r="Q745" s="5" t="n">
        <v>2.5</v>
      </c>
      <c r="R745" s="5" t="n">
        <v>3</v>
      </c>
      <c r="S745" s="5" t="n">
        <v>3</v>
      </c>
      <c r="T745" s="5" t="s">
        <v>1902</v>
      </c>
      <c r="U745" s="6"/>
      <c r="V745" s="6"/>
      <c r="W745" s="6"/>
      <c r="X745" s="6"/>
      <c r="Y745" s="7" t="str">
        <f aca="false">IF(COUNT(U745:X745)=4,(W745-X745)/2,"")</f>
        <v/>
      </c>
      <c r="Z745" s="7" t="str">
        <f aca="false">IF(COUNT(U745:X745)=4,(U745-V745)/2,"")</f>
        <v/>
      </c>
      <c r="AA745" s="7" t="str">
        <f aca="false">IF(COUNT(U745:X745)=4,MAX(1,MIN(10,ROUNDUP(5-Z745,0))),"")</f>
        <v/>
      </c>
      <c r="AB745" s="7" t="str">
        <f aca="false">IF(COUNT(U745:X745)=4,MAX(1,MIN(10,ROUNDUP(Y745+5,0))),"")</f>
        <v/>
      </c>
      <c r="AC745" s="6"/>
      <c r="AD745" s="6"/>
    </row>
    <row r="746" customFormat="false" ht="15" hidden="false" customHeight="true" outlineLevel="0" collapsed="false">
      <c r="A746" s="5" t="n">
        <v>745</v>
      </c>
      <c r="B746" s="5" t="s">
        <v>1903</v>
      </c>
      <c r="C746" s="5" t="s">
        <v>145</v>
      </c>
      <c r="D746" s="5" t="s">
        <v>51</v>
      </c>
      <c r="E746" s="5" t="n">
        <v>150</v>
      </c>
      <c r="F746" s="5" t="s">
        <v>1904</v>
      </c>
      <c r="G746" s="5" t="n">
        <v>4</v>
      </c>
      <c r="H746" s="5" t="s">
        <v>53</v>
      </c>
      <c r="I746" s="5" t="s">
        <v>54</v>
      </c>
      <c r="J746" s="5" t="s">
        <v>55</v>
      </c>
      <c r="K746" s="5" t="s">
        <v>55</v>
      </c>
      <c r="L746" s="5" t="n">
        <v>5</v>
      </c>
      <c r="M746" s="5" t="n">
        <v>2</v>
      </c>
      <c r="N746" s="5" t="n">
        <v>3</v>
      </c>
      <c r="O746" s="5" t="n">
        <v>8</v>
      </c>
      <c r="P746" s="5" t="n">
        <v>-2.5</v>
      </c>
      <c r="Q746" s="5" t="n">
        <v>1.5</v>
      </c>
      <c r="R746" s="5" t="n">
        <v>4</v>
      </c>
      <c r="S746" s="5" t="n">
        <v>3</v>
      </c>
      <c r="T746" s="5" t="s">
        <v>1905</v>
      </c>
      <c r="U746" s="6"/>
      <c r="V746" s="6"/>
      <c r="W746" s="6"/>
      <c r="X746" s="6"/>
      <c r="Y746" s="7" t="str">
        <f aca="false">IF(COUNT(U746:X746)=4,(W746-X746)/2,"")</f>
        <v/>
      </c>
      <c r="Z746" s="7" t="str">
        <f aca="false">IF(COUNT(U746:X746)=4,(U746-V746)/2,"")</f>
        <v/>
      </c>
      <c r="AA746" s="7" t="str">
        <f aca="false">IF(COUNT(U746:X746)=4,MAX(1,MIN(10,ROUNDUP(5-Z746,0))),"")</f>
        <v/>
      </c>
      <c r="AB746" s="7" t="str">
        <f aca="false">IF(COUNT(U746:X746)=4,MAX(1,MIN(10,ROUNDUP(Y746+5,0))),"")</f>
        <v/>
      </c>
      <c r="AC746" s="6"/>
      <c r="AD746" s="6"/>
    </row>
    <row r="747" customFormat="false" ht="15" hidden="false" customHeight="true" outlineLevel="0" collapsed="false">
      <c r="A747" s="5" t="n">
        <v>746</v>
      </c>
      <c r="B747" s="5" t="s">
        <v>1906</v>
      </c>
      <c r="C747" s="5" t="s">
        <v>171</v>
      </c>
      <c r="D747" s="5" t="s">
        <v>172</v>
      </c>
      <c r="E747" s="5" t="n">
        <v>150</v>
      </c>
      <c r="F747" s="5" t="s">
        <v>1906</v>
      </c>
      <c r="G747" s="5" t="n">
        <v>4</v>
      </c>
      <c r="H747" s="5" t="s">
        <v>53</v>
      </c>
      <c r="I747" s="5" t="s">
        <v>54</v>
      </c>
      <c r="J747" s="5" t="s">
        <v>181</v>
      </c>
      <c r="K747" s="5" t="s">
        <v>333</v>
      </c>
      <c r="L747" s="5" t="n">
        <v>2</v>
      </c>
      <c r="M747" s="5" t="n">
        <v>4</v>
      </c>
      <c r="N747" s="5" t="n">
        <v>8</v>
      </c>
      <c r="O747" s="5" t="n">
        <v>2</v>
      </c>
      <c r="P747" s="5" t="n">
        <v>3</v>
      </c>
      <c r="Q747" s="5" t="n">
        <v>-1</v>
      </c>
      <c r="R747" s="5" t="n">
        <v>6</v>
      </c>
      <c r="S747" s="5" t="n">
        <v>8</v>
      </c>
      <c r="T747" s="5" t="s">
        <v>1907</v>
      </c>
      <c r="U747" s="6"/>
      <c r="V747" s="6"/>
      <c r="W747" s="6"/>
      <c r="X747" s="6"/>
      <c r="Y747" s="7" t="str">
        <f aca="false">IF(COUNT(U747:X747)=4,(W747-X747)/2,"")</f>
        <v/>
      </c>
      <c r="Z747" s="7" t="str">
        <f aca="false">IF(COUNT(U747:X747)=4,(U747-V747)/2,"")</f>
        <v/>
      </c>
      <c r="AA747" s="7" t="str">
        <f aca="false">IF(COUNT(U747:X747)=4,MAX(1,MIN(10,ROUNDUP(5-Z747,0))),"")</f>
        <v/>
      </c>
      <c r="AB747" s="7" t="str">
        <f aca="false">IF(COUNT(U747:X747)=4,MAX(1,MIN(10,ROUNDUP(Y747+5,0))),"")</f>
        <v/>
      </c>
      <c r="AC747" s="6"/>
      <c r="AD747" s="6"/>
    </row>
    <row r="748" customFormat="false" ht="15" hidden="false" customHeight="true" outlineLevel="0" collapsed="false">
      <c r="A748" s="5" t="n">
        <v>747</v>
      </c>
      <c r="B748" s="5" t="s">
        <v>1908</v>
      </c>
      <c r="C748" s="5" t="s">
        <v>145</v>
      </c>
      <c r="D748" s="5" t="s">
        <v>51</v>
      </c>
      <c r="E748" s="5" t="n">
        <v>150</v>
      </c>
      <c r="F748" s="5" t="s">
        <v>1909</v>
      </c>
      <c r="G748" s="5" t="n">
        <v>4</v>
      </c>
      <c r="H748" s="5" t="s">
        <v>53</v>
      </c>
      <c r="I748" s="5" t="s">
        <v>54</v>
      </c>
      <c r="J748" s="5" t="s">
        <v>55</v>
      </c>
      <c r="K748" s="5" t="s">
        <v>55</v>
      </c>
      <c r="L748" s="5" t="n">
        <v>5</v>
      </c>
      <c r="M748" s="5" t="n">
        <v>2</v>
      </c>
      <c r="N748" s="5" t="n">
        <v>4</v>
      </c>
      <c r="O748" s="5" t="n">
        <v>8</v>
      </c>
      <c r="P748" s="5" t="n">
        <v>-2</v>
      </c>
      <c r="Q748" s="5" t="n">
        <v>1.5</v>
      </c>
      <c r="R748" s="5" t="n">
        <v>4</v>
      </c>
      <c r="S748" s="5" t="n">
        <v>3</v>
      </c>
      <c r="T748" s="5" t="s">
        <v>1910</v>
      </c>
      <c r="U748" s="6"/>
      <c r="V748" s="6"/>
      <c r="W748" s="6"/>
      <c r="X748" s="6"/>
      <c r="Y748" s="7" t="str">
        <f aca="false">IF(COUNT(U748:X748)=4,(W748-X748)/2,"")</f>
        <v/>
      </c>
      <c r="Z748" s="7" t="str">
        <f aca="false">IF(COUNT(U748:X748)=4,(U748-V748)/2,"")</f>
        <v/>
      </c>
      <c r="AA748" s="7" t="str">
        <f aca="false">IF(COUNT(U748:X748)=4,MAX(1,MIN(10,ROUNDUP(5-Z748,0))),"")</f>
        <v/>
      </c>
      <c r="AB748" s="7" t="str">
        <f aca="false">IF(COUNT(U748:X748)=4,MAX(1,MIN(10,ROUNDUP(Y748+5,0))),"")</f>
        <v/>
      </c>
      <c r="AC748" s="6"/>
      <c r="AD748" s="6"/>
    </row>
    <row r="749" customFormat="false" ht="15" hidden="false" customHeight="true" outlineLevel="0" collapsed="false">
      <c r="A749" s="5" t="n">
        <v>748</v>
      </c>
      <c r="B749" s="5" t="s">
        <v>1911</v>
      </c>
      <c r="C749" s="5" t="s">
        <v>145</v>
      </c>
      <c r="D749" s="5" t="s">
        <v>51</v>
      </c>
      <c r="E749" s="5" t="n">
        <v>150</v>
      </c>
      <c r="F749" s="5" t="s">
        <v>1912</v>
      </c>
      <c r="G749" s="5" t="n">
        <v>4</v>
      </c>
      <c r="H749" s="5" t="s">
        <v>53</v>
      </c>
      <c r="I749" s="5" t="s">
        <v>54</v>
      </c>
      <c r="J749" s="5" t="s">
        <v>55</v>
      </c>
      <c r="K749" s="5" t="s">
        <v>55</v>
      </c>
      <c r="L749" s="5" t="n">
        <v>5</v>
      </c>
      <c r="M749" s="5" t="n">
        <v>3</v>
      </c>
      <c r="N749" s="5" t="n">
        <v>3</v>
      </c>
      <c r="O749" s="5" t="n">
        <v>8</v>
      </c>
      <c r="P749" s="5" t="n">
        <v>-2.5</v>
      </c>
      <c r="Q749" s="5" t="n">
        <v>1</v>
      </c>
      <c r="R749" s="5" t="n">
        <v>4</v>
      </c>
      <c r="S749" s="5" t="n">
        <v>3</v>
      </c>
      <c r="T749" s="5" t="s">
        <v>1913</v>
      </c>
      <c r="U749" s="6"/>
      <c r="V749" s="6"/>
      <c r="W749" s="6"/>
      <c r="X749" s="6"/>
      <c r="Y749" s="7" t="str">
        <f aca="false">IF(COUNT(U749:X749)=4,(W749-X749)/2,"")</f>
        <v/>
      </c>
      <c r="Z749" s="7" t="str">
        <f aca="false">IF(COUNT(U749:X749)=4,(U749-V749)/2,"")</f>
        <v/>
      </c>
      <c r="AA749" s="7" t="str">
        <f aca="false">IF(COUNT(U749:X749)=4,MAX(1,MIN(10,ROUNDUP(5-Z749,0))),"")</f>
        <v/>
      </c>
      <c r="AB749" s="7" t="str">
        <f aca="false">IF(COUNT(U749:X749)=4,MAX(1,MIN(10,ROUNDUP(Y749+5,0))),"")</f>
        <v/>
      </c>
      <c r="AC749" s="6"/>
      <c r="AD749" s="6"/>
    </row>
    <row r="750" customFormat="false" ht="15" hidden="false" customHeight="true" outlineLevel="0" collapsed="false">
      <c r="A750" s="5" t="n">
        <v>749</v>
      </c>
      <c r="B750" s="5" t="s">
        <v>1914</v>
      </c>
      <c r="C750" s="5" t="s">
        <v>203</v>
      </c>
      <c r="D750" s="5" t="s">
        <v>204</v>
      </c>
      <c r="E750" s="5" t="n">
        <v>149</v>
      </c>
      <c r="F750" s="5" t="s">
        <v>1914</v>
      </c>
      <c r="G750" s="5" t="n">
        <v>4</v>
      </c>
      <c r="H750" s="5" t="s">
        <v>53</v>
      </c>
      <c r="I750" s="5" t="s">
        <v>54</v>
      </c>
      <c r="J750" s="5" t="s">
        <v>117</v>
      </c>
      <c r="K750" s="5" t="s">
        <v>117</v>
      </c>
      <c r="L750" s="5" t="n">
        <v>4</v>
      </c>
      <c r="M750" s="5" t="n">
        <v>1</v>
      </c>
      <c r="N750" s="5" t="n">
        <v>8</v>
      </c>
      <c r="O750" s="5" t="n">
        <v>2</v>
      </c>
      <c r="P750" s="5" t="n">
        <v>3</v>
      </c>
      <c r="Q750" s="5" t="n">
        <v>1.5</v>
      </c>
      <c r="R750" s="5" t="n">
        <v>4</v>
      </c>
      <c r="S750" s="5" t="n">
        <v>8</v>
      </c>
      <c r="T750" s="5" t="s">
        <v>1915</v>
      </c>
      <c r="U750" s="6"/>
      <c r="V750" s="6"/>
      <c r="W750" s="6"/>
      <c r="X750" s="6"/>
      <c r="Y750" s="7" t="str">
        <f aca="false">IF(COUNT(U750:X750)=4,(W750-X750)/2,"")</f>
        <v/>
      </c>
      <c r="Z750" s="7" t="str">
        <f aca="false">IF(COUNT(U750:X750)=4,(U750-V750)/2,"")</f>
        <v/>
      </c>
      <c r="AA750" s="7" t="str">
        <f aca="false">IF(COUNT(U750:X750)=4,MAX(1,MIN(10,ROUNDUP(5-Z750,0))),"")</f>
        <v/>
      </c>
      <c r="AB750" s="7" t="str">
        <f aca="false">IF(COUNT(U750:X750)=4,MAX(1,MIN(10,ROUNDUP(Y750+5,0))),"")</f>
        <v/>
      </c>
      <c r="AC750" s="6"/>
      <c r="AD750" s="6"/>
    </row>
    <row r="751" customFormat="false" ht="15" hidden="false" customHeight="true" outlineLevel="0" collapsed="false">
      <c r="A751" s="5" t="n">
        <v>750</v>
      </c>
      <c r="B751" s="5" t="s">
        <v>1916</v>
      </c>
      <c r="C751" s="5" t="s">
        <v>171</v>
      </c>
      <c r="D751" s="5" t="s">
        <v>172</v>
      </c>
      <c r="E751" s="5" t="n">
        <v>149</v>
      </c>
      <c r="F751" s="5" t="s">
        <v>1917</v>
      </c>
      <c r="G751" s="5" t="n">
        <v>4</v>
      </c>
      <c r="H751" s="5" t="s">
        <v>53</v>
      </c>
      <c r="I751" s="5" t="s">
        <v>54</v>
      </c>
      <c r="J751" s="5" t="s">
        <v>181</v>
      </c>
      <c r="K751" s="5" t="s">
        <v>443</v>
      </c>
      <c r="L751" s="5" t="n">
        <v>5</v>
      </c>
      <c r="M751" s="5" t="n">
        <v>3</v>
      </c>
      <c r="N751" s="5" t="n">
        <v>4</v>
      </c>
      <c r="O751" s="5" t="n">
        <v>8</v>
      </c>
      <c r="P751" s="5" t="n">
        <v>-2</v>
      </c>
      <c r="Q751" s="5" t="n">
        <v>1</v>
      </c>
      <c r="R751" s="5" t="n">
        <v>4</v>
      </c>
      <c r="S751" s="5" t="n">
        <v>3</v>
      </c>
      <c r="T751" s="5" t="s">
        <v>1918</v>
      </c>
      <c r="U751" s="6"/>
      <c r="V751" s="6"/>
      <c r="W751" s="6"/>
      <c r="X751" s="6"/>
      <c r="Y751" s="7" t="str">
        <f aca="false">IF(COUNT(U751:X751)=4,(W751-X751)/2,"")</f>
        <v/>
      </c>
      <c r="Z751" s="7" t="str">
        <f aca="false">IF(COUNT(U751:X751)=4,(U751-V751)/2,"")</f>
        <v/>
      </c>
      <c r="AA751" s="7" t="str">
        <f aca="false">IF(COUNT(U751:X751)=4,MAX(1,MIN(10,ROUNDUP(5-Z751,0))),"")</f>
        <v/>
      </c>
      <c r="AB751" s="7" t="str">
        <f aca="false">IF(COUNT(U751:X751)=4,MAX(1,MIN(10,ROUNDUP(Y751+5,0))),"")</f>
        <v/>
      </c>
      <c r="AC751" s="6"/>
      <c r="AD751" s="6"/>
    </row>
    <row r="752" customFormat="false" ht="15" hidden="false" customHeight="true" outlineLevel="0" collapsed="false">
      <c r="A752" s="5" t="n">
        <v>751</v>
      </c>
      <c r="B752" s="5" t="s">
        <v>1919</v>
      </c>
      <c r="C752" s="5" t="s">
        <v>203</v>
      </c>
      <c r="D752" s="5" t="s">
        <v>204</v>
      </c>
      <c r="E752" s="5" t="n">
        <v>149</v>
      </c>
      <c r="F752" s="5" t="s">
        <v>1920</v>
      </c>
      <c r="G752" s="5" t="n">
        <v>4</v>
      </c>
      <c r="H752" s="5" t="s">
        <v>53</v>
      </c>
      <c r="I752" s="5" t="s">
        <v>54</v>
      </c>
      <c r="J752" s="5" t="s">
        <v>117</v>
      </c>
      <c r="K752" s="5" t="s">
        <v>117</v>
      </c>
      <c r="L752" s="5" t="n">
        <v>6</v>
      </c>
      <c r="M752" s="5" t="n">
        <v>2</v>
      </c>
      <c r="N752" s="5" t="n">
        <v>2</v>
      </c>
      <c r="O752" s="5" t="n">
        <v>8</v>
      </c>
      <c r="P752" s="5" t="n">
        <v>-3</v>
      </c>
      <c r="Q752" s="5" t="n">
        <v>2</v>
      </c>
      <c r="R752" s="5" t="n">
        <v>3</v>
      </c>
      <c r="S752" s="5" t="n">
        <v>2</v>
      </c>
      <c r="T752" s="5" t="s">
        <v>1921</v>
      </c>
      <c r="U752" s="6"/>
      <c r="V752" s="6"/>
      <c r="W752" s="6"/>
      <c r="X752" s="6"/>
      <c r="Y752" s="7" t="str">
        <f aca="false">IF(COUNT(U752:X752)=4,(W752-X752)/2,"")</f>
        <v/>
      </c>
      <c r="Z752" s="7" t="str">
        <f aca="false">IF(COUNT(U752:X752)=4,(U752-V752)/2,"")</f>
        <v/>
      </c>
      <c r="AA752" s="7" t="str">
        <f aca="false">IF(COUNT(U752:X752)=4,MAX(1,MIN(10,ROUNDUP(5-Z752,0))),"")</f>
        <v/>
      </c>
      <c r="AB752" s="7" t="str">
        <f aca="false">IF(COUNT(U752:X752)=4,MAX(1,MIN(10,ROUNDUP(Y752+5,0))),"")</f>
        <v/>
      </c>
      <c r="AC752" s="6"/>
      <c r="AD752" s="6"/>
    </row>
    <row r="753" customFormat="false" ht="15" hidden="false" customHeight="true" outlineLevel="0" collapsed="false">
      <c r="A753" s="5" t="n">
        <v>752</v>
      </c>
      <c r="B753" s="5" t="s">
        <v>1922</v>
      </c>
      <c r="C753" s="5" t="s">
        <v>171</v>
      </c>
      <c r="D753" s="5" t="s">
        <v>172</v>
      </c>
      <c r="E753" s="5" t="n">
        <v>149</v>
      </c>
      <c r="F753" s="5" t="s">
        <v>1923</v>
      </c>
      <c r="G753" s="5" t="n">
        <v>4</v>
      </c>
      <c r="H753" s="5" t="s">
        <v>53</v>
      </c>
      <c r="I753" s="5" t="s">
        <v>54</v>
      </c>
      <c r="J753" s="5" t="s">
        <v>181</v>
      </c>
      <c r="K753" s="5" t="s">
        <v>182</v>
      </c>
      <c r="L753" s="5" t="n">
        <v>2</v>
      </c>
      <c r="M753" s="5" t="n">
        <v>6</v>
      </c>
      <c r="N753" s="5" t="n">
        <v>7</v>
      </c>
      <c r="O753" s="5" t="n">
        <v>3</v>
      </c>
      <c r="P753" s="5" t="n">
        <v>2</v>
      </c>
      <c r="Q753" s="5" t="n">
        <v>-2</v>
      </c>
      <c r="R753" s="5" t="n">
        <v>7</v>
      </c>
      <c r="S753" s="5" t="n">
        <v>7</v>
      </c>
      <c r="T753" s="5" t="s">
        <v>1924</v>
      </c>
      <c r="U753" s="6"/>
      <c r="V753" s="6"/>
      <c r="W753" s="6"/>
      <c r="X753" s="6"/>
      <c r="Y753" s="7" t="str">
        <f aca="false">IF(COUNT(U753:X753)=4,(W753-X753)/2,"")</f>
        <v/>
      </c>
      <c r="Z753" s="7" t="str">
        <f aca="false">IF(COUNT(U753:X753)=4,(U753-V753)/2,"")</f>
        <v/>
      </c>
      <c r="AA753" s="7" t="str">
        <f aca="false">IF(COUNT(U753:X753)=4,MAX(1,MIN(10,ROUNDUP(5-Z753,0))),"")</f>
        <v/>
      </c>
      <c r="AB753" s="7" t="str">
        <f aca="false">IF(COUNT(U753:X753)=4,MAX(1,MIN(10,ROUNDUP(Y753+5,0))),"")</f>
        <v/>
      </c>
      <c r="AC753" s="6"/>
      <c r="AD753" s="6"/>
    </row>
    <row r="754" customFormat="false" ht="15" hidden="false" customHeight="true" outlineLevel="0" collapsed="false">
      <c r="A754" s="5" t="n">
        <v>753</v>
      </c>
      <c r="B754" s="5" t="s">
        <v>1925</v>
      </c>
      <c r="C754" s="5" t="s">
        <v>171</v>
      </c>
      <c r="D754" s="5" t="s">
        <v>172</v>
      </c>
      <c r="E754" s="5" t="n">
        <v>149</v>
      </c>
      <c r="F754" s="5" t="s">
        <v>1926</v>
      </c>
      <c r="G754" s="5" t="n">
        <v>4</v>
      </c>
      <c r="H754" s="5" t="s">
        <v>53</v>
      </c>
      <c r="I754" s="5" t="s">
        <v>54</v>
      </c>
      <c r="J754" s="5" t="s">
        <v>181</v>
      </c>
      <c r="K754" s="5" t="s">
        <v>223</v>
      </c>
      <c r="L754" s="5" t="n">
        <v>4</v>
      </c>
      <c r="M754" s="5" t="n">
        <v>4</v>
      </c>
      <c r="N754" s="5" t="n">
        <v>6</v>
      </c>
      <c r="O754" s="5" t="n">
        <v>5</v>
      </c>
      <c r="P754" s="5" t="n">
        <v>0.5</v>
      </c>
      <c r="Q754" s="5" t="n">
        <v>0</v>
      </c>
      <c r="R754" s="5" t="n">
        <v>5</v>
      </c>
      <c r="S754" s="5" t="n">
        <v>6</v>
      </c>
      <c r="T754" s="5" t="s">
        <v>1927</v>
      </c>
      <c r="U754" s="6"/>
      <c r="V754" s="6"/>
      <c r="W754" s="6"/>
      <c r="X754" s="6"/>
      <c r="Y754" s="7" t="str">
        <f aca="false">IF(COUNT(U754:X754)=4,(W754-X754)/2,"")</f>
        <v/>
      </c>
      <c r="Z754" s="7" t="str">
        <f aca="false">IF(COUNT(U754:X754)=4,(U754-V754)/2,"")</f>
        <v/>
      </c>
      <c r="AA754" s="7" t="str">
        <f aca="false">IF(COUNT(U754:X754)=4,MAX(1,MIN(10,ROUNDUP(5-Z754,0))),"")</f>
        <v/>
      </c>
      <c r="AB754" s="7" t="str">
        <f aca="false">IF(COUNT(U754:X754)=4,MAX(1,MIN(10,ROUNDUP(Y754+5,0))),"")</f>
        <v/>
      </c>
      <c r="AC754" s="6"/>
      <c r="AD754" s="6"/>
    </row>
    <row r="755" customFormat="false" ht="15" hidden="false" customHeight="true" outlineLevel="0" collapsed="false">
      <c r="A755" s="5" t="n">
        <v>754</v>
      </c>
      <c r="B755" s="5" t="s">
        <v>1928</v>
      </c>
      <c r="C755" s="5" t="s">
        <v>171</v>
      </c>
      <c r="D755" s="5" t="s">
        <v>172</v>
      </c>
      <c r="E755" s="5" t="n">
        <v>149</v>
      </c>
      <c r="F755" s="5" t="s">
        <v>1929</v>
      </c>
      <c r="G755" s="5" t="n">
        <v>4</v>
      </c>
      <c r="H755" s="5" t="s">
        <v>53</v>
      </c>
      <c r="I755" s="5" t="s">
        <v>81</v>
      </c>
      <c r="J755" s="5" t="s">
        <v>174</v>
      </c>
      <c r="K755" s="5" t="s">
        <v>175</v>
      </c>
      <c r="L755" s="5" t="n">
        <v>8</v>
      </c>
      <c r="M755" s="5" t="n">
        <v>1</v>
      </c>
      <c r="N755" s="5" t="n">
        <v>2</v>
      </c>
      <c r="O755" s="5" t="n">
        <v>10</v>
      </c>
      <c r="P755" s="5" t="n">
        <v>-4</v>
      </c>
      <c r="Q755" s="5" t="n">
        <v>3.5</v>
      </c>
      <c r="R755" s="5" t="n">
        <v>2</v>
      </c>
      <c r="S755" s="5" t="n">
        <v>1</v>
      </c>
      <c r="T755" s="5" t="s">
        <v>1255</v>
      </c>
      <c r="U755" s="6"/>
      <c r="V755" s="6"/>
      <c r="W755" s="6"/>
      <c r="X755" s="6"/>
      <c r="Y755" s="7" t="str">
        <f aca="false">IF(COUNT(U755:X755)=4,(W755-X755)/2,"")</f>
        <v/>
      </c>
      <c r="Z755" s="7" t="str">
        <f aca="false">IF(COUNT(U755:X755)=4,(U755-V755)/2,"")</f>
        <v/>
      </c>
      <c r="AA755" s="7" t="str">
        <f aca="false">IF(COUNT(U755:X755)=4,MAX(1,MIN(10,ROUNDUP(5-Z755,0))),"")</f>
        <v/>
      </c>
      <c r="AB755" s="7" t="str">
        <f aca="false">IF(COUNT(U755:X755)=4,MAX(1,MIN(10,ROUNDUP(Y755+5,0))),"")</f>
        <v/>
      </c>
      <c r="AC755" s="6"/>
      <c r="AD755" s="6"/>
    </row>
    <row r="756" customFormat="false" ht="15" hidden="false" customHeight="true" outlineLevel="0" collapsed="false">
      <c r="A756" s="5" t="n">
        <v>755</v>
      </c>
      <c r="B756" s="5" t="s">
        <v>1930</v>
      </c>
      <c r="C756" s="5" t="s">
        <v>171</v>
      </c>
      <c r="D756" s="5" t="s">
        <v>172</v>
      </c>
      <c r="E756" s="5" t="n">
        <v>149</v>
      </c>
      <c r="F756" s="5" t="s">
        <v>1931</v>
      </c>
      <c r="G756" s="5" t="n">
        <v>4</v>
      </c>
      <c r="H756" s="5" t="s">
        <v>53</v>
      </c>
      <c r="I756" s="5" t="s">
        <v>54</v>
      </c>
      <c r="J756" s="5" t="s">
        <v>181</v>
      </c>
      <c r="K756" s="5" t="s">
        <v>413</v>
      </c>
      <c r="L756" s="5" t="n">
        <v>6</v>
      </c>
      <c r="M756" s="5" t="n">
        <v>4</v>
      </c>
      <c r="N756" s="5" t="n">
        <v>3</v>
      </c>
      <c r="O756" s="5" t="n">
        <v>8</v>
      </c>
      <c r="P756" s="5" t="n">
        <v>-2.5</v>
      </c>
      <c r="Q756" s="5" t="n">
        <v>1</v>
      </c>
      <c r="R756" s="5" t="n">
        <v>4</v>
      </c>
      <c r="S756" s="5" t="n">
        <v>3</v>
      </c>
      <c r="T756" s="5" t="s">
        <v>1932</v>
      </c>
      <c r="U756" s="6"/>
      <c r="V756" s="6"/>
      <c r="W756" s="6"/>
      <c r="X756" s="6"/>
      <c r="Y756" s="7" t="str">
        <f aca="false">IF(COUNT(U756:X756)=4,(W756-X756)/2,"")</f>
        <v/>
      </c>
      <c r="Z756" s="7" t="str">
        <f aca="false">IF(COUNT(U756:X756)=4,(U756-V756)/2,"")</f>
        <v/>
      </c>
      <c r="AA756" s="7" t="str">
        <f aca="false">IF(COUNT(U756:X756)=4,MAX(1,MIN(10,ROUNDUP(5-Z756,0))),"")</f>
        <v/>
      </c>
      <c r="AB756" s="7" t="str">
        <f aca="false">IF(COUNT(U756:X756)=4,MAX(1,MIN(10,ROUNDUP(Y756+5,0))),"")</f>
        <v/>
      </c>
      <c r="AC756" s="6"/>
      <c r="AD756" s="6"/>
    </row>
    <row r="757" customFormat="false" ht="15" hidden="false" customHeight="true" outlineLevel="0" collapsed="false">
      <c r="A757" s="5" t="n">
        <v>756</v>
      </c>
      <c r="B757" s="5" t="s">
        <v>1933</v>
      </c>
      <c r="C757" s="5" t="s">
        <v>171</v>
      </c>
      <c r="D757" s="5" t="s">
        <v>172</v>
      </c>
      <c r="E757" s="5" t="n">
        <v>148</v>
      </c>
      <c r="F757" s="5" t="s">
        <v>1934</v>
      </c>
      <c r="G757" s="5" t="n">
        <v>4</v>
      </c>
      <c r="H757" s="5" t="s">
        <v>53</v>
      </c>
      <c r="I757" s="5" t="s">
        <v>54</v>
      </c>
      <c r="J757" s="5" t="s">
        <v>181</v>
      </c>
      <c r="K757" s="5" t="s">
        <v>279</v>
      </c>
      <c r="L757" s="5" t="n">
        <v>4</v>
      </c>
      <c r="M757" s="5" t="n">
        <v>4</v>
      </c>
      <c r="N757" s="5" t="n">
        <v>5</v>
      </c>
      <c r="O757" s="5" t="n">
        <v>7</v>
      </c>
      <c r="P757" s="5" t="n">
        <v>-1</v>
      </c>
      <c r="Q757" s="5" t="n">
        <v>0</v>
      </c>
      <c r="R757" s="5" t="n">
        <v>5</v>
      </c>
      <c r="S757" s="5" t="n">
        <v>4</v>
      </c>
      <c r="T757" s="5" t="s">
        <v>702</v>
      </c>
      <c r="U757" s="6"/>
      <c r="V757" s="6"/>
      <c r="W757" s="6"/>
      <c r="X757" s="6"/>
      <c r="Y757" s="7" t="str">
        <f aca="false">IF(COUNT(U757:X757)=4,(W757-X757)/2,"")</f>
        <v/>
      </c>
      <c r="Z757" s="7" t="str">
        <f aca="false">IF(COUNT(U757:X757)=4,(U757-V757)/2,"")</f>
        <v/>
      </c>
      <c r="AA757" s="7" t="str">
        <f aca="false">IF(COUNT(U757:X757)=4,MAX(1,MIN(10,ROUNDUP(5-Z757,0))),"")</f>
        <v/>
      </c>
      <c r="AB757" s="7" t="str">
        <f aca="false">IF(COUNT(U757:X757)=4,MAX(1,MIN(10,ROUNDUP(Y757+5,0))),"")</f>
        <v/>
      </c>
      <c r="AC757" s="6"/>
      <c r="AD757" s="6"/>
    </row>
    <row r="758" customFormat="false" ht="15" hidden="false" customHeight="true" outlineLevel="0" collapsed="false">
      <c r="A758" s="5" t="n">
        <v>757</v>
      </c>
      <c r="B758" s="5" t="s">
        <v>1935</v>
      </c>
      <c r="C758" s="5" t="s">
        <v>171</v>
      </c>
      <c r="D758" s="5" t="s">
        <v>172</v>
      </c>
      <c r="E758" s="5" t="n">
        <v>148</v>
      </c>
      <c r="F758" s="5" t="s">
        <v>1936</v>
      </c>
      <c r="G758" s="5" t="n">
        <v>4</v>
      </c>
      <c r="H758" s="5" t="s">
        <v>53</v>
      </c>
      <c r="I758" s="5" t="s">
        <v>54</v>
      </c>
      <c r="J758" s="5" t="s">
        <v>181</v>
      </c>
      <c r="K758" s="5" t="s">
        <v>179</v>
      </c>
      <c r="L758" s="5" t="n">
        <v>2</v>
      </c>
      <c r="M758" s="5" t="n">
        <v>6</v>
      </c>
      <c r="N758" s="5" t="n">
        <v>2</v>
      </c>
      <c r="O758" s="5" t="n">
        <v>6</v>
      </c>
      <c r="P758" s="5" t="n">
        <v>-2</v>
      </c>
      <c r="Q758" s="5" t="n">
        <v>-2</v>
      </c>
      <c r="R758" s="5" t="n">
        <v>7</v>
      </c>
      <c r="S758" s="5" t="n">
        <v>3</v>
      </c>
      <c r="T758" s="5" t="s">
        <v>605</v>
      </c>
      <c r="U758" s="6"/>
      <c r="V758" s="6"/>
      <c r="W758" s="6"/>
      <c r="X758" s="6"/>
      <c r="Y758" s="7" t="str">
        <f aca="false">IF(COUNT(U758:X758)=4,(W758-X758)/2,"")</f>
        <v/>
      </c>
      <c r="Z758" s="7" t="str">
        <f aca="false">IF(COUNT(U758:X758)=4,(U758-V758)/2,"")</f>
        <v/>
      </c>
      <c r="AA758" s="7" t="str">
        <f aca="false">IF(COUNT(U758:X758)=4,MAX(1,MIN(10,ROUNDUP(5-Z758,0))),"")</f>
        <v/>
      </c>
      <c r="AB758" s="7" t="str">
        <f aca="false">IF(COUNT(U758:X758)=4,MAX(1,MIN(10,ROUNDUP(Y758+5,0))),"")</f>
        <v/>
      </c>
      <c r="AC758" s="6"/>
      <c r="AD758" s="6"/>
    </row>
    <row r="759" customFormat="false" ht="15" hidden="false" customHeight="true" outlineLevel="0" collapsed="false">
      <c r="A759" s="5" t="n">
        <v>758</v>
      </c>
      <c r="B759" s="5" t="s">
        <v>1937</v>
      </c>
      <c r="C759" s="5" t="s">
        <v>171</v>
      </c>
      <c r="D759" s="5" t="s">
        <v>172</v>
      </c>
      <c r="E759" s="5" t="n">
        <v>147</v>
      </c>
      <c r="F759" s="5" t="s">
        <v>1938</v>
      </c>
      <c r="G759" s="5" t="n">
        <v>4</v>
      </c>
      <c r="H759" s="5" t="s">
        <v>53</v>
      </c>
      <c r="I759" s="5" t="s">
        <v>81</v>
      </c>
      <c r="J759" s="5" t="s">
        <v>174</v>
      </c>
      <c r="K759" s="5" t="s">
        <v>309</v>
      </c>
      <c r="L759" s="5" t="n">
        <v>6</v>
      </c>
      <c r="M759" s="5" t="n">
        <v>2</v>
      </c>
      <c r="N759" s="5" t="n">
        <v>3</v>
      </c>
      <c r="O759" s="5" t="n">
        <v>8</v>
      </c>
      <c r="P759" s="5" t="n">
        <v>-2.5</v>
      </c>
      <c r="Q759" s="5" t="n">
        <v>2</v>
      </c>
      <c r="R759" s="5" t="n">
        <v>3</v>
      </c>
      <c r="S759" s="5" t="n">
        <v>3</v>
      </c>
      <c r="T759" s="5" t="s">
        <v>1939</v>
      </c>
      <c r="U759" s="6"/>
      <c r="V759" s="6"/>
      <c r="W759" s="6"/>
      <c r="X759" s="6"/>
      <c r="Y759" s="7" t="str">
        <f aca="false">IF(COUNT(U759:X759)=4,(W759-X759)/2,"")</f>
        <v/>
      </c>
      <c r="Z759" s="7" t="str">
        <f aca="false">IF(COUNT(U759:X759)=4,(U759-V759)/2,"")</f>
        <v/>
      </c>
      <c r="AA759" s="7" t="str">
        <f aca="false">IF(COUNT(U759:X759)=4,MAX(1,MIN(10,ROUNDUP(5-Z759,0))),"")</f>
        <v/>
      </c>
      <c r="AB759" s="7" t="str">
        <f aca="false">IF(COUNT(U759:X759)=4,MAX(1,MIN(10,ROUNDUP(Y759+5,0))),"")</f>
        <v/>
      </c>
      <c r="AC759" s="6"/>
      <c r="AD759" s="6"/>
    </row>
    <row r="760" customFormat="false" ht="15" hidden="false" customHeight="true" outlineLevel="0" collapsed="false">
      <c r="A760" s="5" t="n">
        <v>759</v>
      </c>
      <c r="B760" s="5" t="s">
        <v>1940</v>
      </c>
      <c r="C760" s="5" t="s">
        <v>145</v>
      </c>
      <c r="D760" s="5" t="s">
        <v>51</v>
      </c>
      <c r="E760" s="5" t="n">
        <v>147</v>
      </c>
      <c r="F760" s="5" t="s">
        <v>1941</v>
      </c>
      <c r="G760" s="5" t="n">
        <v>4</v>
      </c>
      <c r="H760" s="5" t="s">
        <v>53</v>
      </c>
      <c r="I760" s="5" t="s">
        <v>54</v>
      </c>
      <c r="J760" s="5" t="s">
        <v>55</v>
      </c>
      <c r="K760" s="5" t="s">
        <v>55</v>
      </c>
      <c r="L760" s="5" t="n">
        <v>5</v>
      </c>
      <c r="M760" s="5" t="n">
        <v>2</v>
      </c>
      <c r="N760" s="5" t="n">
        <v>8</v>
      </c>
      <c r="O760" s="5" t="n">
        <v>2</v>
      </c>
      <c r="P760" s="5" t="n">
        <v>3</v>
      </c>
      <c r="Q760" s="5" t="n">
        <v>1.5</v>
      </c>
      <c r="R760" s="5" t="n">
        <v>4</v>
      </c>
      <c r="S760" s="5" t="n">
        <v>8</v>
      </c>
      <c r="T760" s="5" t="s">
        <v>1942</v>
      </c>
      <c r="U760" s="6"/>
      <c r="V760" s="6"/>
      <c r="W760" s="6"/>
      <c r="X760" s="6"/>
      <c r="Y760" s="7" t="str">
        <f aca="false">IF(COUNT(U760:X760)=4,(W760-X760)/2,"")</f>
        <v/>
      </c>
      <c r="Z760" s="7" t="str">
        <f aca="false">IF(COUNT(U760:X760)=4,(U760-V760)/2,"")</f>
        <v/>
      </c>
      <c r="AA760" s="7" t="str">
        <f aca="false">IF(COUNT(U760:X760)=4,MAX(1,MIN(10,ROUNDUP(5-Z760,0))),"")</f>
        <v/>
      </c>
      <c r="AB760" s="7" t="str">
        <f aca="false">IF(COUNT(U760:X760)=4,MAX(1,MIN(10,ROUNDUP(Y760+5,0))),"")</f>
        <v/>
      </c>
      <c r="AC760" s="6"/>
      <c r="AD760" s="6"/>
    </row>
    <row r="761" customFormat="false" ht="15" hidden="false" customHeight="true" outlineLevel="0" collapsed="false">
      <c r="A761" s="5" t="n">
        <v>760</v>
      </c>
      <c r="B761" s="5" t="s">
        <v>1943</v>
      </c>
      <c r="C761" s="5" t="s">
        <v>171</v>
      </c>
      <c r="D761" s="5" t="s">
        <v>172</v>
      </c>
      <c r="E761" s="5" t="n">
        <v>147</v>
      </c>
      <c r="F761" s="5" t="s">
        <v>1944</v>
      </c>
      <c r="G761" s="5" t="n">
        <v>4</v>
      </c>
      <c r="H761" s="5" t="s">
        <v>53</v>
      </c>
      <c r="I761" s="5" t="s">
        <v>54</v>
      </c>
      <c r="J761" s="5" t="s">
        <v>181</v>
      </c>
      <c r="K761" s="5" t="s">
        <v>333</v>
      </c>
      <c r="L761" s="5" t="n">
        <v>2</v>
      </c>
      <c r="M761" s="5" t="n">
        <v>4</v>
      </c>
      <c r="N761" s="5" t="n">
        <v>9</v>
      </c>
      <c r="O761" s="5" t="n">
        <v>2</v>
      </c>
      <c r="P761" s="5" t="n">
        <v>3.5</v>
      </c>
      <c r="Q761" s="5" t="n">
        <v>-1</v>
      </c>
      <c r="R761" s="5" t="n">
        <v>6</v>
      </c>
      <c r="S761" s="5" t="n">
        <v>9</v>
      </c>
      <c r="T761" s="5" t="s">
        <v>1945</v>
      </c>
      <c r="U761" s="6"/>
      <c r="V761" s="6"/>
      <c r="W761" s="6"/>
      <c r="X761" s="6"/>
      <c r="Y761" s="7" t="str">
        <f aca="false">IF(COUNT(U761:X761)=4,(W761-X761)/2,"")</f>
        <v/>
      </c>
      <c r="Z761" s="7" t="str">
        <f aca="false">IF(COUNT(U761:X761)=4,(U761-V761)/2,"")</f>
        <v/>
      </c>
      <c r="AA761" s="7" t="str">
        <f aca="false">IF(COUNT(U761:X761)=4,MAX(1,MIN(10,ROUNDUP(5-Z761,0))),"")</f>
        <v/>
      </c>
      <c r="AB761" s="7" t="str">
        <f aca="false">IF(COUNT(U761:X761)=4,MAX(1,MIN(10,ROUNDUP(Y761+5,0))),"")</f>
        <v/>
      </c>
      <c r="AC761" s="6"/>
      <c r="AD761" s="6"/>
    </row>
    <row r="762" customFormat="false" ht="15" hidden="false" customHeight="true" outlineLevel="0" collapsed="false">
      <c r="A762" s="5" t="n">
        <v>761</v>
      </c>
      <c r="B762" s="5" t="s">
        <v>1946</v>
      </c>
      <c r="C762" s="5" t="s">
        <v>171</v>
      </c>
      <c r="D762" s="5" t="s">
        <v>172</v>
      </c>
      <c r="E762" s="5" t="n">
        <v>146</v>
      </c>
      <c r="F762" s="5" t="s">
        <v>1947</v>
      </c>
      <c r="G762" s="5" t="n">
        <v>4</v>
      </c>
      <c r="H762" s="5" t="s">
        <v>53</v>
      </c>
      <c r="I762" s="5" t="s">
        <v>54</v>
      </c>
      <c r="J762" s="5" t="s">
        <v>181</v>
      </c>
      <c r="K762" s="5" t="s">
        <v>333</v>
      </c>
      <c r="L762" s="5" t="n">
        <v>2</v>
      </c>
      <c r="M762" s="5" t="n">
        <v>4</v>
      </c>
      <c r="N762" s="5" t="n">
        <v>8</v>
      </c>
      <c r="O762" s="5" t="n">
        <v>2</v>
      </c>
      <c r="P762" s="5" t="n">
        <v>3</v>
      </c>
      <c r="Q762" s="5" t="n">
        <v>-1</v>
      </c>
      <c r="R762" s="5" t="n">
        <v>6</v>
      </c>
      <c r="S762" s="5" t="n">
        <v>8</v>
      </c>
      <c r="T762" s="5" t="s">
        <v>1948</v>
      </c>
      <c r="U762" s="6"/>
      <c r="V762" s="6"/>
      <c r="W762" s="6"/>
      <c r="X762" s="6"/>
      <c r="Y762" s="7" t="str">
        <f aca="false">IF(COUNT(U762:X762)=4,(W762-X762)/2,"")</f>
        <v/>
      </c>
      <c r="Z762" s="7" t="str">
        <f aca="false">IF(COUNT(U762:X762)=4,(U762-V762)/2,"")</f>
        <v/>
      </c>
      <c r="AA762" s="7" t="str">
        <f aca="false">IF(COUNT(U762:X762)=4,MAX(1,MIN(10,ROUNDUP(5-Z762,0))),"")</f>
        <v/>
      </c>
      <c r="AB762" s="7" t="str">
        <f aca="false">IF(COUNT(U762:X762)=4,MAX(1,MIN(10,ROUNDUP(Y762+5,0))),"")</f>
        <v/>
      </c>
      <c r="AC762" s="6"/>
      <c r="AD762" s="6"/>
    </row>
    <row r="763" customFormat="false" ht="15" hidden="false" customHeight="true" outlineLevel="0" collapsed="false">
      <c r="A763" s="5" t="n">
        <v>762</v>
      </c>
      <c r="B763" s="5" t="s">
        <v>1949</v>
      </c>
      <c r="C763" s="5" t="s">
        <v>145</v>
      </c>
      <c r="D763" s="5" t="s">
        <v>51</v>
      </c>
      <c r="E763" s="5" t="n">
        <v>146</v>
      </c>
      <c r="F763" s="5" t="s">
        <v>1950</v>
      </c>
      <c r="G763" s="5" t="n">
        <v>4</v>
      </c>
      <c r="H763" s="5" t="s">
        <v>53</v>
      </c>
      <c r="I763" s="5" t="s">
        <v>54</v>
      </c>
      <c r="J763" s="5" t="s">
        <v>181</v>
      </c>
      <c r="K763" s="5" t="s">
        <v>443</v>
      </c>
      <c r="L763" s="5" t="n">
        <v>5</v>
      </c>
      <c r="M763" s="5" t="n">
        <v>3</v>
      </c>
      <c r="N763" s="5" t="n">
        <v>4</v>
      </c>
      <c r="O763" s="5" t="n">
        <v>8</v>
      </c>
      <c r="P763" s="5" t="n">
        <v>-2</v>
      </c>
      <c r="Q763" s="5" t="n">
        <v>1</v>
      </c>
      <c r="R763" s="5" t="n">
        <v>4</v>
      </c>
      <c r="S763" s="5" t="n">
        <v>3</v>
      </c>
      <c r="T763" s="5" t="s">
        <v>1951</v>
      </c>
      <c r="U763" s="6"/>
      <c r="V763" s="6"/>
      <c r="W763" s="6"/>
      <c r="X763" s="6"/>
      <c r="Y763" s="7" t="str">
        <f aca="false">IF(COUNT(U763:X763)=4,(W763-X763)/2,"")</f>
        <v/>
      </c>
      <c r="Z763" s="7" t="str">
        <f aca="false">IF(COUNT(U763:X763)=4,(U763-V763)/2,"")</f>
        <v/>
      </c>
      <c r="AA763" s="7" t="str">
        <f aca="false">IF(COUNT(U763:X763)=4,MAX(1,MIN(10,ROUNDUP(5-Z763,0))),"")</f>
        <v/>
      </c>
      <c r="AB763" s="7" t="str">
        <f aca="false">IF(COUNT(U763:X763)=4,MAX(1,MIN(10,ROUNDUP(Y763+5,0))),"")</f>
        <v/>
      </c>
      <c r="AC763" s="6"/>
      <c r="AD763" s="6"/>
    </row>
    <row r="764" customFormat="false" ht="15" hidden="false" customHeight="true" outlineLevel="0" collapsed="false">
      <c r="A764" s="5" t="n">
        <v>763</v>
      </c>
      <c r="B764" s="5" t="s">
        <v>1952</v>
      </c>
      <c r="C764" s="5" t="s">
        <v>145</v>
      </c>
      <c r="D764" s="5" t="s">
        <v>51</v>
      </c>
      <c r="E764" s="5" t="n">
        <v>146</v>
      </c>
      <c r="F764" s="5" t="s">
        <v>1953</v>
      </c>
      <c r="G764" s="5" t="n">
        <v>4</v>
      </c>
      <c r="H764" s="5" t="s">
        <v>53</v>
      </c>
      <c r="I764" s="5" t="s">
        <v>54</v>
      </c>
      <c r="J764" s="5" t="s">
        <v>181</v>
      </c>
      <c r="K764" s="5" t="s">
        <v>574</v>
      </c>
      <c r="L764" s="5" t="n">
        <v>5</v>
      </c>
      <c r="M764" s="5" t="n">
        <v>5</v>
      </c>
      <c r="N764" s="5" t="n">
        <v>4</v>
      </c>
      <c r="O764" s="5" t="n">
        <v>7</v>
      </c>
      <c r="P764" s="5" t="n">
        <v>-1.5</v>
      </c>
      <c r="Q764" s="5" t="n">
        <v>0</v>
      </c>
      <c r="R764" s="5" t="n">
        <v>5</v>
      </c>
      <c r="S764" s="5" t="n">
        <v>4</v>
      </c>
      <c r="T764" s="5" t="s">
        <v>1954</v>
      </c>
      <c r="U764" s="6"/>
      <c r="V764" s="6"/>
      <c r="W764" s="6"/>
      <c r="X764" s="6"/>
      <c r="Y764" s="7" t="str">
        <f aca="false">IF(COUNT(U764:X764)=4,(W764-X764)/2,"")</f>
        <v/>
      </c>
      <c r="Z764" s="7" t="str">
        <f aca="false">IF(COUNT(U764:X764)=4,(U764-V764)/2,"")</f>
        <v/>
      </c>
      <c r="AA764" s="7" t="str">
        <f aca="false">IF(COUNT(U764:X764)=4,MAX(1,MIN(10,ROUNDUP(5-Z764,0))),"")</f>
        <v/>
      </c>
      <c r="AB764" s="7" t="str">
        <f aca="false">IF(COUNT(U764:X764)=4,MAX(1,MIN(10,ROUNDUP(Y764+5,0))),"")</f>
        <v/>
      </c>
      <c r="AC764" s="6"/>
      <c r="AD764" s="6"/>
    </row>
    <row r="765" customFormat="false" ht="15" hidden="false" customHeight="true" outlineLevel="0" collapsed="false">
      <c r="A765" s="5" t="n">
        <v>764</v>
      </c>
      <c r="B765" s="5" t="s">
        <v>1955</v>
      </c>
      <c r="C765" s="5" t="s">
        <v>171</v>
      </c>
      <c r="D765" s="5" t="s">
        <v>172</v>
      </c>
      <c r="E765" s="5" t="n">
        <v>146</v>
      </c>
      <c r="F765" s="5" t="s">
        <v>1956</v>
      </c>
      <c r="G765" s="5" t="n">
        <v>4</v>
      </c>
      <c r="H765" s="5" t="s">
        <v>53</v>
      </c>
      <c r="I765" s="5" t="s">
        <v>54</v>
      </c>
      <c r="J765" s="5" t="s">
        <v>181</v>
      </c>
      <c r="K765" s="5" t="s">
        <v>223</v>
      </c>
      <c r="L765" s="5" t="n">
        <v>4</v>
      </c>
      <c r="M765" s="5" t="n">
        <v>4</v>
      </c>
      <c r="N765" s="5" t="n">
        <v>6</v>
      </c>
      <c r="O765" s="5" t="n">
        <v>5</v>
      </c>
      <c r="P765" s="5" t="n">
        <v>0.5</v>
      </c>
      <c r="Q765" s="5" t="n">
        <v>0</v>
      </c>
      <c r="R765" s="5" t="n">
        <v>5</v>
      </c>
      <c r="S765" s="5" t="n">
        <v>6</v>
      </c>
      <c r="T765" s="5" t="s">
        <v>157</v>
      </c>
      <c r="U765" s="6"/>
      <c r="V765" s="6"/>
      <c r="W765" s="6"/>
      <c r="X765" s="6"/>
      <c r="Y765" s="7" t="str">
        <f aca="false">IF(COUNT(U765:X765)=4,(W765-X765)/2,"")</f>
        <v/>
      </c>
      <c r="Z765" s="7" t="str">
        <f aca="false">IF(COUNT(U765:X765)=4,(U765-V765)/2,"")</f>
        <v/>
      </c>
      <c r="AA765" s="7" t="str">
        <f aca="false">IF(COUNT(U765:X765)=4,MAX(1,MIN(10,ROUNDUP(5-Z765,0))),"")</f>
        <v/>
      </c>
      <c r="AB765" s="7" t="str">
        <f aca="false">IF(COUNT(U765:X765)=4,MAX(1,MIN(10,ROUNDUP(Y765+5,0))),"")</f>
        <v/>
      </c>
      <c r="AC765" s="6"/>
      <c r="AD765" s="6"/>
    </row>
    <row r="766" customFormat="false" ht="15" hidden="false" customHeight="true" outlineLevel="0" collapsed="false">
      <c r="A766" s="5" t="n">
        <v>765</v>
      </c>
      <c r="B766" s="5" t="s">
        <v>1957</v>
      </c>
      <c r="C766" s="5" t="s">
        <v>108</v>
      </c>
      <c r="D766" s="5" t="s">
        <v>109</v>
      </c>
      <c r="E766" s="5" t="n">
        <v>146</v>
      </c>
      <c r="F766" s="5" t="s">
        <v>1957</v>
      </c>
      <c r="G766" s="5" t="n">
        <v>4</v>
      </c>
      <c r="H766" s="5" t="s">
        <v>53</v>
      </c>
      <c r="I766" s="5" t="s">
        <v>54</v>
      </c>
      <c r="J766" s="5" t="s">
        <v>117</v>
      </c>
      <c r="K766" s="5" t="s">
        <v>117</v>
      </c>
      <c r="L766" s="5" t="n">
        <v>3</v>
      </c>
      <c r="M766" s="5" t="n">
        <v>1</v>
      </c>
      <c r="N766" s="5" t="n">
        <v>2</v>
      </c>
      <c r="O766" s="5" t="n">
        <v>7</v>
      </c>
      <c r="P766" s="5" t="n">
        <v>-2.5</v>
      </c>
      <c r="Q766" s="5" t="n">
        <v>1</v>
      </c>
      <c r="R766" s="5" t="n">
        <v>4</v>
      </c>
      <c r="S766" s="5" t="n">
        <v>3</v>
      </c>
      <c r="T766" s="5" t="s">
        <v>1958</v>
      </c>
      <c r="U766" s="6"/>
      <c r="V766" s="6"/>
      <c r="W766" s="6"/>
      <c r="X766" s="6"/>
      <c r="Y766" s="7" t="str">
        <f aca="false">IF(COUNT(U766:X766)=4,(W766-X766)/2,"")</f>
        <v/>
      </c>
      <c r="Z766" s="7" t="str">
        <f aca="false">IF(COUNT(U766:X766)=4,(U766-V766)/2,"")</f>
        <v/>
      </c>
      <c r="AA766" s="7" t="str">
        <f aca="false">IF(COUNT(U766:X766)=4,MAX(1,MIN(10,ROUNDUP(5-Z766,0))),"")</f>
        <v/>
      </c>
      <c r="AB766" s="7" t="str">
        <f aca="false">IF(COUNT(U766:X766)=4,MAX(1,MIN(10,ROUNDUP(Y766+5,0))),"")</f>
        <v/>
      </c>
      <c r="AC766" s="6"/>
      <c r="AD766" s="6"/>
    </row>
    <row r="767" customFormat="false" ht="15" hidden="false" customHeight="true" outlineLevel="0" collapsed="false">
      <c r="A767" s="5" t="n">
        <v>766</v>
      </c>
      <c r="B767" s="5" t="s">
        <v>1959</v>
      </c>
      <c r="C767" s="5" t="s">
        <v>145</v>
      </c>
      <c r="D767" s="5" t="s">
        <v>51</v>
      </c>
      <c r="E767" s="5" t="n">
        <v>146</v>
      </c>
      <c r="F767" s="5" t="s">
        <v>1960</v>
      </c>
      <c r="G767" s="5" t="n">
        <v>4</v>
      </c>
      <c r="H767" s="5" t="s">
        <v>53</v>
      </c>
      <c r="I767" s="5" t="s">
        <v>54</v>
      </c>
      <c r="J767" s="5" t="s">
        <v>55</v>
      </c>
      <c r="K767" s="5" t="s">
        <v>55</v>
      </c>
      <c r="L767" s="5" t="n">
        <v>4</v>
      </c>
      <c r="M767" s="5" t="n">
        <v>3</v>
      </c>
      <c r="N767" s="5" t="n">
        <v>6</v>
      </c>
      <c r="O767" s="5" t="n">
        <v>4</v>
      </c>
      <c r="P767" s="5" t="n">
        <v>1</v>
      </c>
      <c r="Q767" s="5" t="n">
        <v>0.5</v>
      </c>
      <c r="R767" s="5" t="n">
        <v>5</v>
      </c>
      <c r="S767" s="5" t="n">
        <v>6</v>
      </c>
      <c r="T767" s="5" t="s">
        <v>114</v>
      </c>
      <c r="U767" s="6"/>
      <c r="V767" s="6"/>
      <c r="W767" s="6"/>
      <c r="X767" s="6"/>
      <c r="Y767" s="7" t="str">
        <f aca="false">IF(COUNT(U767:X767)=4,(W767-X767)/2,"")</f>
        <v/>
      </c>
      <c r="Z767" s="7" t="str">
        <f aca="false">IF(COUNT(U767:X767)=4,(U767-V767)/2,"")</f>
        <v/>
      </c>
      <c r="AA767" s="7" t="str">
        <f aca="false">IF(COUNT(U767:X767)=4,MAX(1,MIN(10,ROUNDUP(5-Z767,0))),"")</f>
        <v/>
      </c>
      <c r="AB767" s="7" t="str">
        <f aca="false">IF(COUNT(U767:X767)=4,MAX(1,MIN(10,ROUNDUP(Y767+5,0))),"")</f>
        <v/>
      </c>
      <c r="AC767" s="6"/>
      <c r="AD767" s="6"/>
    </row>
    <row r="768" customFormat="false" ht="15" hidden="false" customHeight="true" outlineLevel="0" collapsed="false">
      <c r="A768" s="5" t="n">
        <v>767</v>
      </c>
      <c r="B768" s="5" t="s">
        <v>1961</v>
      </c>
      <c r="C768" s="5" t="s">
        <v>79</v>
      </c>
      <c r="D768" s="5" t="s">
        <v>80</v>
      </c>
      <c r="E768" s="5" t="n">
        <v>146</v>
      </c>
      <c r="F768" s="5" t="s">
        <v>1961</v>
      </c>
      <c r="G768" s="5" t="n">
        <v>3</v>
      </c>
      <c r="H768" s="5" t="s">
        <v>53</v>
      </c>
      <c r="I768" s="5" t="s">
        <v>64</v>
      </c>
      <c r="J768" s="5"/>
      <c r="K768" s="5"/>
      <c r="L768" s="5" t="n">
        <v>4</v>
      </c>
      <c r="M768" s="5" t="n">
        <v>3</v>
      </c>
      <c r="N768" s="5" t="n">
        <v>2</v>
      </c>
      <c r="O768" s="5" t="n">
        <v>8</v>
      </c>
      <c r="P768" s="5" t="n">
        <v>-3</v>
      </c>
      <c r="Q768" s="5" t="n">
        <v>0.5</v>
      </c>
      <c r="R768" s="5" t="n">
        <v>5</v>
      </c>
      <c r="S768" s="5" t="n">
        <v>2</v>
      </c>
      <c r="T768" s="5" t="s">
        <v>1962</v>
      </c>
      <c r="U768" s="6"/>
      <c r="V768" s="6"/>
      <c r="W768" s="6"/>
      <c r="X768" s="6"/>
      <c r="Y768" s="7" t="str">
        <f aca="false">IF(COUNT(U768:X768)=4,(W768-X768)/2,"")</f>
        <v/>
      </c>
      <c r="Z768" s="7" t="str">
        <f aca="false">IF(COUNT(U768:X768)=4,(U768-V768)/2,"")</f>
        <v/>
      </c>
      <c r="AA768" s="7" t="str">
        <f aca="false">IF(COUNT(U768:X768)=4,MAX(1,MIN(10,ROUNDUP(5-Z768,0))),"")</f>
        <v/>
      </c>
      <c r="AB768" s="7" t="str">
        <f aca="false">IF(COUNT(U768:X768)=4,MAX(1,MIN(10,ROUNDUP(Y768+5,0))),"")</f>
        <v/>
      </c>
      <c r="AC768" s="6"/>
      <c r="AD768" s="6"/>
    </row>
    <row r="769" customFormat="false" ht="15" hidden="false" customHeight="true" outlineLevel="0" collapsed="false">
      <c r="A769" s="5" t="n">
        <v>768</v>
      </c>
      <c r="B769" s="5" t="s">
        <v>1963</v>
      </c>
      <c r="C769" s="5" t="s">
        <v>171</v>
      </c>
      <c r="D769" s="5" t="s">
        <v>172</v>
      </c>
      <c r="E769" s="5" t="n">
        <v>146</v>
      </c>
      <c r="F769" s="5" t="s">
        <v>1964</v>
      </c>
      <c r="G769" s="5" t="n">
        <v>4</v>
      </c>
      <c r="H769" s="5" t="s">
        <v>53</v>
      </c>
      <c r="I769" s="5" t="s">
        <v>81</v>
      </c>
      <c r="J769" s="5" t="s">
        <v>174</v>
      </c>
      <c r="K769" s="5" t="s">
        <v>175</v>
      </c>
      <c r="L769" s="5" t="n">
        <v>8</v>
      </c>
      <c r="M769" s="5" t="n">
        <v>1</v>
      </c>
      <c r="N769" s="5" t="n">
        <v>2</v>
      </c>
      <c r="O769" s="5" t="n">
        <v>10</v>
      </c>
      <c r="P769" s="5" t="n">
        <v>-4</v>
      </c>
      <c r="Q769" s="5" t="n">
        <v>3.5</v>
      </c>
      <c r="R769" s="5" t="n">
        <v>2</v>
      </c>
      <c r="S769" s="5" t="n">
        <v>1</v>
      </c>
      <c r="T769" s="5" t="s">
        <v>1965</v>
      </c>
      <c r="U769" s="6"/>
      <c r="V769" s="6"/>
      <c r="W769" s="6"/>
      <c r="X769" s="6"/>
      <c r="Y769" s="7" t="str">
        <f aca="false">IF(COUNT(U769:X769)=4,(W769-X769)/2,"")</f>
        <v/>
      </c>
      <c r="Z769" s="7" t="str">
        <f aca="false">IF(COUNT(U769:X769)=4,(U769-V769)/2,"")</f>
        <v/>
      </c>
      <c r="AA769" s="7" t="str">
        <f aca="false">IF(COUNT(U769:X769)=4,MAX(1,MIN(10,ROUNDUP(5-Z769,0))),"")</f>
        <v/>
      </c>
      <c r="AB769" s="7" t="str">
        <f aca="false">IF(COUNT(U769:X769)=4,MAX(1,MIN(10,ROUNDUP(Y769+5,0))),"")</f>
        <v/>
      </c>
      <c r="AC769" s="6"/>
      <c r="AD769" s="6"/>
    </row>
    <row r="770" customFormat="false" ht="15" hidden="false" customHeight="true" outlineLevel="0" collapsed="false">
      <c r="A770" s="5" t="n">
        <v>769</v>
      </c>
      <c r="B770" s="5" t="s">
        <v>1966</v>
      </c>
      <c r="C770" s="5" t="s">
        <v>58</v>
      </c>
      <c r="D770" s="5" t="s">
        <v>59</v>
      </c>
      <c r="E770" s="5" t="n">
        <v>145</v>
      </c>
      <c r="F770" s="5" t="s">
        <v>1966</v>
      </c>
      <c r="G770" s="5" t="n">
        <v>1</v>
      </c>
      <c r="H770" s="5" t="s">
        <v>47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 t="s">
        <v>1967</v>
      </c>
      <c r="U770" s="6"/>
      <c r="V770" s="6"/>
      <c r="W770" s="6"/>
      <c r="X770" s="6"/>
      <c r="Y770" s="7" t="str">
        <f aca="false">IF(COUNT(U770:X770)=4,(W770-X770)/2,"")</f>
        <v/>
      </c>
      <c r="Z770" s="7" t="str">
        <f aca="false">IF(COUNT(U770:X770)=4,(U770-V770)/2,"")</f>
        <v/>
      </c>
      <c r="AA770" s="7" t="str">
        <f aca="false">IF(COUNT(U770:X770)=4,MAX(1,MIN(10,ROUNDUP(5-Z770,0))),"")</f>
        <v/>
      </c>
      <c r="AB770" s="7" t="str">
        <f aca="false">IF(COUNT(U770:X770)=4,MAX(1,MIN(10,ROUNDUP(Y770+5,0))),"")</f>
        <v/>
      </c>
      <c r="AC770" s="6"/>
      <c r="AD770" s="6"/>
    </row>
    <row r="771" customFormat="false" ht="15" hidden="false" customHeight="true" outlineLevel="0" collapsed="false">
      <c r="A771" s="5" t="n">
        <v>770</v>
      </c>
      <c r="B771" s="5" t="s">
        <v>1968</v>
      </c>
      <c r="C771" s="5" t="s">
        <v>171</v>
      </c>
      <c r="D771" s="5" t="s">
        <v>172</v>
      </c>
      <c r="E771" s="5" t="n">
        <v>145</v>
      </c>
      <c r="F771" s="5" t="s">
        <v>1969</v>
      </c>
      <c r="G771" s="5" t="n">
        <v>4</v>
      </c>
      <c r="H771" s="5" t="s">
        <v>53</v>
      </c>
      <c r="I771" s="5" t="s">
        <v>81</v>
      </c>
      <c r="J771" s="5" t="s">
        <v>174</v>
      </c>
      <c r="K771" s="5" t="s">
        <v>1180</v>
      </c>
      <c r="L771" s="5" t="n">
        <v>7</v>
      </c>
      <c r="M771" s="5" t="n">
        <v>3</v>
      </c>
      <c r="N771" s="5" t="n">
        <v>3</v>
      </c>
      <c r="O771" s="5" t="n">
        <v>9</v>
      </c>
      <c r="P771" s="5" t="n">
        <v>-3</v>
      </c>
      <c r="Q771" s="5" t="n">
        <v>2</v>
      </c>
      <c r="R771" s="5" t="n">
        <v>3</v>
      </c>
      <c r="S771" s="5" t="n">
        <v>2</v>
      </c>
      <c r="T771" s="5" t="s">
        <v>1970</v>
      </c>
      <c r="U771" s="6"/>
      <c r="V771" s="6"/>
      <c r="W771" s="6"/>
      <c r="X771" s="6"/>
      <c r="Y771" s="7" t="str">
        <f aca="false">IF(COUNT(U771:X771)=4,(W771-X771)/2,"")</f>
        <v/>
      </c>
      <c r="Z771" s="7" t="str">
        <f aca="false">IF(COUNT(U771:X771)=4,(U771-V771)/2,"")</f>
        <v/>
      </c>
      <c r="AA771" s="7" t="str">
        <f aca="false">IF(COUNT(U771:X771)=4,MAX(1,MIN(10,ROUNDUP(5-Z771,0))),"")</f>
        <v/>
      </c>
      <c r="AB771" s="7" t="str">
        <f aca="false">IF(COUNT(U771:X771)=4,MAX(1,MIN(10,ROUNDUP(Y771+5,0))),"")</f>
        <v/>
      </c>
      <c r="AC771" s="6"/>
      <c r="AD771" s="6"/>
    </row>
    <row r="772" customFormat="false" ht="15" hidden="false" customHeight="true" outlineLevel="0" collapsed="false">
      <c r="A772" s="5" t="n">
        <v>771</v>
      </c>
      <c r="B772" s="5" t="s">
        <v>1971</v>
      </c>
      <c r="C772" s="5" t="s">
        <v>171</v>
      </c>
      <c r="D772" s="5" t="s">
        <v>172</v>
      </c>
      <c r="E772" s="5" t="n">
        <v>145</v>
      </c>
      <c r="F772" s="5" t="s">
        <v>1972</v>
      </c>
      <c r="G772" s="5" t="n">
        <v>4</v>
      </c>
      <c r="H772" s="5" t="s">
        <v>53</v>
      </c>
      <c r="I772" s="5" t="s">
        <v>81</v>
      </c>
      <c r="J772" s="5" t="s">
        <v>174</v>
      </c>
      <c r="K772" s="5" t="s">
        <v>175</v>
      </c>
      <c r="L772" s="5" t="n">
        <v>9</v>
      </c>
      <c r="M772" s="5" t="n">
        <v>1</v>
      </c>
      <c r="N772" s="5" t="n">
        <v>1</v>
      </c>
      <c r="O772" s="5" t="n">
        <v>10</v>
      </c>
      <c r="P772" s="5" t="n">
        <v>-4.5</v>
      </c>
      <c r="Q772" s="5" t="n">
        <v>4</v>
      </c>
      <c r="R772" s="5" t="n">
        <v>1</v>
      </c>
      <c r="S772" s="5" t="n">
        <v>1</v>
      </c>
      <c r="T772" s="5" t="s">
        <v>1666</v>
      </c>
      <c r="U772" s="6"/>
      <c r="V772" s="6"/>
      <c r="W772" s="6"/>
      <c r="X772" s="6"/>
      <c r="Y772" s="7" t="str">
        <f aca="false">IF(COUNT(U772:X772)=4,(W772-X772)/2,"")</f>
        <v/>
      </c>
      <c r="Z772" s="7" t="str">
        <f aca="false">IF(COUNT(U772:X772)=4,(U772-V772)/2,"")</f>
        <v/>
      </c>
      <c r="AA772" s="7" t="str">
        <f aca="false">IF(COUNT(U772:X772)=4,MAX(1,MIN(10,ROUNDUP(5-Z772,0))),"")</f>
        <v/>
      </c>
      <c r="AB772" s="7" t="str">
        <f aca="false">IF(COUNT(U772:X772)=4,MAX(1,MIN(10,ROUNDUP(Y772+5,0))),"")</f>
        <v/>
      </c>
      <c r="AC772" s="6"/>
      <c r="AD772" s="6"/>
    </row>
    <row r="773" customFormat="false" ht="15" hidden="false" customHeight="true" outlineLevel="0" collapsed="false">
      <c r="A773" s="5" t="n">
        <v>772</v>
      </c>
      <c r="B773" s="5" t="s">
        <v>1973</v>
      </c>
      <c r="C773" s="5" t="s">
        <v>171</v>
      </c>
      <c r="D773" s="5" t="s">
        <v>172</v>
      </c>
      <c r="E773" s="5" t="n">
        <v>145</v>
      </c>
      <c r="F773" s="5" t="s">
        <v>1973</v>
      </c>
      <c r="G773" s="5" t="n">
        <v>4</v>
      </c>
      <c r="H773" s="5" t="s">
        <v>53</v>
      </c>
      <c r="I773" s="5" t="s">
        <v>54</v>
      </c>
      <c r="J773" s="5" t="s">
        <v>181</v>
      </c>
      <c r="K773" s="5" t="s">
        <v>511</v>
      </c>
      <c r="L773" s="5" t="n">
        <v>2</v>
      </c>
      <c r="M773" s="5" t="n">
        <v>6</v>
      </c>
      <c r="N773" s="5" t="n">
        <v>5</v>
      </c>
      <c r="O773" s="5" t="n">
        <v>5</v>
      </c>
      <c r="P773" s="5" t="n">
        <v>0</v>
      </c>
      <c r="Q773" s="5" t="n">
        <v>-2</v>
      </c>
      <c r="R773" s="5" t="n">
        <v>7</v>
      </c>
      <c r="S773" s="5" t="n">
        <v>5</v>
      </c>
      <c r="T773" s="5" t="s">
        <v>1974</v>
      </c>
      <c r="U773" s="6"/>
      <c r="V773" s="6"/>
      <c r="W773" s="6"/>
      <c r="X773" s="6"/>
      <c r="Y773" s="7" t="str">
        <f aca="false">IF(COUNT(U773:X773)=4,(W773-X773)/2,"")</f>
        <v/>
      </c>
      <c r="Z773" s="7" t="str">
        <f aca="false">IF(COUNT(U773:X773)=4,(U773-V773)/2,"")</f>
        <v/>
      </c>
      <c r="AA773" s="7" t="str">
        <f aca="false">IF(COUNT(U773:X773)=4,MAX(1,MIN(10,ROUNDUP(5-Z773,0))),"")</f>
        <v/>
      </c>
      <c r="AB773" s="7" t="str">
        <f aca="false">IF(COUNT(U773:X773)=4,MAX(1,MIN(10,ROUNDUP(Y773+5,0))),"")</f>
        <v/>
      </c>
      <c r="AC773" s="6"/>
      <c r="AD773" s="6"/>
    </row>
    <row r="774" customFormat="false" ht="15" hidden="false" customHeight="true" outlineLevel="0" collapsed="false">
      <c r="A774" s="5" t="n">
        <v>773</v>
      </c>
      <c r="B774" s="5" t="s">
        <v>1975</v>
      </c>
      <c r="C774" s="5" t="s">
        <v>145</v>
      </c>
      <c r="D774" s="5" t="s">
        <v>51</v>
      </c>
      <c r="E774" s="5" t="n">
        <v>145</v>
      </c>
      <c r="F774" s="5" t="s">
        <v>1976</v>
      </c>
      <c r="G774" s="5" t="n">
        <v>4</v>
      </c>
      <c r="H774" s="5" t="s">
        <v>53</v>
      </c>
      <c r="I774" s="5" t="s">
        <v>54</v>
      </c>
      <c r="J774" s="5" t="s">
        <v>181</v>
      </c>
      <c r="K774" s="5" t="s">
        <v>235</v>
      </c>
      <c r="L774" s="5" t="n">
        <v>2</v>
      </c>
      <c r="M774" s="5" t="n">
        <v>9</v>
      </c>
      <c r="N774" s="5" t="n">
        <v>7</v>
      </c>
      <c r="O774" s="5" t="n">
        <v>4</v>
      </c>
      <c r="P774" s="5" t="n">
        <v>1.5</v>
      </c>
      <c r="Q774" s="5" t="n">
        <v>-3.5</v>
      </c>
      <c r="R774" s="5" t="n">
        <v>9</v>
      </c>
      <c r="S774" s="5" t="n">
        <v>7</v>
      </c>
      <c r="T774" s="5" t="s">
        <v>1958</v>
      </c>
      <c r="U774" s="6"/>
      <c r="V774" s="6"/>
      <c r="W774" s="6"/>
      <c r="X774" s="6"/>
      <c r="Y774" s="7" t="str">
        <f aca="false">IF(COUNT(U774:X774)=4,(W774-X774)/2,"")</f>
        <v/>
      </c>
      <c r="Z774" s="7" t="str">
        <f aca="false">IF(COUNT(U774:X774)=4,(U774-V774)/2,"")</f>
        <v/>
      </c>
      <c r="AA774" s="7" t="str">
        <f aca="false">IF(COUNT(U774:X774)=4,MAX(1,MIN(10,ROUNDUP(5-Z774,0))),"")</f>
        <v/>
      </c>
      <c r="AB774" s="7" t="str">
        <f aca="false">IF(COUNT(U774:X774)=4,MAX(1,MIN(10,ROUNDUP(Y774+5,0))),"")</f>
        <v/>
      </c>
      <c r="AC774" s="6"/>
      <c r="AD774" s="6"/>
    </row>
    <row r="775" customFormat="false" ht="15" hidden="false" customHeight="true" outlineLevel="0" collapsed="false">
      <c r="A775" s="5" t="n">
        <v>774</v>
      </c>
      <c r="B775" s="5" t="s">
        <v>1977</v>
      </c>
      <c r="C775" s="5" t="s">
        <v>145</v>
      </c>
      <c r="D775" s="5" t="s">
        <v>51</v>
      </c>
      <c r="E775" s="5" t="n">
        <v>145</v>
      </c>
      <c r="F775" s="5" t="s">
        <v>1978</v>
      </c>
      <c r="G775" s="5" t="n">
        <v>4</v>
      </c>
      <c r="H775" s="5" t="s">
        <v>53</v>
      </c>
      <c r="I775" s="5" t="s">
        <v>54</v>
      </c>
      <c r="J775" s="5" t="s">
        <v>181</v>
      </c>
      <c r="K775" s="5" t="s">
        <v>235</v>
      </c>
      <c r="L775" s="5" t="n">
        <v>4</v>
      </c>
      <c r="M775" s="5" t="n">
        <v>4</v>
      </c>
      <c r="N775" s="5" t="n">
        <v>7</v>
      </c>
      <c r="O775" s="5" t="n">
        <v>4</v>
      </c>
      <c r="P775" s="5" t="n">
        <v>1.5</v>
      </c>
      <c r="Q775" s="5" t="n">
        <v>0</v>
      </c>
      <c r="R775" s="5" t="n">
        <v>5</v>
      </c>
      <c r="S775" s="5" t="n">
        <v>7</v>
      </c>
      <c r="T775" s="5" t="s">
        <v>65</v>
      </c>
      <c r="U775" s="6"/>
      <c r="V775" s="6"/>
      <c r="W775" s="6"/>
      <c r="X775" s="6"/>
      <c r="Y775" s="7" t="str">
        <f aca="false">IF(COUNT(U775:X775)=4,(W775-X775)/2,"")</f>
        <v/>
      </c>
      <c r="Z775" s="7" t="str">
        <f aca="false">IF(COUNT(U775:X775)=4,(U775-V775)/2,"")</f>
        <v/>
      </c>
      <c r="AA775" s="7" t="str">
        <f aca="false">IF(COUNT(U775:X775)=4,MAX(1,MIN(10,ROUNDUP(5-Z775,0))),"")</f>
        <v/>
      </c>
      <c r="AB775" s="7" t="str">
        <f aca="false">IF(COUNT(U775:X775)=4,MAX(1,MIN(10,ROUNDUP(Y775+5,0))),"")</f>
        <v/>
      </c>
      <c r="AC775" s="6"/>
      <c r="AD775" s="6"/>
    </row>
    <row r="776" customFormat="false" ht="15" hidden="false" customHeight="true" outlineLevel="0" collapsed="false">
      <c r="A776" s="5" t="n">
        <v>775</v>
      </c>
      <c r="B776" s="5" t="s">
        <v>1979</v>
      </c>
      <c r="C776" s="5" t="s">
        <v>203</v>
      </c>
      <c r="D776" s="5" t="s">
        <v>204</v>
      </c>
      <c r="E776" s="5" t="n">
        <v>145</v>
      </c>
      <c r="F776" s="5" t="s">
        <v>1980</v>
      </c>
      <c r="G776" s="5" t="n">
        <v>4</v>
      </c>
      <c r="H776" s="5" t="s">
        <v>53</v>
      </c>
      <c r="I776" s="5" t="s">
        <v>54</v>
      </c>
      <c r="J776" s="5" t="s">
        <v>117</v>
      </c>
      <c r="K776" s="5" t="s">
        <v>117</v>
      </c>
      <c r="L776" s="5" t="n">
        <v>4</v>
      </c>
      <c r="M776" s="5" t="n">
        <v>1</v>
      </c>
      <c r="N776" s="5" t="n">
        <v>8</v>
      </c>
      <c r="O776" s="5" t="n">
        <v>2</v>
      </c>
      <c r="P776" s="5" t="n">
        <v>3</v>
      </c>
      <c r="Q776" s="5" t="n">
        <v>1.5</v>
      </c>
      <c r="R776" s="5" t="n">
        <v>4</v>
      </c>
      <c r="S776" s="5" t="n">
        <v>8</v>
      </c>
      <c r="T776" s="5" t="s">
        <v>1981</v>
      </c>
      <c r="U776" s="6"/>
      <c r="V776" s="6"/>
      <c r="W776" s="6"/>
      <c r="X776" s="6"/>
      <c r="Y776" s="7" t="str">
        <f aca="false">IF(COUNT(U776:X776)=4,(W776-X776)/2,"")</f>
        <v/>
      </c>
      <c r="Z776" s="7" t="str">
        <f aca="false">IF(COUNT(U776:X776)=4,(U776-V776)/2,"")</f>
        <v/>
      </c>
      <c r="AA776" s="7" t="str">
        <f aca="false">IF(COUNT(U776:X776)=4,MAX(1,MIN(10,ROUNDUP(5-Z776,0))),"")</f>
        <v/>
      </c>
      <c r="AB776" s="7" t="str">
        <f aca="false">IF(COUNT(U776:X776)=4,MAX(1,MIN(10,ROUNDUP(Y776+5,0))),"")</f>
        <v/>
      </c>
      <c r="AC776" s="6"/>
      <c r="AD776" s="6"/>
    </row>
    <row r="777" customFormat="false" ht="15" hidden="false" customHeight="true" outlineLevel="0" collapsed="false">
      <c r="A777" s="5" t="n">
        <v>776</v>
      </c>
      <c r="B777" s="5" t="s">
        <v>333</v>
      </c>
      <c r="C777" s="5" t="s">
        <v>171</v>
      </c>
      <c r="D777" s="5" t="s">
        <v>172</v>
      </c>
      <c r="E777" s="5" t="n">
        <v>144</v>
      </c>
      <c r="F777" s="5" t="s">
        <v>1982</v>
      </c>
      <c r="G777" s="5" t="n">
        <v>4</v>
      </c>
      <c r="H777" s="5" t="s">
        <v>53</v>
      </c>
      <c r="I777" s="5" t="s">
        <v>54</v>
      </c>
      <c r="J777" s="5" t="s">
        <v>181</v>
      </c>
      <c r="K777" s="5" t="s">
        <v>511</v>
      </c>
      <c r="L777" s="5" t="n">
        <v>2</v>
      </c>
      <c r="M777" s="5" t="n">
        <v>6</v>
      </c>
      <c r="N777" s="5" t="n">
        <v>5</v>
      </c>
      <c r="O777" s="5" t="n">
        <v>5</v>
      </c>
      <c r="P777" s="5" t="n">
        <v>0</v>
      </c>
      <c r="Q777" s="5" t="n">
        <v>-2</v>
      </c>
      <c r="R777" s="5" t="n">
        <v>7</v>
      </c>
      <c r="S777" s="5" t="n">
        <v>5</v>
      </c>
      <c r="T777" s="5" t="s">
        <v>1983</v>
      </c>
      <c r="U777" s="6"/>
      <c r="V777" s="6"/>
      <c r="W777" s="6"/>
      <c r="X777" s="6"/>
      <c r="Y777" s="7" t="str">
        <f aca="false">IF(COUNT(U777:X777)=4,(W777-X777)/2,"")</f>
        <v/>
      </c>
      <c r="Z777" s="7" t="str">
        <f aca="false">IF(COUNT(U777:X777)=4,(U777-V777)/2,"")</f>
        <v/>
      </c>
      <c r="AA777" s="7" t="str">
        <f aca="false">IF(COUNT(U777:X777)=4,MAX(1,MIN(10,ROUNDUP(5-Z777,0))),"")</f>
        <v/>
      </c>
      <c r="AB777" s="7" t="str">
        <f aca="false">IF(COUNT(U777:X777)=4,MAX(1,MIN(10,ROUNDUP(Y777+5,0))),"")</f>
        <v/>
      </c>
      <c r="AC777" s="6"/>
      <c r="AD777" s="6"/>
    </row>
    <row r="778" customFormat="false" ht="15" hidden="false" customHeight="true" outlineLevel="0" collapsed="false">
      <c r="A778" s="5" t="n">
        <v>777</v>
      </c>
      <c r="B778" s="5" t="s">
        <v>1984</v>
      </c>
      <c r="C778" s="5" t="s">
        <v>171</v>
      </c>
      <c r="D778" s="5" t="s">
        <v>172</v>
      </c>
      <c r="E778" s="5" t="n">
        <v>144</v>
      </c>
      <c r="F778" s="5" t="s">
        <v>1985</v>
      </c>
      <c r="G778" s="5" t="n">
        <v>4</v>
      </c>
      <c r="H778" s="5" t="s">
        <v>53</v>
      </c>
      <c r="I778" s="5" t="s">
        <v>81</v>
      </c>
      <c r="J778" s="5" t="s">
        <v>174</v>
      </c>
      <c r="K778" s="5" t="s">
        <v>309</v>
      </c>
      <c r="L778" s="5" t="n">
        <v>6</v>
      </c>
      <c r="M778" s="5" t="n">
        <v>2</v>
      </c>
      <c r="N778" s="5" t="n">
        <v>3</v>
      </c>
      <c r="O778" s="5" t="n">
        <v>8</v>
      </c>
      <c r="P778" s="5" t="n">
        <v>-2.5</v>
      </c>
      <c r="Q778" s="5" t="n">
        <v>2</v>
      </c>
      <c r="R778" s="5" t="n">
        <v>3</v>
      </c>
      <c r="S778" s="5" t="n">
        <v>3</v>
      </c>
      <c r="T778" s="5" t="s">
        <v>1826</v>
      </c>
      <c r="U778" s="6"/>
      <c r="V778" s="6"/>
      <c r="W778" s="6"/>
      <c r="X778" s="6"/>
      <c r="Y778" s="7" t="str">
        <f aca="false">IF(COUNT(U778:X778)=4,(W778-X778)/2,"")</f>
        <v/>
      </c>
      <c r="Z778" s="7" t="str">
        <f aca="false">IF(COUNT(U778:X778)=4,(U778-V778)/2,"")</f>
        <v/>
      </c>
      <c r="AA778" s="7" t="str">
        <f aca="false">IF(COUNT(U778:X778)=4,MAX(1,MIN(10,ROUNDUP(5-Z778,0))),"")</f>
        <v/>
      </c>
      <c r="AB778" s="7" t="str">
        <f aca="false">IF(COUNT(U778:X778)=4,MAX(1,MIN(10,ROUNDUP(Y778+5,0))),"")</f>
        <v/>
      </c>
      <c r="AC778" s="6"/>
      <c r="AD778" s="6"/>
    </row>
    <row r="779" customFormat="false" ht="15" hidden="false" customHeight="true" outlineLevel="0" collapsed="false">
      <c r="A779" s="5" t="n">
        <v>778</v>
      </c>
      <c r="B779" s="5" t="s">
        <v>1986</v>
      </c>
      <c r="C779" s="5" t="s">
        <v>203</v>
      </c>
      <c r="D779" s="5" t="s">
        <v>204</v>
      </c>
      <c r="E779" s="5" t="n">
        <v>144</v>
      </c>
      <c r="F779" s="5" t="s">
        <v>1987</v>
      </c>
      <c r="G779" s="5" t="n">
        <v>4</v>
      </c>
      <c r="H779" s="5" t="s">
        <v>53</v>
      </c>
      <c r="I779" s="5" t="s">
        <v>54</v>
      </c>
      <c r="J779" s="5" t="s">
        <v>117</v>
      </c>
      <c r="K779" s="5" t="s">
        <v>117</v>
      </c>
      <c r="L779" s="5" t="n">
        <v>4</v>
      </c>
      <c r="M779" s="5" t="n">
        <v>1</v>
      </c>
      <c r="N779" s="5" t="n">
        <v>5</v>
      </c>
      <c r="O779" s="5" t="n">
        <v>5</v>
      </c>
      <c r="P779" s="5" t="n">
        <v>0</v>
      </c>
      <c r="Q779" s="5" t="n">
        <v>1.5</v>
      </c>
      <c r="R779" s="5" t="n">
        <v>4</v>
      </c>
      <c r="S779" s="5" t="n">
        <v>5</v>
      </c>
      <c r="T779" s="5" t="s">
        <v>266</v>
      </c>
      <c r="U779" s="6"/>
      <c r="V779" s="6"/>
      <c r="W779" s="6"/>
      <c r="X779" s="6"/>
      <c r="Y779" s="7" t="str">
        <f aca="false">IF(COUNT(U779:X779)=4,(W779-X779)/2,"")</f>
        <v/>
      </c>
      <c r="Z779" s="7" t="str">
        <f aca="false">IF(COUNT(U779:X779)=4,(U779-V779)/2,"")</f>
        <v/>
      </c>
      <c r="AA779" s="7" t="str">
        <f aca="false">IF(COUNT(U779:X779)=4,MAX(1,MIN(10,ROUNDUP(5-Z779,0))),"")</f>
        <v/>
      </c>
      <c r="AB779" s="7" t="str">
        <f aca="false">IF(COUNT(U779:X779)=4,MAX(1,MIN(10,ROUNDUP(Y779+5,0))),"")</f>
        <v/>
      </c>
      <c r="AC779" s="6"/>
      <c r="AD779" s="6"/>
    </row>
    <row r="780" customFormat="false" ht="15" hidden="false" customHeight="true" outlineLevel="0" collapsed="false">
      <c r="A780" s="5" t="n">
        <v>779</v>
      </c>
      <c r="B780" s="5" t="s">
        <v>1988</v>
      </c>
      <c r="C780" s="5" t="s">
        <v>127</v>
      </c>
      <c r="D780" s="5" t="s">
        <v>128</v>
      </c>
      <c r="E780" s="5" t="n">
        <v>144</v>
      </c>
      <c r="F780" s="5" t="s">
        <v>1989</v>
      </c>
      <c r="G780" s="5" t="n">
        <v>4</v>
      </c>
      <c r="H780" s="5" t="s">
        <v>53</v>
      </c>
      <c r="I780" s="5" t="s">
        <v>54</v>
      </c>
      <c r="J780" s="5" t="s">
        <v>117</v>
      </c>
      <c r="K780" s="5" t="s">
        <v>117</v>
      </c>
      <c r="L780" s="5" t="n">
        <v>3</v>
      </c>
      <c r="M780" s="5" t="n">
        <v>1</v>
      </c>
      <c r="N780" s="5" t="n">
        <v>2</v>
      </c>
      <c r="O780" s="5" t="n">
        <v>7</v>
      </c>
      <c r="P780" s="5" t="n">
        <v>-2.5</v>
      </c>
      <c r="Q780" s="5" t="n">
        <v>1</v>
      </c>
      <c r="R780" s="5" t="n">
        <v>4</v>
      </c>
      <c r="S780" s="5" t="n">
        <v>3</v>
      </c>
      <c r="T780" s="5" t="s">
        <v>1990</v>
      </c>
      <c r="U780" s="6"/>
      <c r="V780" s="6"/>
      <c r="W780" s="6"/>
      <c r="X780" s="6"/>
      <c r="Y780" s="7" t="str">
        <f aca="false">IF(COUNT(U780:X780)=4,(W780-X780)/2,"")</f>
        <v/>
      </c>
      <c r="Z780" s="7" t="str">
        <f aca="false">IF(COUNT(U780:X780)=4,(U780-V780)/2,"")</f>
        <v/>
      </c>
      <c r="AA780" s="7" t="str">
        <f aca="false">IF(COUNT(U780:X780)=4,MAX(1,MIN(10,ROUNDUP(5-Z780,0))),"")</f>
        <v/>
      </c>
      <c r="AB780" s="7" t="str">
        <f aca="false">IF(COUNT(U780:X780)=4,MAX(1,MIN(10,ROUNDUP(Y780+5,0))),"")</f>
        <v/>
      </c>
      <c r="AC780" s="6"/>
      <c r="AD780" s="6"/>
    </row>
    <row r="781" customFormat="false" ht="15" hidden="false" customHeight="true" outlineLevel="0" collapsed="false">
      <c r="A781" s="5" t="n">
        <v>780</v>
      </c>
      <c r="B781" s="5" t="s">
        <v>53</v>
      </c>
      <c r="C781" s="5" t="s">
        <v>108</v>
      </c>
      <c r="D781" s="5" t="s">
        <v>109</v>
      </c>
      <c r="E781" s="5" t="n">
        <v>144</v>
      </c>
      <c r="F781" s="5" t="s">
        <v>53</v>
      </c>
      <c r="G781" s="5" t="n">
        <v>2</v>
      </c>
      <c r="H781" s="5" t="s">
        <v>47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 t="s">
        <v>304</v>
      </c>
      <c r="U781" s="6"/>
      <c r="V781" s="6"/>
      <c r="W781" s="6"/>
      <c r="X781" s="6"/>
      <c r="Y781" s="7" t="str">
        <f aca="false">IF(COUNT(U781:X781)=4,(W781-X781)/2,"")</f>
        <v/>
      </c>
      <c r="Z781" s="7" t="str">
        <f aca="false">IF(COUNT(U781:X781)=4,(U781-V781)/2,"")</f>
        <v/>
      </c>
      <c r="AA781" s="7" t="str">
        <f aca="false">IF(COUNT(U781:X781)=4,MAX(1,MIN(10,ROUNDUP(5-Z781,0))),"")</f>
        <v/>
      </c>
      <c r="AB781" s="7" t="str">
        <f aca="false">IF(COUNT(U781:X781)=4,MAX(1,MIN(10,ROUNDUP(Y781+5,0))),"")</f>
        <v/>
      </c>
      <c r="AC781" s="6"/>
      <c r="AD781" s="6"/>
    </row>
    <row r="782" customFormat="false" ht="15" hidden="false" customHeight="true" outlineLevel="0" collapsed="false">
      <c r="A782" s="5" t="n">
        <v>781</v>
      </c>
      <c r="B782" s="5" t="s">
        <v>1991</v>
      </c>
      <c r="C782" s="5" t="s">
        <v>108</v>
      </c>
      <c r="D782" s="5" t="s">
        <v>109</v>
      </c>
      <c r="E782" s="5" t="n">
        <v>143</v>
      </c>
      <c r="F782" s="5" t="s">
        <v>1991</v>
      </c>
      <c r="G782" s="5" t="n">
        <v>4</v>
      </c>
      <c r="H782" s="5" t="s">
        <v>53</v>
      </c>
      <c r="I782" s="5" t="s">
        <v>54</v>
      </c>
      <c r="J782" s="5" t="s">
        <v>117</v>
      </c>
      <c r="K782" s="5" t="s">
        <v>117</v>
      </c>
      <c r="L782" s="5" t="n">
        <v>3</v>
      </c>
      <c r="M782" s="5" t="n">
        <v>1</v>
      </c>
      <c r="N782" s="5" t="n">
        <v>1</v>
      </c>
      <c r="O782" s="5" t="n">
        <v>8</v>
      </c>
      <c r="P782" s="5" t="n">
        <v>-3.5</v>
      </c>
      <c r="Q782" s="5" t="n">
        <v>1</v>
      </c>
      <c r="R782" s="5" t="n">
        <v>4</v>
      </c>
      <c r="S782" s="5" t="n">
        <v>2</v>
      </c>
      <c r="T782" s="5" t="s">
        <v>1685</v>
      </c>
      <c r="U782" s="6"/>
      <c r="V782" s="6"/>
      <c r="W782" s="6"/>
      <c r="X782" s="6"/>
      <c r="Y782" s="7" t="str">
        <f aca="false">IF(COUNT(U782:X782)=4,(W782-X782)/2,"")</f>
        <v/>
      </c>
      <c r="Z782" s="7" t="str">
        <f aca="false">IF(COUNT(U782:X782)=4,(U782-V782)/2,"")</f>
        <v/>
      </c>
      <c r="AA782" s="7" t="str">
        <f aca="false">IF(COUNT(U782:X782)=4,MAX(1,MIN(10,ROUNDUP(5-Z782,0))),"")</f>
        <v/>
      </c>
      <c r="AB782" s="7" t="str">
        <f aca="false">IF(COUNT(U782:X782)=4,MAX(1,MIN(10,ROUNDUP(Y782+5,0))),"")</f>
        <v/>
      </c>
      <c r="AC782" s="6"/>
      <c r="AD782" s="6"/>
    </row>
    <row r="783" customFormat="false" ht="15" hidden="false" customHeight="true" outlineLevel="0" collapsed="false">
      <c r="A783" s="5" t="n">
        <v>782</v>
      </c>
      <c r="B783" s="5" t="s">
        <v>1992</v>
      </c>
      <c r="C783" s="5" t="s">
        <v>171</v>
      </c>
      <c r="D783" s="5" t="s">
        <v>172</v>
      </c>
      <c r="E783" s="5" t="n">
        <v>143</v>
      </c>
      <c r="F783" s="5" t="s">
        <v>1993</v>
      </c>
      <c r="G783" s="5" t="n">
        <v>4</v>
      </c>
      <c r="H783" s="5" t="s">
        <v>53</v>
      </c>
      <c r="I783" s="5" t="s">
        <v>54</v>
      </c>
      <c r="J783" s="5" t="s">
        <v>181</v>
      </c>
      <c r="K783" s="5" t="s">
        <v>574</v>
      </c>
      <c r="L783" s="5" t="n">
        <v>3</v>
      </c>
      <c r="M783" s="5" t="n">
        <v>5</v>
      </c>
      <c r="N783" s="5" t="n">
        <v>4</v>
      </c>
      <c r="O783" s="5" t="n">
        <v>7</v>
      </c>
      <c r="P783" s="5" t="n">
        <v>-1.5</v>
      </c>
      <c r="Q783" s="5" t="n">
        <v>-1</v>
      </c>
      <c r="R783" s="5" t="n">
        <v>6</v>
      </c>
      <c r="S783" s="5" t="n">
        <v>4</v>
      </c>
      <c r="T783" s="5" t="s">
        <v>138</v>
      </c>
      <c r="U783" s="6"/>
      <c r="V783" s="6"/>
      <c r="W783" s="6"/>
      <c r="X783" s="6"/>
      <c r="Y783" s="7" t="str">
        <f aca="false">IF(COUNT(U783:X783)=4,(W783-X783)/2,"")</f>
        <v/>
      </c>
      <c r="Z783" s="7" t="str">
        <f aca="false">IF(COUNT(U783:X783)=4,(U783-V783)/2,"")</f>
        <v/>
      </c>
      <c r="AA783" s="7" t="str">
        <f aca="false">IF(COUNT(U783:X783)=4,MAX(1,MIN(10,ROUNDUP(5-Z783,0))),"")</f>
        <v/>
      </c>
      <c r="AB783" s="7" t="str">
        <f aca="false">IF(COUNT(U783:X783)=4,MAX(1,MIN(10,ROUNDUP(Y783+5,0))),"")</f>
        <v/>
      </c>
      <c r="AC783" s="6"/>
      <c r="AD783" s="6"/>
    </row>
    <row r="784" customFormat="false" ht="15" hidden="false" customHeight="true" outlineLevel="0" collapsed="false">
      <c r="A784" s="5" t="n">
        <v>783</v>
      </c>
      <c r="B784" s="5" t="s">
        <v>1994</v>
      </c>
      <c r="C784" s="5" t="s">
        <v>203</v>
      </c>
      <c r="D784" s="5" t="s">
        <v>204</v>
      </c>
      <c r="E784" s="5" t="n">
        <v>143</v>
      </c>
      <c r="F784" s="5" t="s">
        <v>1994</v>
      </c>
      <c r="G784" s="5" t="n">
        <v>4</v>
      </c>
      <c r="H784" s="5" t="s">
        <v>53</v>
      </c>
      <c r="I784" s="5" t="s">
        <v>54</v>
      </c>
      <c r="J784" s="5" t="s">
        <v>117</v>
      </c>
      <c r="K784" s="5" t="s">
        <v>117</v>
      </c>
      <c r="L784" s="5" t="n">
        <v>4</v>
      </c>
      <c r="M784" s="5" t="n">
        <v>1</v>
      </c>
      <c r="N784" s="5" t="n">
        <v>2</v>
      </c>
      <c r="O784" s="5" t="n">
        <v>8</v>
      </c>
      <c r="P784" s="5" t="n">
        <v>-3</v>
      </c>
      <c r="Q784" s="5" t="n">
        <v>1.5</v>
      </c>
      <c r="R784" s="5" t="n">
        <v>4</v>
      </c>
      <c r="S784" s="5" t="n">
        <v>2</v>
      </c>
      <c r="T784" s="5" t="s">
        <v>1995</v>
      </c>
      <c r="U784" s="6"/>
      <c r="V784" s="6"/>
      <c r="W784" s="6"/>
      <c r="X784" s="6"/>
      <c r="Y784" s="7" t="str">
        <f aca="false">IF(COUNT(U784:X784)=4,(W784-X784)/2,"")</f>
        <v/>
      </c>
      <c r="Z784" s="7" t="str">
        <f aca="false">IF(COUNT(U784:X784)=4,(U784-V784)/2,"")</f>
        <v/>
      </c>
      <c r="AA784" s="7" t="str">
        <f aca="false">IF(COUNT(U784:X784)=4,MAX(1,MIN(10,ROUNDUP(5-Z784,0))),"")</f>
        <v/>
      </c>
      <c r="AB784" s="7" t="str">
        <f aca="false">IF(COUNT(U784:X784)=4,MAX(1,MIN(10,ROUNDUP(Y784+5,0))),"")</f>
        <v/>
      </c>
      <c r="AC784" s="6"/>
      <c r="AD784" s="6"/>
    </row>
    <row r="785" customFormat="false" ht="15" hidden="false" customHeight="true" outlineLevel="0" collapsed="false">
      <c r="A785" s="5" t="n">
        <v>784</v>
      </c>
      <c r="B785" s="5" t="s">
        <v>1996</v>
      </c>
      <c r="C785" s="5" t="s">
        <v>145</v>
      </c>
      <c r="D785" s="5" t="s">
        <v>51</v>
      </c>
      <c r="E785" s="5" t="n">
        <v>143</v>
      </c>
      <c r="F785" s="5" t="s">
        <v>1997</v>
      </c>
      <c r="G785" s="5" t="n">
        <v>4</v>
      </c>
      <c r="H785" s="5" t="s">
        <v>53</v>
      </c>
      <c r="I785" s="5" t="s">
        <v>54</v>
      </c>
      <c r="J785" s="5" t="s">
        <v>55</v>
      </c>
      <c r="K785" s="5" t="s">
        <v>55</v>
      </c>
      <c r="L785" s="5" t="n">
        <v>5</v>
      </c>
      <c r="M785" s="5" t="n">
        <v>2</v>
      </c>
      <c r="N785" s="5" t="n">
        <v>4</v>
      </c>
      <c r="O785" s="5" t="n">
        <v>8</v>
      </c>
      <c r="P785" s="5" t="n">
        <v>-2</v>
      </c>
      <c r="Q785" s="5" t="n">
        <v>1.5</v>
      </c>
      <c r="R785" s="5" t="n">
        <v>4</v>
      </c>
      <c r="S785" s="5" t="n">
        <v>3</v>
      </c>
      <c r="T785" s="5" t="s">
        <v>1998</v>
      </c>
      <c r="U785" s="6"/>
      <c r="V785" s="6"/>
      <c r="W785" s="6"/>
      <c r="X785" s="6"/>
      <c r="Y785" s="7" t="str">
        <f aca="false">IF(COUNT(U785:X785)=4,(W785-X785)/2,"")</f>
        <v/>
      </c>
      <c r="Z785" s="7" t="str">
        <f aca="false">IF(COUNT(U785:X785)=4,(U785-V785)/2,"")</f>
        <v/>
      </c>
      <c r="AA785" s="7" t="str">
        <f aca="false">IF(COUNT(U785:X785)=4,MAX(1,MIN(10,ROUNDUP(5-Z785,0))),"")</f>
        <v/>
      </c>
      <c r="AB785" s="7" t="str">
        <f aca="false">IF(COUNT(U785:X785)=4,MAX(1,MIN(10,ROUNDUP(Y785+5,0))),"")</f>
        <v/>
      </c>
      <c r="AC785" s="6"/>
      <c r="AD785" s="6"/>
    </row>
    <row r="786" customFormat="false" ht="15" hidden="false" customHeight="true" outlineLevel="0" collapsed="false">
      <c r="A786" s="5" t="n">
        <v>785</v>
      </c>
      <c r="B786" s="5" t="s">
        <v>1999</v>
      </c>
      <c r="C786" s="5" t="s">
        <v>171</v>
      </c>
      <c r="D786" s="5" t="s">
        <v>172</v>
      </c>
      <c r="E786" s="5" t="n">
        <v>143</v>
      </c>
      <c r="F786" s="5" t="s">
        <v>2000</v>
      </c>
      <c r="G786" s="5" t="n">
        <v>4</v>
      </c>
      <c r="H786" s="5" t="s">
        <v>53</v>
      </c>
      <c r="I786" s="5" t="s">
        <v>54</v>
      </c>
      <c r="J786" s="5" t="s">
        <v>181</v>
      </c>
      <c r="K786" s="5" t="s">
        <v>235</v>
      </c>
      <c r="L786" s="5" t="n">
        <v>5</v>
      </c>
      <c r="M786" s="5" t="n">
        <v>4</v>
      </c>
      <c r="N786" s="5" t="n">
        <v>7</v>
      </c>
      <c r="O786" s="5" t="n">
        <v>4</v>
      </c>
      <c r="P786" s="5" t="n">
        <v>1.5</v>
      </c>
      <c r="Q786" s="5" t="n">
        <v>0.5</v>
      </c>
      <c r="R786" s="5" t="n">
        <v>5</v>
      </c>
      <c r="S786" s="5" t="n">
        <v>7</v>
      </c>
      <c r="T786" s="5" t="s">
        <v>1852</v>
      </c>
      <c r="U786" s="6"/>
      <c r="V786" s="6"/>
      <c r="W786" s="6"/>
      <c r="X786" s="6"/>
      <c r="Y786" s="7" t="str">
        <f aca="false">IF(COUNT(U786:X786)=4,(W786-X786)/2,"")</f>
        <v/>
      </c>
      <c r="Z786" s="7" t="str">
        <f aca="false">IF(COUNT(U786:X786)=4,(U786-V786)/2,"")</f>
        <v/>
      </c>
      <c r="AA786" s="7" t="str">
        <f aca="false">IF(COUNT(U786:X786)=4,MAX(1,MIN(10,ROUNDUP(5-Z786,0))),"")</f>
        <v/>
      </c>
      <c r="AB786" s="7" t="str">
        <f aca="false">IF(COUNT(U786:X786)=4,MAX(1,MIN(10,ROUNDUP(Y786+5,0))),"")</f>
        <v/>
      </c>
      <c r="AC786" s="6"/>
      <c r="AD786" s="6"/>
    </row>
    <row r="787" customFormat="false" ht="15" hidden="false" customHeight="true" outlineLevel="0" collapsed="false">
      <c r="A787" s="5" t="n">
        <v>786</v>
      </c>
      <c r="B787" s="5" t="s">
        <v>2001</v>
      </c>
      <c r="C787" s="5" t="s">
        <v>171</v>
      </c>
      <c r="D787" s="5" t="s">
        <v>172</v>
      </c>
      <c r="E787" s="5" t="n">
        <v>142</v>
      </c>
      <c r="F787" s="5" t="s">
        <v>2002</v>
      </c>
      <c r="G787" s="5" t="n">
        <v>4</v>
      </c>
      <c r="H787" s="5" t="s">
        <v>53</v>
      </c>
      <c r="I787" s="5" t="s">
        <v>54</v>
      </c>
      <c r="J787" s="5" t="s">
        <v>181</v>
      </c>
      <c r="K787" s="5" t="s">
        <v>413</v>
      </c>
      <c r="L787" s="5" t="n">
        <v>6</v>
      </c>
      <c r="M787" s="5" t="n">
        <v>3</v>
      </c>
      <c r="N787" s="5" t="n">
        <v>3</v>
      </c>
      <c r="O787" s="5" t="n">
        <v>8</v>
      </c>
      <c r="P787" s="5" t="n">
        <v>-2.5</v>
      </c>
      <c r="Q787" s="5" t="n">
        <v>1.5</v>
      </c>
      <c r="R787" s="5" t="n">
        <v>4</v>
      </c>
      <c r="S787" s="5" t="n">
        <v>3</v>
      </c>
      <c r="T787" s="5" t="s">
        <v>2003</v>
      </c>
      <c r="U787" s="6"/>
      <c r="V787" s="6"/>
      <c r="W787" s="6"/>
      <c r="X787" s="6"/>
      <c r="Y787" s="7" t="str">
        <f aca="false">IF(COUNT(U787:X787)=4,(W787-X787)/2,"")</f>
        <v/>
      </c>
      <c r="Z787" s="7" t="str">
        <f aca="false">IF(COUNT(U787:X787)=4,(U787-V787)/2,"")</f>
        <v/>
      </c>
      <c r="AA787" s="7" t="str">
        <f aca="false">IF(COUNT(U787:X787)=4,MAX(1,MIN(10,ROUNDUP(5-Z787,0))),"")</f>
        <v/>
      </c>
      <c r="AB787" s="7" t="str">
        <f aca="false">IF(COUNT(U787:X787)=4,MAX(1,MIN(10,ROUNDUP(Y787+5,0))),"")</f>
        <v/>
      </c>
      <c r="AC787" s="6"/>
      <c r="AD787" s="6"/>
    </row>
    <row r="788" customFormat="false" ht="15" hidden="false" customHeight="true" outlineLevel="0" collapsed="false">
      <c r="A788" s="5" t="n">
        <v>787</v>
      </c>
      <c r="B788" s="5" t="s">
        <v>2004</v>
      </c>
      <c r="C788" s="5" t="s">
        <v>203</v>
      </c>
      <c r="D788" s="5" t="s">
        <v>204</v>
      </c>
      <c r="E788" s="5" t="n">
        <v>142</v>
      </c>
      <c r="F788" s="5" t="s">
        <v>2004</v>
      </c>
      <c r="G788" s="5" t="n">
        <v>4</v>
      </c>
      <c r="H788" s="5" t="s">
        <v>53</v>
      </c>
      <c r="I788" s="5" t="s">
        <v>54</v>
      </c>
      <c r="J788" s="5" t="s">
        <v>117</v>
      </c>
      <c r="K788" s="5" t="s">
        <v>117</v>
      </c>
      <c r="L788" s="5" t="n">
        <v>5</v>
      </c>
      <c r="M788" s="5" t="n">
        <v>2</v>
      </c>
      <c r="N788" s="5" t="n">
        <v>2</v>
      </c>
      <c r="O788" s="5" t="n">
        <v>7</v>
      </c>
      <c r="P788" s="5" t="n">
        <v>-2.5</v>
      </c>
      <c r="Q788" s="5" t="n">
        <v>1.5</v>
      </c>
      <c r="R788" s="5" t="n">
        <v>4</v>
      </c>
      <c r="S788" s="5" t="n">
        <v>3</v>
      </c>
      <c r="T788" s="5" t="s">
        <v>2005</v>
      </c>
      <c r="U788" s="6"/>
      <c r="V788" s="6"/>
      <c r="W788" s="6"/>
      <c r="X788" s="6"/>
      <c r="Y788" s="7" t="str">
        <f aca="false">IF(COUNT(U788:X788)=4,(W788-X788)/2,"")</f>
        <v/>
      </c>
      <c r="Z788" s="7" t="str">
        <f aca="false">IF(COUNT(U788:X788)=4,(U788-V788)/2,"")</f>
        <v/>
      </c>
      <c r="AA788" s="7" t="str">
        <f aca="false">IF(COUNT(U788:X788)=4,MAX(1,MIN(10,ROUNDUP(5-Z788,0))),"")</f>
        <v/>
      </c>
      <c r="AB788" s="7" t="str">
        <f aca="false">IF(COUNT(U788:X788)=4,MAX(1,MIN(10,ROUNDUP(Y788+5,0))),"")</f>
        <v/>
      </c>
      <c r="AC788" s="6"/>
      <c r="AD788" s="6"/>
    </row>
    <row r="789" customFormat="false" ht="15" hidden="false" customHeight="true" outlineLevel="0" collapsed="false">
      <c r="A789" s="5" t="n">
        <v>788</v>
      </c>
      <c r="B789" s="5" t="s">
        <v>2006</v>
      </c>
      <c r="C789" s="5" t="s">
        <v>171</v>
      </c>
      <c r="D789" s="5" t="s">
        <v>172</v>
      </c>
      <c r="E789" s="5" t="n">
        <v>142</v>
      </c>
      <c r="F789" s="5" t="s">
        <v>2007</v>
      </c>
      <c r="G789" s="5" t="n">
        <v>4</v>
      </c>
      <c r="H789" s="5" t="s">
        <v>53</v>
      </c>
      <c r="I789" s="5" t="s">
        <v>54</v>
      </c>
      <c r="J789" s="5" t="s">
        <v>181</v>
      </c>
      <c r="K789" s="5" t="s">
        <v>235</v>
      </c>
      <c r="L789" s="5" t="n">
        <v>4</v>
      </c>
      <c r="M789" s="5" t="n">
        <v>4</v>
      </c>
      <c r="N789" s="5" t="n">
        <v>7</v>
      </c>
      <c r="O789" s="5" t="n">
        <v>4</v>
      </c>
      <c r="P789" s="5" t="n">
        <v>1.5</v>
      </c>
      <c r="Q789" s="5" t="n">
        <v>0</v>
      </c>
      <c r="R789" s="5" t="n">
        <v>5</v>
      </c>
      <c r="S789" s="5" t="n">
        <v>7</v>
      </c>
      <c r="T789" s="5" t="s">
        <v>2008</v>
      </c>
      <c r="U789" s="6"/>
      <c r="V789" s="6"/>
      <c r="W789" s="6"/>
      <c r="X789" s="6"/>
      <c r="Y789" s="7" t="str">
        <f aca="false">IF(COUNT(U789:X789)=4,(W789-X789)/2,"")</f>
        <v/>
      </c>
      <c r="Z789" s="7" t="str">
        <f aca="false">IF(COUNT(U789:X789)=4,(U789-V789)/2,"")</f>
        <v/>
      </c>
      <c r="AA789" s="7" t="str">
        <f aca="false">IF(COUNT(U789:X789)=4,MAX(1,MIN(10,ROUNDUP(5-Z789,0))),"")</f>
        <v/>
      </c>
      <c r="AB789" s="7" t="str">
        <f aca="false">IF(COUNT(U789:X789)=4,MAX(1,MIN(10,ROUNDUP(Y789+5,0))),"")</f>
        <v/>
      </c>
      <c r="AC789" s="6"/>
      <c r="AD789" s="6"/>
    </row>
    <row r="790" customFormat="false" ht="15" hidden="false" customHeight="true" outlineLevel="0" collapsed="false">
      <c r="A790" s="5" t="n">
        <v>789</v>
      </c>
      <c r="B790" s="5" t="s">
        <v>2009</v>
      </c>
      <c r="C790" s="5" t="s">
        <v>145</v>
      </c>
      <c r="D790" s="5" t="s">
        <v>51</v>
      </c>
      <c r="E790" s="5" t="n">
        <v>142</v>
      </c>
      <c r="F790" s="5" t="s">
        <v>2010</v>
      </c>
      <c r="G790" s="5" t="n">
        <v>4</v>
      </c>
      <c r="H790" s="5" t="s">
        <v>53</v>
      </c>
      <c r="I790" s="5" t="s">
        <v>54</v>
      </c>
      <c r="J790" s="5" t="s">
        <v>55</v>
      </c>
      <c r="K790" s="5" t="s">
        <v>55</v>
      </c>
      <c r="L790" s="5" t="n">
        <v>5</v>
      </c>
      <c r="M790" s="5" t="n">
        <v>4</v>
      </c>
      <c r="N790" s="5" t="n">
        <v>5</v>
      </c>
      <c r="O790" s="5" t="n">
        <v>8</v>
      </c>
      <c r="P790" s="5" t="n">
        <v>-1.5</v>
      </c>
      <c r="Q790" s="5" t="n">
        <v>0.5</v>
      </c>
      <c r="R790" s="5" t="n">
        <v>5</v>
      </c>
      <c r="S790" s="5" t="n">
        <v>4</v>
      </c>
      <c r="T790" s="5" t="s">
        <v>318</v>
      </c>
      <c r="U790" s="6"/>
      <c r="V790" s="6"/>
      <c r="W790" s="6"/>
      <c r="X790" s="6"/>
      <c r="Y790" s="7" t="str">
        <f aca="false">IF(COUNT(U790:X790)=4,(W790-X790)/2,"")</f>
        <v/>
      </c>
      <c r="Z790" s="7" t="str">
        <f aca="false">IF(COUNT(U790:X790)=4,(U790-V790)/2,"")</f>
        <v/>
      </c>
      <c r="AA790" s="7" t="str">
        <f aca="false">IF(COUNT(U790:X790)=4,MAX(1,MIN(10,ROUNDUP(5-Z790,0))),"")</f>
        <v/>
      </c>
      <c r="AB790" s="7" t="str">
        <f aca="false">IF(COUNT(U790:X790)=4,MAX(1,MIN(10,ROUNDUP(Y790+5,0))),"")</f>
        <v/>
      </c>
      <c r="AC790" s="6"/>
      <c r="AD790" s="6"/>
    </row>
    <row r="791" customFormat="false" ht="15" hidden="false" customHeight="true" outlineLevel="0" collapsed="false">
      <c r="A791" s="5" t="n">
        <v>790</v>
      </c>
      <c r="B791" s="5" t="s">
        <v>2011</v>
      </c>
      <c r="C791" s="5" t="s">
        <v>171</v>
      </c>
      <c r="D791" s="5" t="s">
        <v>172</v>
      </c>
      <c r="E791" s="5" t="n">
        <v>142</v>
      </c>
      <c r="F791" s="5" t="s">
        <v>2011</v>
      </c>
      <c r="G791" s="5" t="n">
        <v>2</v>
      </c>
      <c r="H791" s="5" t="s">
        <v>47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 t="s">
        <v>607</v>
      </c>
      <c r="U791" s="6"/>
      <c r="V791" s="6"/>
      <c r="W791" s="6"/>
      <c r="X791" s="6"/>
      <c r="Y791" s="7" t="str">
        <f aca="false">IF(COUNT(U791:X791)=4,(W791-X791)/2,"")</f>
        <v/>
      </c>
      <c r="Z791" s="7" t="str">
        <f aca="false">IF(COUNT(U791:X791)=4,(U791-V791)/2,"")</f>
        <v/>
      </c>
      <c r="AA791" s="7" t="str">
        <f aca="false">IF(COUNT(U791:X791)=4,MAX(1,MIN(10,ROUNDUP(5-Z791,0))),"")</f>
        <v/>
      </c>
      <c r="AB791" s="7" t="str">
        <f aca="false">IF(COUNT(U791:X791)=4,MAX(1,MIN(10,ROUNDUP(Y791+5,0))),"")</f>
        <v/>
      </c>
      <c r="AC791" s="6"/>
      <c r="AD791" s="6"/>
    </row>
    <row r="792" customFormat="false" ht="15" hidden="false" customHeight="true" outlineLevel="0" collapsed="false">
      <c r="A792" s="5" t="n">
        <v>791</v>
      </c>
      <c r="B792" s="5" t="s">
        <v>2012</v>
      </c>
      <c r="C792" s="5" t="s">
        <v>108</v>
      </c>
      <c r="D792" s="5" t="s">
        <v>109</v>
      </c>
      <c r="E792" s="5" t="n">
        <v>141</v>
      </c>
      <c r="F792" s="5" t="s">
        <v>2012</v>
      </c>
      <c r="G792" s="5" t="n">
        <v>4</v>
      </c>
      <c r="H792" s="5" t="s">
        <v>53</v>
      </c>
      <c r="I792" s="5" t="s">
        <v>54</v>
      </c>
      <c r="J792" s="5" t="s">
        <v>117</v>
      </c>
      <c r="K792" s="5" t="s">
        <v>117</v>
      </c>
      <c r="L792" s="5" t="n">
        <v>3</v>
      </c>
      <c r="M792" s="5" t="n">
        <v>1</v>
      </c>
      <c r="N792" s="5" t="n">
        <v>1</v>
      </c>
      <c r="O792" s="5" t="n">
        <v>8</v>
      </c>
      <c r="P792" s="5" t="n">
        <v>-3.5</v>
      </c>
      <c r="Q792" s="5" t="n">
        <v>1</v>
      </c>
      <c r="R792" s="5" t="n">
        <v>4</v>
      </c>
      <c r="S792" s="5" t="n">
        <v>2</v>
      </c>
      <c r="T792" s="5" t="s">
        <v>2013</v>
      </c>
      <c r="U792" s="6"/>
      <c r="V792" s="6"/>
      <c r="W792" s="6"/>
      <c r="X792" s="6"/>
      <c r="Y792" s="7" t="str">
        <f aca="false">IF(COUNT(U792:X792)=4,(W792-X792)/2,"")</f>
        <v/>
      </c>
      <c r="Z792" s="7" t="str">
        <f aca="false">IF(COUNT(U792:X792)=4,(U792-V792)/2,"")</f>
        <v/>
      </c>
      <c r="AA792" s="7" t="str">
        <f aca="false">IF(COUNT(U792:X792)=4,MAX(1,MIN(10,ROUNDUP(5-Z792,0))),"")</f>
        <v/>
      </c>
      <c r="AB792" s="7" t="str">
        <f aca="false">IF(COUNT(U792:X792)=4,MAX(1,MIN(10,ROUNDUP(Y792+5,0))),"")</f>
        <v/>
      </c>
      <c r="AC792" s="6"/>
      <c r="AD792" s="6"/>
    </row>
    <row r="793" customFormat="false" ht="15" hidden="false" customHeight="true" outlineLevel="0" collapsed="false">
      <c r="A793" s="5" t="n">
        <v>792</v>
      </c>
      <c r="B793" s="5" t="s">
        <v>2014</v>
      </c>
      <c r="C793" s="5" t="s">
        <v>203</v>
      </c>
      <c r="D793" s="5" t="s">
        <v>204</v>
      </c>
      <c r="E793" s="5" t="n">
        <v>141</v>
      </c>
      <c r="F793" s="5" t="s">
        <v>2015</v>
      </c>
      <c r="G793" s="5" t="n">
        <v>4</v>
      </c>
      <c r="H793" s="5" t="s">
        <v>53</v>
      </c>
      <c r="I793" s="5" t="s">
        <v>54</v>
      </c>
      <c r="J793" s="5" t="s">
        <v>117</v>
      </c>
      <c r="K793" s="5" t="s">
        <v>117</v>
      </c>
      <c r="L793" s="5" t="n">
        <v>4</v>
      </c>
      <c r="M793" s="5" t="n">
        <v>2</v>
      </c>
      <c r="N793" s="5" t="n">
        <v>8</v>
      </c>
      <c r="O793" s="5" t="n">
        <v>2</v>
      </c>
      <c r="P793" s="5" t="n">
        <v>3</v>
      </c>
      <c r="Q793" s="5" t="n">
        <v>1</v>
      </c>
      <c r="R793" s="5" t="n">
        <v>4</v>
      </c>
      <c r="S793" s="5" t="n">
        <v>8</v>
      </c>
      <c r="T793" s="5" t="s">
        <v>2016</v>
      </c>
      <c r="U793" s="6"/>
      <c r="V793" s="6"/>
      <c r="W793" s="6"/>
      <c r="X793" s="6"/>
      <c r="Y793" s="7" t="str">
        <f aca="false">IF(COUNT(U793:X793)=4,(W793-X793)/2,"")</f>
        <v/>
      </c>
      <c r="Z793" s="7" t="str">
        <f aca="false">IF(COUNT(U793:X793)=4,(U793-V793)/2,"")</f>
        <v/>
      </c>
      <c r="AA793" s="7" t="str">
        <f aca="false">IF(COUNT(U793:X793)=4,MAX(1,MIN(10,ROUNDUP(5-Z793,0))),"")</f>
        <v/>
      </c>
      <c r="AB793" s="7" t="str">
        <f aca="false">IF(COUNT(U793:X793)=4,MAX(1,MIN(10,ROUNDUP(Y793+5,0))),"")</f>
        <v/>
      </c>
      <c r="AC793" s="6"/>
      <c r="AD793" s="6"/>
    </row>
    <row r="794" customFormat="false" ht="15" hidden="false" customHeight="true" outlineLevel="0" collapsed="false">
      <c r="A794" s="5" t="n">
        <v>793</v>
      </c>
      <c r="B794" s="5" t="s">
        <v>2017</v>
      </c>
      <c r="C794" s="5" t="s">
        <v>108</v>
      </c>
      <c r="D794" s="5" t="s">
        <v>109</v>
      </c>
      <c r="E794" s="5" t="n">
        <v>141</v>
      </c>
      <c r="F794" s="5" t="s">
        <v>2017</v>
      </c>
      <c r="G794" s="5" t="n">
        <v>4</v>
      </c>
      <c r="H794" s="5" t="s">
        <v>53</v>
      </c>
      <c r="I794" s="5" t="s">
        <v>54</v>
      </c>
      <c r="J794" s="5" t="s">
        <v>117</v>
      </c>
      <c r="K794" s="5" t="s">
        <v>117</v>
      </c>
      <c r="L794" s="5" t="n">
        <v>3</v>
      </c>
      <c r="M794" s="5" t="n">
        <v>1</v>
      </c>
      <c r="N794" s="5" t="n">
        <v>7</v>
      </c>
      <c r="O794" s="5" t="n">
        <v>3</v>
      </c>
      <c r="P794" s="5" t="n">
        <v>2</v>
      </c>
      <c r="Q794" s="5" t="n">
        <v>1</v>
      </c>
      <c r="R794" s="5" t="n">
        <v>4</v>
      </c>
      <c r="S794" s="5" t="n">
        <v>7</v>
      </c>
      <c r="T794" s="5" t="s">
        <v>488</v>
      </c>
      <c r="U794" s="6"/>
      <c r="V794" s="6"/>
      <c r="W794" s="6"/>
      <c r="X794" s="6"/>
      <c r="Y794" s="7" t="str">
        <f aca="false">IF(COUNT(U794:X794)=4,(W794-X794)/2,"")</f>
        <v/>
      </c>
      <c r="Z794" s="7" t="str">
        <f aca="false">IF(COUNT(U794:X794)=4,(U794-V794)/2,"")</f>
        <v/>
      </c>
      <c r="AA794" s="7" t="str">
        <f aca="false">IF(COUNT(U794:X794)=4,MAX(1,MIN(10,ROUNDUP(5-Z794,0))),"")</f>
        <v/>
      </c>
      <c r="AB794" s="7" t="str">
        <f aca="false">IF(COUNT(U794:X794)=4,MAX(1,MIN(10,ROUNDUP(Y794+5,0))),"")</f>
        <v/>
      </c>
      <c r="AC794" s="6"/>
      <c r="AD794" s="6"/>
    </row>
    <row r="795" customFormat="false" ht="15" hidden="false" customHeight="true" outlineLevel="0" collapsed="false">
      <c r="A795" s="5" t="n">
        <v>794</v>
      </c>
      <c r="B795" s="5" t="s">
        <v>2018</v>
      </c>
      <c r="C795" s="5" t="s">
        <v>171</v>
      </c>
      <c r="D795" s="5" t="s">
        <v>172</v>
      </c>
      <c r="E795" s="5" t="n">
        <v>141</v>
      </c>
      <c r="F795" s="5" t="s">
        <v>2019</v>
      </c>
      <c r="G795" s="5" t="n">
        <v>4</v>
      </c>
      <c r="H795" s="5" t="s">
        <v>53</v>
      </c>
      <c r="I795" s="5" t="s">
        <v>54</v>
      </c>
      <c r="J795" s="5" t="s">
        <v>181</v>
      </c>
      <c r="K795" s="5" t="s">
        <v>333</v>
      </c>
      <c r="L795" s="5" t="n">
        <v>2</v>
      </c>
      <c r="M795" s="5" t="n">
        <v>4</v>
      </c>
      <c r="N795" s="5" t="n">
        <v>9</v>
      </c>
      <c r="O795" s="5" t="n">
        <v>2</v>
      </c>
      <c r="P795" s="5" t="n">
        <v>3.5</v>
      </c>
      <c r="Q795" s="5" t="n">
        <v>-1</v>
      </c>
      <c r="R795" s="5" t="n">
        <v>6</v>
      </c>
      <c r="S795" s="5" t="n">
        <v>9</v>
      </c>
      <c r="T795" s="5" t="s">
        <v>2020</v>
      </c>
      <c r="U795" s="6"/>
      <c r="V795" s="6"/>
      <c r="W795" s="6"/>
      <c r="X795" s="6"/>
      <c r="Y795" s="7" t="str">
        <f aca="false">IF(COUNT(U795:X795)=4,(W795-X795)/2,"")</f>
        <v/>
      </c>
      <c r="Z795" s="7" t="str">
        <f aca="false">IF(COUNT(U795:X795)=4,(U795-V795)/2,"")</f>
        <v/>
      </c>
      <c r="AA795" s="7" t="str">
        <f aca="false">IF(COUNT(U795:X795)=4,MAX(1,MIN(10,ROUNDUP(5-Z795,0))),"")</f>
        <v/>
      </c>
      <c r="AB795" s="7" t="str">
        <f aca="false">IF(COUNT(U795:X795)=4,MAX(1,MIN(10,ROUNDUP(Y795+5,0))),"")</f>
        <v/>
      </c>
      <c r="AC795" s="6"/>
      <c r="AD795" s="6"/>
    </row>
    <row r="796" customFormat="false" ht="15" hidden="false" customHeight="true" outlineLevel="0" collapsed="false">
      <c r="A796" s="5" t="n">
        <v>795</v>
      </c>
      <c r="B796" s="5" t="s">
        <v>2021</v>
      </c>
      <c r="C796" s="5" t="s">
        <v>171</v>
      </c>
      <c r="D796" s="5" t="s">
        <v>172</v>
      </c>
      <c r="E796" s="5" t="n">
        <v>141</v>
      </c>
      <c r="F796" s="5" t="s">
        <v>2022</v>
      </c>
      <c r="G796" s="5" t="n">
        <v>4</v>
      </c>
      <c r="H796" s="5" t="s">
        <v>53</v>
      </c>
      <c r="I796" s="5" t="s">
        <v>54</v>
      </c>
      <c r="J796" s="5" t="s">
        <v>181</v>
      </c>
      <c r="K796" s="5" t="s">
        <v>235</v>
      </c>
      <c r="L796" s="5" t="n">
        <v>4</v>
      </c>
      <c r="M796" s="5" t="n">
        <v>4</v>
      </c>
      <c r="N796" s="5" t="n">
        <v>7</v>
      </c>
      <c r="O796" s="5" t="n">
        <v>4</v>
      </c>
      <c r="P796" s="5" t="n">
        <v>1.5</v>
      </c>
      <c r="Q796" s="5" t="n">
        <v>0</v>
      </c>
      <c r="R796" s="5" t="n">
        <v>5</v>
      </c>
      <c r="S796" s="5" t="n">
        <v>7</v>
      </c>
      <c r="T796" s="5" t="s">
        <v>2023</v>
      </c>
      <c r="U796" s="6"/>
      <c r="V796" s="6"/>
      <c r="W796" s="6"/>
      <c r="X796" s="6"/>
      <c r="Y796" s="7" t="str">
        <f aca="false">IF(COUNT(U796:X796)=4,(W796-X796)/2,"")</f>
        <v/>
      </c>
      <c r="Z796" s="7" t="str">
        <f aca="false">IF(COUNT(U796:X796)=4,(U796-V796)/2,"")</f>
        <v/>
      </c>
      <c r="AA796" s="7" t="str">
        <f aca="false">IF(COUNT(U796:X796)=4,MAX(1,MIN(10,ROUNDUP(5-Z796,0))),"")</f>
        <v/>
      </c>
      <c r="AB796" s="7" t="str">
        <f aca="false">IF(COUNT(U796:X796)=4,MAX(1,MIN(10,ROUNDUP(Y796+5,0))),"")</f>
        <v/>
      </c>
      <c r="AC796" s="6"/>
      <c r="AD796" s="6"/>
    </row>
    <row r="797" customFormat="false" ht="15" hidden="false" customHeight="true" outlineLevel="0" collapsed="false">
      <c r="A797" s="5" t="n">
        <v>796</v>
      </c>
      <c r="B797" s="5" t="s">
        <v>2024</v>
      </c>
      <c r="C797" s="5" t="s">
        <v>171</v>
      </c>
      <c r="D797" s="5" t="s">
        <v>172</v>
      </c>
      <c r="E797" s="5" t="n">
        <v>141</v>
      </c>
      <c r="F797" s="5" t="s">
        <v>2025</v>
      </c>
      <c r="G797" s="5" t="n">
        <v>4</v>
      </c>
      <c r="H797" s="5" t="s">
        <v>53</v>
      </c>
      <c r="I797" s="5" t="s">
        <v>54</v>
      </c>
      <c r="J797" s="5" t="s">
        <v>181</v>
      </c>
      <c r="K797" s="5" t="s">
        <v>309</v>
      </c>
      <c r="L797" s="5" t="n">
        <v>2</v>
      </c>
      <c r="M797" s="5" t="n">
        <v>5</v>
      </c>
      <c r="N797" s="5" t="n">
        <v>5</v>
      </c>
      <c r="O797" s="5" t="n">
        <v>4</v>
      </c>
      <c r="P797" s="5" t="n">
        <v>0.5</v>
      </c>
      <c r="Q797" s="5" t="n">
        <v>-1.5</v>
      </c>
      <c r="R797" s="5" t="n">
        <v>7</v>
      </c>
      <c r="S797" s="5" t="n">
        <v>6</v>
      </c>
      <c r="T797" s="5" t="s">
        <v>1478</v>
      </c>
      <c r="U797" s="6"/>
      <c r="V797" s="6"/>
      <c r="W797" s="6"/>
      <c r="X797" s="6"/>
      <c r="Y797" s="7" t="str">
        <f aca="false">IF(COUNT(U797:X797)=4,(W797-X797)/2,"")</f>
        <v/>
      </c>
      <c r="Z797" s="7" t="str">
        <f aca="false">IF(COUNT(U797:X797)=4,(U797-V797)/2,"")</f>
        <v/>
      </c>
      <c r="AA797" s="7" t="str">
        <f aca="false">IF(COUNT(U797:X797)=4,MAX(1,MIN(10,ROUNDUP(5-Z797,0))),"")</f>
        <v/>
      </c>
      <c r="AB797" s="7" t="str">
        <f aca="false">IF(COUNT(U797:X797)=4,MAX(1,MIN(10,ROUNDUP(Y797+5,0))),"")</f>
        <v/>
      </c>
      <c r="AC797" s="6"/>
      <c r="AD797" s="6"/>
    </row>
    <row r="798" customFormat="false" ht="15" hidden="false" customHeight="true" outlineLevel="0" collapsed="false">
      <c r="A798" s="5" t="n">
        <v>797</v>
      </c>
      <c r="B798" s="5" t="s">
        <v>2026</v>
      </c>
      <c r="C798" s="5" t="s">
        <v>171</v>
      </c>
      <c r="D798" s="5" t="s">
        <v>172</v>
      </c>
      <c r="E798" s="5" t="n">
        <v>141</v>
      </c>
      <c r="F798" s="5" t="s">
        <v>2027</v>
      </c>
      <c r="G798" s="5" t="n">
        <v>4</v>
      </c>
      <c r="H798" s="5" t="s">
        <v>53</v>
      </c>
      <c r="I798" s="5" t="s">
        <v>54</v>
      </c>
      <c r="J798" s="5" t="s">
        <v>181</v>
      </c>
      <c r="K798" s="5" t="s">
        <v>279</v>
      </c>
      <c r="L798" s="5" t="n">
        <v>5</v>
      </c>
      <c r="M798" s="5" t="n">
        <v>4</v>
      </c>
      <c r="N798" s="5" t="n">
        <v>5</v>
      </c>
      <c r="O798" s="5" t="n">
        <v>7</v>
      </c>
      <c r="P798" s="5" t="n">
        <v>-1</v>
      </c>
      <c r="Q798" s="5" t="n">
        <v>0.5</v>
      </c>
      <c r="R798" s="5" t="n">
        <v>5</v>
      </c>
      <c r="S798" s="5" t="n">
        <v>4</v>
      </c>
      <c r="T798" s="5" t="s">
        <v>1939</v>
      </c>
      <c r="U798" s="6"/>
      <c r="V798" s="6"/>
      <c r="W798" s="6"/>
      <c r="X798" s="6"/>
      <c r="Y798" s="7" t="str">
        <f aca="false">IF(COUNT(U798:X798)=4,(W798-X798)/2,"")</f>
        <v/>
      </c>
      <c r="Z798" s="7" t="str">
        <f aca="false">IF(COUNT(U798:X798)=4,(U798-V798)/2,"")</f>
        <v/>
      </c>
      <c r="AA798" s="7" t="str">
        <f aca="false">IF(COUNT(U798:X798)=4,MAX(1,MIN(10,ROUNDUP(5-Z798,0))),"")</f>
        <v/>
      </c>
      <c r="AB798" s="7" t="str">
        <f aca="false">IF(COUNT(U798:X798)=4,MAX(1,MIN(10,ROUNDUP(Y798+5,0))),"")</f>
        <v/>
      </c>
      <c r="AC798" s="6"/>
      <c r="AD798" s="6"/>
    </row>
    <row r="799" customFormat="false" ht="15" hidden="false" customHeight="true" outlineLevel="0" collapsed="false">
      <c r="A799" s="5" t="n">
        <v>798</v>
      </c>
      <c r="B799" s="5" t="s">
        <v>2028</v>
      </c>
      <c r="C799" s="5" t="s">
        <v>58</v>
      </c>
      <c r="D799" s="5" t="s">
        <v>59</v>
      </c>
      <c r="E799" s="5" t="n">
        <v>141</v>
      </c>
      <c r="F799" s="5" t="s">
        <v>2028</v>
      </c>
      <c r="G799" s="5" t="n">
        <v>1</v>
      </c>
      <c r="H799" s="5" t="s">
        <v>47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 t="s">
        <v>2029</v>
      </c>
      <c r="U799" s="6"/>
      <c r="V799" s="6"/>
      <c r="W799" s="6"/>
      <c r="X799" s="6"/>
      <c r="Y799" s="7" t="str">
        <f aca="false">IF(COUNT(U799:X799)=4,(W799-X799)/2,"")</f>
        <v/>
      </c>
      <c r="Z799" s="7" t="str">
        <f aca="false">IF(COUNT(U799:X799)=4,(U799-V799)/2,"")</f>
        <v/>
      </c>
      <c r="AA799" s="7" t="str">
        <f aca="false">IF(COUNT(U799:X799)=4,MAX(1,MIN(10,ROUNDUP(5-Z799,0))),"")</f>
        <v/>
      </c>
      <c r="AB799" s="7" t="str">
        <f aca="false">IF(COUNT(U799:X799)=4,MAX(1,MIN(10,ROUNDUP(Y799+5,0))),"")</f>
        <v/>
      </c>
      <c r="AC799" s="6"/>
      <c r="AD799" s="6"/>
    </row>
    <row r="800" customFormat="false" ht="15" hidden="false" customHeight="true" outlineLevel="0" collapsed="false">
      <c r="A800" s="5" t="n">
        <v>799</v>
      </c>
      <c r="B800" s="5" t="s">
        <v>2030</v>
      </c>
      <c r="C800" s="5" t="s">
        <v>171</v>
      </c>
      <c r="D800" s="5" t="s">
        <v>172</v>
      </c>
      <c r="E800" s="5" t="n">
        <v>140</v>
      </c>
      <c r="F800" s="5" t="s">
        <v>2030</v>
      </c>
      <c r="G800" s="5" t="n">
        <v>2</v>
      </c>
      <c r="H800" s="5" t="s">
        <v>47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 t="s">
        <v>2031</v>
      </c>
      <c r="U800" s="6"/>
      <c r="V800" s="6"/>
      <c r="W800" s="6"/>
      <c r="X800" s="6"/>
      <c r="Y800" s="7" t="str">
        <f aca="false">IF(COUNT(U800:X800)=4,(W800-X800)/2,"")</f>
        <v/>
      </c>
      <c r="Z800" s="7" t="str">
        <f aca="false">IF(COUNT(U800:X800)=4,(U800-V800)/2,"")</f>
        <v/>
      </c>
      <c r="AA800" s="7" t="str">
        <f aca="false">IF(COUNT(U800:X800)=4,MAX(1,MIN(10,ROUNDUP(5-Z800,0))),"")</f>
        <v/>
      </c>
      <c r="AB800" s="7" t="str">
        <f aca="false">IF(COUNT(U800:X800)=4,MAX(1,MIN(10,ROUNDUP(Y800+5,0))),"")</f>
        <v/>
      </c>
      <c r="AC800" s="6"/>
      <c r="AD800" s="6"/>
    </row>
    <row r="801" customFormat="false" ht="15" hidden="false" customHeight="true" outlineLevel="0" collapsed="false">
      <c r="A801" s="5" t="n">
        <v>800</v>
      </c>
      <c r="B801" s="5" t="s">
        <v>2032</v>
      </c>
      <c r="C801" s="5" t="s">
        <v>171</v>
      </c>
      <c r="D801" s="5" t="s">
        <v>172</v>
      </c>
      <c r="E801" s="5" t="n">
        <v>140</v>
      </c>
      <c r="F801" s="5" t="s">
        <v>2033</v>
      </c>
      <c r="G801" s="5" t="n">
        <v>4</v>
      </c>
      <c r="H801" s="5" t="s">
        <v>53</v>
      </c>
      <c r="I801" s="5" t="s">
        <v>54</v>
      </c>
      <c r="J801" s="5" t="s">
        <v>181</v>
      </c>
      <c r="K801" s="5" t="s">
        <v>333</v>
      </c>
      <c r="L801" s="5" t="n">
        <v>2</v>
      </c>
      <c r="M801" s="5" t="n">
        <v>4</v>
      </c>
      <c r="N801" s="5" t="n">
        <v>9</v>
      </c>
      <c r="O801" s="5" t="n">
        <v>2</v>
      </c>
      <c r="P801" s="5" t="n">
        <v>3.5</v>
      </c>
      <c r="Q801" s="5" t="n">
        <v>-1</v>
      </c>
      <c r="R801" s="5" t="n">
        <v>6</v>
      </c>
      <c r="S801" s="5" t="n">
        <v>9</v>
      </c>
      <c r="T801" s="5" t="s">
        <v>2034</v>
      </c>
      <c r="U801" s="6"/>
      <c r="V801" s="6"/>
      <c r="W801" s="6"/>
      <c r="X801" s="6"/>
      <c r="Y801" s="7" t="str">
        <f aca="false">IF(COUNT(U801:X801)=4,(W801-X801)/2,"")</f>
        <v/>
      </c>
      <c r="Z801" s="7" t="str">
        <f aca="false">IF(COUNT(U801:X801)=4,(U801-V801)/2,"")</f>
        <v/>
      </c>
      <c r="AA801" s="7" t="str">
        <f aca="false">IF(COUNT(U801:X801)=4,MAX(1,MIN(10,ROUNDUP(5-Z801,0))),"")</f>
        <v/>
      </c>
      <c r="AB801" s="7" t="str">
        <f aca="false">IF(COUNT(U801:X801)=4,MAX(1,MIN(10,ROUNDUP(Y801+5,0))),"")</f>
        <v/>
      </c>
      <c r="AC801" s="6"/>
      <c r="AD801" s="6"/>
    </row>
    <row r="802" customFormat="false" ht="15" hidden="false" customHeight="true" outlineLevel="0" collapsed="false">
      <c r="A802" s="5" t="n">
        <v>801</v>
      </c>
      <c r="B802" s="5" t="s">
        <v>2035</v>
      </c>
      <c r="C802" s="5" t="s">
        <v>171</v>
      </c>
      <c r="D802" s="5" t="s">
        <v>172</v>
      </c>
      <c r="E802" s="5" t="n">
        <v>140</v>
      </c>
      <c r="F802" s="5" t="s">
        <v>2036</v>
      </c>
      <c r="G802" s="5" t="n">
        <v>4</v>
      </c>
      <c r="H802" s="5" t="s">
        <v>53</v>
      </c>
      <c r="I802" s="5" t="s">
        <v>54</v>
      </c>
      <c r="J802" s="5" t="s">
        <v>181</v>
      </c>
      <c r="K802" s="5" t="s">
        <v>333</v>
      </c>
      <c r="L802" s="5" t="n">
        <v>2</v>
      </c>
      <c r="M802" s="5" t="n">
        <v>4</v>
      </c>
      <c r="N802" s="5" t="n">
        <v>9</v>
      </c>
      <c r="O802" s="5" t="n">
        <v>2</v>
      </c>
      <c r="P802" s="5" t="n">
        <v>3.5</v>
      </c>
      <c r="Q802" s="5" t="n">
        <v>-1</v>
      </c>
      <c r="R802" s="5" t="n">
        <v>6</v>
      </c>
      <c r="S802" s="5" t="n">
        <v>9</v>
      </c>
      <c r="T802" s="5" t="s">
        <v>2037</v>
      </c>
      <c r="U802" s="6"/>
      <c r="V802" s="6"/>
      <c r="W802" s="6"/>
      <c r="X802" s="6"/>
      <c r="Y802" s="7" t="str">
        <f aca="false">IF(COUNT(U802:X802)=4,(W802-X802)/2,"")</f>
        <v/>
      </c>
      <c r="Z802" s="7" t="str">
        <f aca="false">IF(COUNT(U802:X802)=4,(U802-V802)/2,"")</f>
        <v/>
      </c>
      <c r="AA802" s="7" t="str">
        <f aca="false">IF(COUNT(U802:X802)=4,MAX(1,MIN(10,ROUNDUP(5-Z802,0))),"")</f>
        <v/>
      </c>
      <c r="AB802" s="7" t="str">
        <f aca="false">IF(COUNT(U802:X802)=4,MAX(1,MIN(10,ROUNDUP(Y802+5,0))),"")</f>
        <v/>
      </c>
      <c r="AC802" s="6"/>
      <c r="AD802" s="6"/>
    </row>
    <row r="803" customFormat="false" ht="15" hidden="false" customHeight="true" outlineLevel="0" collapsed="false">
      <c r="A803" s="5" t="n">
        <v>802</v>
      </c>
      <c r="B803" s="5" t="s">
        <v>2038</v>
      </c>
      <c r="C803" s="5" t="s">
        <v>145</v>
      </c>
      <c r="D803" s="5" t="s">
        <v>51</v>
      </c>
      <c r="E803" s="5" t="n">
        <v>140</v>
      </c>
      <c r="F803" s="5" t="s">
        <v>2039</v>
      </c>
      <c r="G803" s="5" t="n">
        <v>4</v>
      </c>
      <c r="H803" s="5" t="s">
        <v>53</v>
      </c>
      <c r="I803" s="5" t="s">
        <v>54</v>
      </c>
      <c r="J803" s="5" t="s">
        <v>55</v>
      </c>
      <c r="K803" s="5" t="s">
        <v>55</v>
      </c>
      <c r="L803" s="5" t="n">
        <v>6</v>
      </c>
      <c r="M803" s="5" t="n">
        <v>2</v>
      </c>
      <c r="N803" s="5" t="n">
        <v>3</v>
      </c>
      <c r="O803" s="5" t="n">
        <v>8</v>
      </c>
      <c r="P803" s="5" t="n">
        <v>-2.5</v>
      </c>
      <c r="Q803" s="5" t="n">
        <v>2</v>
      </c>
      <c r="R803" s="5" t="n">
        <v>3</v>
      </c>
      <c r="S803" s="5" t="n">
        <v>3</v>
      </c>
      <c r="T803" s="5" t="s">
        <v>2040</v>
      </c>
      <c r="U803" s="6"/>
      <c r="V803" s="6"/>
      <c r="W803" s="6"/>
      <c r="X803" s="6"/>
      <c r="Y803" s="7" t="str">
        <f aca="false">IF(COUNT(U803:X803)=4,(W803-X803)/2,"")</f>
        <v/>
      </c>
      <c r="Z803" s="7" t="str">
        <f aca="false">IF(COUNT(U803:X803)=4,(U803-V803)/2,"")</f>
        <v/>
      </c>
      <c r="AA803" s="7" t="str">
        <f aca="false">IF(COUNT(U803:X803)=4,MAX(1,MIN(10,ROUNDUP(5-Z803,0))),"")</f>
        <v/>
      </c>
      <c r="AB803" s="7" t="str">
        <f aca="false">IF(COUNT(U803:X803)=4,MAX(1,MIN(10,ROUNDUP(Y803+5,0))),"")</f>
        <v/>
      </c>
      <c r="AC803" s="6"/>
      <c r="AD803" s="6"/>
    </row>
    <row r="804" customFormat="false" ht="15" hidden="false" customHeight="true" outlineLevel="0" collapsed="false">
      <c r="A804" s="5" t="n">
        <v>803</v>
      </c>
      <c r="B804" s="5" t="s">
        <v>2041</v>
      </c>
      <c r="C804" s="5" t="s">
        <v>171</v>
      </c>
      <c r="D804" s="5" t="s">
        <v>172</v>
      </c>
      <c r="E804" s="5" t="n">
        <v>140</v>
      </c>
      <c r="F804" s="5" t="s">
        <v>2042</v>
      </c>
      <c r="G804" s="5" t="n">
        <v>4</v>
      </c>
      <c r="H804" s="5" t="s">
        <v>53</v>
      </c>
      <c r="I804" s="5" t="s">
        <v>54</v>
      </c>
      <c r="J804" s="5" t="s">
        <v>181</v>
      </c>
      <c r="K804" s="5" t="s">
        <v>413</v>
      </c>
      <c r="L804" s="5" t="n">
        <v>5</v>
      </c>
      <c r="M804" s="5" t="n">
        <v>5</v>
      </c>
      <c r="N804" s="5" t="n">
        <v>3</v>
      </c>
      <c r="O804" s="5" t="n">
        <v>8</v>
      </c>
      <c r="P804" s="5" t="n">
        <v>-2.5</v>
      </c>
      <c r="Q804" s="5" t="n">
        <v>0</v>
      </c>
      <c r="R804" s="5" t="n">
        <v>5</v>
      </c>
      <c r="S804" s="5" t="n">
        <v>3</v>
      </c>
      <c r="T804" s="5" t="s">
        <v>2043</v>
      </c>
      <c r="U804" s="6"/>
      <c r="V804" s="6"/>
      <c r="W804" s="6"/>
      <c r="X804" s="6"/>
      <c r="Y804" s="7" t="str">
        <f aca="false">IF(COUNT(U804:X804)=4,(W804-X804)/2,"")</f>
        <v/>
      </c>
      <c r="Z804" s="7" t="str">
        <f aca="false">IF(COUNT(U804:X804)=4,(U804-V804)/2,"")</f>
        <v/>
      </c>
      <c r="AA804" s="7" t="str">
        <f aca="false">IF(COUNT(U804:X804)=4,MAX(1,MIN(10,ROUNDUP(5-Z804,0))),"")</f>
        <v/>
      </c>
      <c r="AB804" s="7" t="str">
        <f aca="false">IF(COUNT(U804:X804)=4,MAX(1,MIN(10,ROUNDUP(Y804+5,0))),"")</f>
        <v/>
      </c>
      <c r="AC804" s="6"/>
      <c r="AD804" s="6"/>
    </row>
    <row r="805" customFormat="false" ht="15" hidden="false" customHeight="true" outlineLevel="0" collapsed="false">
      <c r="A805" s="5" t="n">
        <v>804</v>
      </c>
      <c r="B805" s="5" t="s">
        <v>2044</v>
      </c>
      <c r="C805" s="5" t="s">
        <v>171</v>
      </c>
      <c r="D805" s="5" t="s">
        <v>172</v>
      </c>
      <c r="E805" s="5" t="n">
        <v>140</v>
      </c>
      <c r="F805" s="5" t="s">
        <v>2045</v>
      </c>
      <c r="G805" s="5" t="n">
        <v>4</v>
      </c>
      <c r="H805" s="5" t="s">
        <v>53</v>
      </c>
      <c r="I805" s="5" t="s">
        <v>54</v>
      </c>
      <c r="J805" s="5" t="s">
        <v>181</v>
      </c>
      <c r="K805" s="5" t="s">
        <v>235</v>
      </c>
      <c r="L805" s="5" t="n">
        <v>4</v>
      </c>
      <c r="M805" s="5" t="n">
        <v>4</v>
      </c>
      <c r="N805" s="5" t="n">
        <v>7</v>
      </c>
      <c r="O805" s="5" t="n">
        <v>4</v>
      </c>
      <c r="P805" s="5" t="n">
        <v>1.5</v>
      </c>
      <c r="Q805" s="5" t="n">
        <v>0</v>
      </c>
      <c r="R805" s="5" t="n">
        <v>5</v>
      </c>
      <c r="S805" s="5" t="n">
        <v>7</v>
      </c>
      <c r="T805" s="5" t="s">
        <v>2046</v>
      </c>
      <c r="U805" s="6"/>
      <c r="V805" s="6"/>
      <c r="W805" s="6"/>
      <c r="X805" s="6"/>
      <c r="Y805" s="7" t="str">
        <f aca="false">IF(COUNT(U805:X805)=4,(W805-X805)/2,"")</f>
        <v/>
      </c>
      <c r="Z805" s="7" t="str">
        <f aca="false">IF(COUNT(U805:X805)=4,(U805-V805)/2,"")</f>
        <v/>
      </c>
      <c r="AA805" s="7" t="str">
        <f aca="false">IF(COUNT(U805:X805)=4,MAX(1,MIN(10,ROUNDUP(5-Z805,0))),"")</f>
        <v/>
      </c>
      <c r="AB805" s="7" t="str">
        <f aca="false">IF(COUNT(U805:X805)=4,MAX(1,MIN(10,ROUNDUP(Y805+5,0))),"")</f>
        <v/>
      </c>
      <c r="AC805" s="6"/>
      <c r="AD805" s="6"/>
    </row>
    <row r="806" customFormat="false" ht="15" hidden="false" customHeight="true" outlineLevel="0" collapsed="false">
      <c r="A806" s="5" t="n">
        <v>805</v>
      </c>
      <c r="B806" s="5" t="s">
        <v>2047</v>
      </c>
      <c r="C806" s="5" t="s">
        <v>203</v>
      </c>
      <c r="D806" s="5" t="s">
        <v>204</v>
      </c>
      <c r="E806" s="5" t="n">
        <v>139</v>
      </c>
      <c r="F806" s="5" t="s">
        <v>2047</v>
      </c>
      <c r="G806" s="5" t="n">
        <v>4</v>
      </c>
      <c r="H806" s="5" t="s">
        <v>53</v>
      </c>
      <c r="I806" s="5" t="s">
        <v>54</v>
      </c>
      <c r="J806" s="5" t="s">
        <v>117</v>
      </c>
      <c r="K806" s="5" t="s">
        <v>117</v>
      </c>
      <c r="L806" s="5" t="n">
        <v>3</v>
      </c>
      <c r="M806" s="5" t="n">
        <v>1</v>
      </c>
      <c r="N806" s="5" t="n">
        <v>2</v>
      </c>
      <c r="O806" s="5" t="n">
        <v>8</v>
      </c>
      <c r="P806" s="5" t="n">
        <v>-3</v>
      </c>
      <c r="Q806" s="5" t="n">
        <v>1</v>
      </c>
      <c r="R806" s="5" t="n">
        <v>4</v>
      </c>
      <c r="S806" s="5" t="n">
        <v>2</v>
      </c>
      <c r="T806" s="5" t="s">
        <v>2048</v>
      </c>
      <c r="U806" s="6"/>
      <c r="V806" s="6"/>
      <c r="W806" s="6"/>
      <c r="X806" s="6"/>
      <c r="Y806" s="7" t="str">
        <f aca="false">IF(COUNT(U806:X806)=4,(W806-X806)/2,"")</f>
        <v/>
      </c>
      <c r="Z806" s="7" t="str">
        <f aca="false">IF(COUNT(U806:X806)=4,(U806-V806)/2,"")</f>
        <v/>
      </c>
      <c r="AA806" s="7" t="str">
        <f aca="false">IF(COUNT(U806:X806)=4,MAX(1,MIN(10,ROUNDUP(5-Z806,0))),"")</f>
        <v/>
      </c>
      <c r="AB806" s="7" t="str">
        <f aca="false">IF(COUNT(U806:X806)=4,MAX(1,MIN(10,ROUNDUP(Y806+5,0))),"")</f>
        <v/>
      </c>
      <c r="AC806" s="6"/>
      <c r="AD806" s="6"/>
    </row>
    <row r="807" customFormat="false" ht="15" hidden="false" customHeight="true" outlineLevel="0" collapsed="false">
      <c r="A807" s="5" t="n">
        <v>806</v>
      </c>
      <c r="B807" s="5" t="s">
        <v>2049</v>
      </c>
      <c r="C807" s="5" t="s">
        <v>171</v>
      </c>
      <c r="D807" s="5" t="s">
        <v>172</v>
      </c>
      <c r="E807" s="5" t="n">
        <v>139</v>
      </c>
      <c r="F807" s="5" t="s">
        <v>2050</v>
      </c>
      <c r="G807" s="5" t="n">
        <v>4</v>
      </c>
      <c r="H807" s="5" t="s">
        <v>53</v>
      </c>
      <c r="I807" s="5" t="s">
        <v>54</v>
      </c>
      <c r="J807" s="5" t="s">
        <v>181</v>
      </c>
      <c r="K807" s="5" t="s">
        <v>309</v>
      </c>
      <c r="L807" s="5" t="n">
        <v>2</v>
      </c>
      <c r="M807" s="5" t="n">
        <v>5</v>
      </c>
      <c r="N807" s="5" t="n">
        <v>5</v>
      </c>
      <c r="O807" s="5" t="n">
        <v>4</v>
      </c>
      <c r="P807" s="5" t="n">
        <v>0.5</v>
      </c>
      <c r="Q807" s="5" t="n">
        <v>-1.5</v>
      </c>
      <c r="R807" s="5" t="n">
        <v>7</v>
      </c>
      <c r="S807" s="5" t="n">
        <v>6</v>
      </c>
      <c r="T807" s="5" t="s">
        <v>2051</v>
      </c>
      <c r="U807" s="6"/>
      <c r="V807" s="6"/>
      <c r="W807" s="6"/>
      <c r="X807" s="6"/>
      <c r="Y807" s="7" t="str">
        <f aca="false">IF(COUNT(U807:X807)=4,(W807-X807)/2,"")</f>
        <v/>
      </c>
      <c r="Z807" s="7" t="str">
        <f aca="false">IF(COUNT(U807:X807)=4,(U807-V807)/2,"")</f>
        <v/>
      </c>
      <c r="AA807" s="7" t="str">
        <f aca="false">IF(COUNT(U807:X807)=4,MAX(1,MIN(10,ROUNDUP(5-Z807,0))),"")</f>
        <v/>
      </c>
      <c r="AB807" s="7" t="str">
        <f aca="false">IF(COUNT(U807:X807)=4,MAX(1,MIN(10,ROUNDUP(Y807+5,0))),"")</f>
        <v/>
      </c>
      <c r="AC807" s="6"/>
      <c r="AD807" s="6"/>
    </row>
    <row r="808" customFormat="false" ht="15" hidden="false" customHeight="true" outlineLevel="0" collapsed="false">
      <c r="A808" s="5" t="n">
        <v>807</v>
      </c>
      <c r="B808" s="5" t="s">
        <v>2052</v>
      </c>
      <c r="C808" s="5" t="s">
        <v>171</v>
      </c>
      <c r="D808" s="5" t="s">
        <v>172</v>
      </c>
      <c r="E808" s="5" t="n">
        <v>139</v>
      </c>
      <c r="F808" s="5" t="s">
        <v>2053</v>
      </c>
      <c r="G808" s="5" t="n">
        <v>4</v>
      </c>
      <c r="H808" s="5" t="s">
        <v>53</v>
      </c>
      <c r="I808" s="5" t="s">
        <v>54</v>
      </c>
      <c r="J808" s="5" t="s">
        <v>181</v>
      </c>
      <c r="K808" s="5" t="s">
        <v>279</v>
      </c>
      <c r="L808" s="5" t="n">
        <v>4</v>
      </c>
      <c r="M808" s="5" t="n">
        <v>4</v>
      </c>
      <c r="N808" s="5" t="n">
        <v>5</v>
      </c>
      <c r="O808" s="5" t="n">
        <v>7</v>
      </c>
      <c r="P808" s="5" t="n">
        <v>-1</v>
      </c>
      <c r="Q808" s="5" t="n">
        <v>0</v>
      </c>
      <c r="R808" s="5" t="n">
        <v>5</v>
      </c>
      <c r="S808" s="5" t="n">
        <v>4</v>
      </c>
      <c r="T808" s="5" t="s">
        <v>1337</v>
      </c>
      <c r="U808" s="6"/>
      <c r="V808" s="6"/>
      <c r="W808" s="6"/>
      <c r="X808" s="6"/>
      <c r="Y808" s="7" t="str">
        <f aca="false">IF(COUNT(U808:X808)=4,(W808-X808)/2,"")</f>
        <v/>
      </c>
      <c r="Z808" s="7" t="str">
        <f aca="false">IF(COUNT(U808:X808)=4,(U808-V808)/2,"")</f>
        <v/>
      </c>
      <c r="AA808" s="7" t="str">
        <f aca="false">IF(COUNT(U808:X808)=4,MAX(1,MIN(10,ROUNDUP(5-Z808,0))),"")</f>
        <v/>
      </c>
      <c r="AB808" s="7" t="str">
        <f aca="false">IF(COUNT(U808:X808)=4,MAX(1,MIN(10,ROUNDUP(Y808+5,0))),"")</f>
        <v/>
      </c>
      <c r="AC808" s="6"/>
      <c r="AD808" s="6"/>
    </row>
    <row r="809" customFormat="false" ht="15" hidden="false" customHeight="true" outlineLevel="0" collapsed="false">
      <c r="A809" s="5" t="n">
        <v>808</v>
      </c>
      <c r="B809" s="5" t="s">
        <v>2054</v>
      </c>
      <c r="C809" s="5" t="s">
        <v>171</v>
      </c>
      <c r="D809" s="5" t="s">
        <v>172</v>
      </c>
      <c r="E809" s="5" t="n">
        <v>139</v>
      </c>
      <c r="F809" s="5" t="s">
        <v>2055</v>
      </c>
      <c r="G809" s="5" t="n">
        <v>4</v>
      </c>
      <c r="H809" s="5" t="s">
        <v>53</v>
      </c>
      <c r="I809" s="5" t="s">
        <v>54</v>
      </c>
      <c r="J809" s="5" t="s">
        <v>181</v>
      </c>
      <c r="K809" s="5" t="s">
        <v>279</v>
      </c>
      <c r="L809" s="5" t="n">
        <v>6</v>
      </c>
      <c r="M809" s="5" t="n">
        <v>4</v>
      </c>
      <c r="N809" s="5" t="n">
        <v>5</v>
      </c>
      <c r="O809" s="5" t="n">
        <v>7</v>
      </c>
      <c r="P809" s="5" t="n">
        <v>-1</v>
      </c>
      <c r="Q809" s="5" t="n">
        <v>1</v>
      </c>
      <c r="R809" s="5" t="n">
        <v>4</v>
      </c>
      <c r="S809" s="5" t="n">
        <v>4</v>
      </c>
      <c r="T809" s="5" t="s">
        <v>2056</v>
      </c>
      <c r="U809" s="6"/>
      <c r="V809" s="6"/>
      <c r="W809" s="6"/>
      <c r="X809" s="6"/>
      <c r="Y809" s="7" t="str">
        <f aca="false">IF(COUNT(U809:X809)=4,(W809-X809)/2,"")</f>
        <v/>
      </c>
      <c r="Z809" s="7" t="str">
        <f aca="false">IF(COUNT(U809:X809)=4,(U809-V809)/2,"")</f>
        <v/>
      </c>
      <c r="AA809" s="7" t="str">
        <f aca="false">IF(COUNT(U809:X809)=4,MAX(1,MIN(10,ROUNDUP(5-Z809,0))),"")</f>
        <v/>
      </c>
      <c r="AB809" s="7" t="str">
        <f aca="false">IF(COUNT(U809:X809)=4,MAX(1,MIN(10,ROUNDUP(Y809+5,0))),"")</f>
        <v/>
      </c>
      <c r="AC809" s="6"/>
      <c r="AD809" s="6"/>
    </row>
    <row r="810" customFormat="false" ht="15" hidden="false" customHeight="true" outlineLevel="0" collapsed="false">
      <c r="A810" s="5" t="n">
        <v>809</v>
      </c>
      <c r="B810" s="5" t="s">
        <v>2057</v>
      </c>
      <c r="C810" s="5" t="s">
        <v>145</v>
      </c>
      <c r="D810" s="5" t="s">
        <v>51</v>
      </c>
      <c r="E810" s="5" t="n">
        <v>138</v>
      </c>
      <c r="F810" s="5" t="s">
        <v>2058</v>
      </c>
      <c r="G810" s="5" t="n">
        <v>4</v>
      </c>
      <c r="H810" s="5" t="s">
        <v>53</v>
      </c>
      <c r="I810" s="5" t="s">
        <v>54</v>
      </c>
      <c r="J810" s="5" t="s">
        <v>55</v>
      </c>
      <c r="K810" s="5" t="s">
        <v>55</v>
      </c>
      <c r="L810" s="5" t="n">
        <v>5</v>
      </c>
      <c r="M810" s="5" t="n">
        <v>2</v>
      </c>
      <c r="N810" s="5" t="n">
        <v>5</v>
      </c>
      <c r="O810" s="5" t="n">
        <v>8</v>
      </c>
      <c r="P810" s="5" t="n">
        <v>-1.5</v>
      </c>
      <c r="Q810" s="5" t="n">
        <v>1.5</v>
      </c>
      <c r="R810" s="5" t="n">
        <v>4</v>
      </c>
      <c r="S810" s="5" t="n">
        <v>4</v>
      </c>
      <c r="T810" s="5" t="s">
        <v>1983</v>
      </c>
      <c r="U810" s="6"/>
      <c r="V810" s="6"/>
      <c r="W810" s="6"/>
      <c r="X810" s="6"/>
      <c r="Y810" s="7" t="str">
        <f aca="false">IF(COUNT(U810:X810)=4,(W810-X810)/2,"")</f>
        <v/>
      </c>
      <c r="Z810" s="7" t="str">
        <f aca="false">IF(COUNT(U810:X810)=4,(U810-V810)/2,"")</f>
        <v/>
      </c>
      <c r="AA810" s="7" t="str">
        <f aca="false">IF(COUNT(U810:X810)=4,MAX(1,MIN(10,ROUNDUP(5-Z810,0))),"")</f>
        <v/>
      </c>
      <c r="AB810" s="7" t="str">
        <f aca="false">IF(COUNT(U810:X810)=4,MAX(1,MIN(10,ROUNDUP(Y810+5,0))),"")</f>
        <v/>
      </c>
      <c r="AC810" s="6"/>
      <c r="AD810" s="6"/>
    </row>
    <row r="811" customFormat="false" ht="15" hidden="false" customHeight="true" outlineLevel="0" collapsed="false">
      <c r="A811" s="5" t="n">
        <v>810</v>
      </c>
      <c r="B811" s="5" t="s">
        <v>2059</v>
      </c>
      <c r="C811" s="5" t="s">
        <v>203</v>
      </c>
      <c r="D811" s="5" t="s">
        <v>204</v>
      </c>
      <c r="E811" s="5" t="n">
        <v>138</v>
      </c>
      <c r="F811" s="5" t="s">
        <v>2059</v>
      </c>
      <c r="G811" s="5" t="n">
        <v>4</v>
      </c>
      <c r="H811" s="5" t="s">
        <v>53</v>
      </c>
      <c r="I811" s="5" t="s">
        <v>54</v>
      </c>
      <c r="J811" s="5" t="s">
        <v>117</v>
      </c>
      <c r="K811" s="5" t="s">
        <v>117</v>
      </c>
      <c r="L811" s="5" t="n">
        <v>3</v>
      </c>
      <c r="M811" s="5" t="n">
        <v>1</v>
      </c>
      <c r="N811" s="5" t="n">
        <v>7</v>
      </c>
      <c r="O811" s="5" t="n">
        <v>3</v>
      </c>
      <c r="P811" s="5" t="n">
        <v>2</v>
      </c>
      <c r="Q811" s="5" t="n">
        <v>1</v>
      </c>
      <c r="R811" s="5" t="n">
        <v>4</v>
      </c>
      <c r="S811" s="5" t="n">
        <v>7</v>
      </c>
      <c r="T811" s="5" t="s">
        <v>2060</v>
      </c>
      <c r="U811" s="6"/>
      <c r="V811" s="6"/>
      <c r="W811" s="6"/>
      <c r="X811" s="6"/>
      <c r="Y811" s="7" t="str">
        <f aca="false">IF(COUNT(U811:X811)=4,(W811-X811)/2,"")</f>
        <v/>
      </c>
      <c r="Z811" s="7" t="str">
        <f aca="false">IF(COUNT(U811:X811)=4,(U811-V811)/2,"")</f>
        <v/>
      </c>
      <c r="AA811" s="7" t="str">
        <f aca="false">IF(COUNT(U811:X811)=4,MAX(1,MIN(10,ROUNDUP(5-Z811,0))),"")</f>
        <v/>
      </c>
      <c r="AB811" s="7" t="str">
        <f aca="false">IF(COUNT(U811:X811)=4,MAX(1,MIN(10,ROUNDUP(Y811+5,0))),"")</f>
        <v/>
      </c>
      <c r="AC811" s="6"/>
      <c r="AD811" s="6"/>
    </row>
    <row r="812" customFormat="false" ht="15" hidden="false" customHeight="true" outlineLevel="0" collapsed="false">
      <c r="A812" s="5" t="n">
        <v>811</v>
      </c>
      <c r="B812" s="5" t="s">
        <v>2061</v>
      </c>
      <c r="C812" s="5" t="s">
        <v>171</v>
      </c>
      <c r="D812" s="5" t="s">
        <v>172</v>
      </c>
      <c r="E812" s="5" t="n">
        <v>138</v>
      </c>
      <c r="F812" s="5" t="s">
        <v>2062</v>
      </c>
      <c r="G812" s="5" t="n">
        <v>4</v>
      </c>
      <c r="H812" s="5" t="s">
        <v>53</v>
      </c>
      <c r="I812" s="5" t="s">
        <v>54</v>
      </c>
      <c r="J812" s="5" t="s">
        <v>181</v>
      </c>
      <c r="K812" s="5" t="s">
        <v>235</v>
      </c>
      <c r="L812" s="5" t="n">
        <v>4</v>
      </c>
      <c r="M812" s="5" t="n">
        <v>4</v>
      </c>
      <c r="N812" s="5" t="n">
        <v>7</v>
      </c>
      <c r="O812" s="5" t="n">
        <v>4</v>
      </c>
      <c r="P812" s="5" t="n">
        <v>1.5</v>
      </c>
      <c r="Q812" s="5" t="n">
        <v>0</v>
      </c>
      <c r="R812" s="5" t="n">
        <v>5</v>
      </c>
      <c r="S812" s="5" t="n">
        <v>7</v>
      </c>
      <c r="T812" s="5" t="s">
        <v>2031</v>
      </c>
      <c r="U812" s="6"/>
      <c r="V812" s="6"/>
      <c r="W812" s="6"/>
      <c r="X812" s="6"/>
      <c r="Y812" s="7" t="str">
        <f aca="false">IF(COUNT(U812:X812)=4,(W812-X812)/2,"")</f>
        <v/>
      </c>
      <c r="Z812" s="7" t="str">
        <f aca="false">IF(COUNT(U812:X812)=4,(U812-V812)/2,"")</f>
        <v/>
      </c>
      <c r="AA812" s="7" t="str">
        <f aca="false">IF(COUNT(U812:X812)=4,MAX(1,MIN(10,ROUNDUP(5-Z812,0))),"")</f>
        <v/>
      </c>
      <c r="AB812" s="7" t="str">
        <f aca="false">IF(COUNT(U812:X812)=4,MAX(1,MIN(10,ROUNDUP(Y812+5,0))),"")</f>
        <v/>
      </c>
      <c r="AC812" s="6"/>
      <c r="AD812" s="6"/>
    </row>
    <row r="813" customFormat="false" ht="15" hidden="false" customHeight="true" outlineLevel="0" collapsed="false">
      <c r="A813" s="5" t="n">
        <v>812</v>
      </c>
      <c r="B813" s="5" t="s">
        <v>1767</v>
      </c>
      <c r="C813" s="5" t="s">
        <v>171</v>
      </c>
      <c r="D813" s="5" t="s">
        <v>172</v>
      </c>
      <c r="E813" s="5" t="n">
        <v>138</v>
      </c>
      <c r="F813" s="5" t="s">
        <v>2063</v>
      </c>
      <c r="G813" s="5" t="n">
        <v>4</v>
      </c>
      <c r="H813" s="5" t="s">
        <v>53</v>
      </c>
      <c r="I813" s="5" t="s">
        <v>54</v>
      </c>
      <c r="J813" s="5" t="s">
        <v>181</v>
      </c>
      <c r="K813" s="5" t="s">
        <v>279</v>
      </c>
      <c r="L813" s="5" t="n">
        <v>4</v>
      </c>
      <c r="M813" s="5" t="n">
        <v>4</v>
      </c>
      <c r="N813" s="5" t="n">
        <v>5</v>
      </c>
      <c r="O813" s="5" t="n">
        <v>7</v>
      </c>
      <c r="P813" s="5" t="n">
        <v>-1</v>
      </c>
      <c r="Q813" s="5" t="n">
        <v>0</v>
      </c>
      <c r="R813" s="5" t="n">
        <v>5</v>
      </c>
      <c r="S813" s="5" t="n">
        <v>4</v>
      </c>
      <c r="T813" s="5" t="s">
        <v>2064</v>
      </c>
      <c r="U813" s="6"/>
      <c r="V813" s="6"/>
      <c r="W813" s="6"/>
      <c r="X813" s="6"/>
      <c r="Y813" s="7" t="str">
        <f aca="false">IF(COUNT(U813:X813)=4,(W813-X813)/2,"")</f>
        <v/>
      </c>
      <c r="Z813" s="7" t="str">
        <f aca="false">IF(COUNT(U813:X813)=4,(U813-V813)/2,"")</f>
        <v/>
      </c>
      <c r="AA813" s="7" t="str">
        <f aca="false">IF(COUNT(U813:X813)=4,MAX(1,MIN(10,ROUNDUP(5-Z813,0))),"")</f>
        <v/>
      </c>
      <c r="AB813" s="7" t="str">
        <f aca="false">IF(COUNT(U813:X813)=4,MAX(1,MIN(10,ROUNDUP(Y813+5,0))),"")</f>
        <v/>
      </c>
      <c r="AC813" s="6"/>
      <c r="AD813" s="6"/>
    </row>
    <row r="814" customFormat="false" ht="15" hidden="false" customHeight="true" outlineLevel="0" collapsed="false">
      <c r="A814" s="5" t="n">
        <v>813</v>
      </c>
      <c r="B814" s="5" t="s">
        <v>2065</v>
      </c>
      <c r="C814" s="5" t="s">
        <v>171</v>
      </c>
      <c r="D814" s="5" t="s">
        <v>172</v>
      </c>
      <c r="E814" s="5" t="n">
        <v>138</v>
      </c>
      <c r="F814" s="5" t="s">
        <v>2066</v>
      </c>
      <c r="G814" s="5" t="n">
        <v>4</v>
      </c>
      <c r="H814" s="5" t="s">
        <v>53</v>
      </c>
      <c r="I814" s="5" t="s">
        <v>54</v>
      </c>
      <c r="J814" s="5" t="s">
        <v>181</v>
      </c>
      <c r="K814" s="5" t="s">
        <v>235</v>
      </c>
      <c r="L814" s="5" t="n">
        <v>5</v>
      </c>
      <c r="M814" s="5" t="n">
        <v>5</v>
      </c>
      <c r="N814" s="5" t="n">
        <v>7</v>
      </c>
      <c r="O814" s="5" t="n">
        <v>4</v>
      </c>
      <c r="P814" s="5" t="n">
        <v>1.5</v>
      </c>
      <c r="Q814" s="5" t="n">
        <v>0</v>
      </c>
      <c r="R814" s="5" t="n">
        <v>5</v>
      </c>
      <c r="S814" s="5" t="n">
        <v>7</v>
      </c>
      <c r="T814" s="5" t="s">
        <v>2067</v>
      </c>
      <c r="U814" s="6"/>
      <c r="V814" s="6"/>
      <c r="W814" s="6"/>
      <c r="X814" s="6"/>
      <c r="Y814" s="7" t="str">
        <f aca="false">IF(COUNT(U814:X814)=4,(W814-X814)/2,"")</f>
        <v/>
      </c>
      <c r="Z814" s="7" t="str">
        <f aca="false">IF(COUNT(U814:X814)=4,(U814-V814)/2,"")</f>
        <v/>
      </c>
      <c r="AA814" s="7" t="str">
        <f aca="false">IF(COUNT(U814:X814)=4,MAX(1,MIN(10,ROUNDUP(5-Z814,0))),"")</f>
        <v/>
      </c>
      <c r="AB814" s="7" t="str">
        <f aca="false">IF(COUNT(U814:X814)=4,MAX(1,MIN(10,ROUNDUP(Y814+5,0))),"")</f>
        <v/>
      </c>
      <c r="AC814" s="6"/>
      <c r="AD814" s="6"/>
    </row>
    <row r="815" customFormat="false" ht="15" hidden="false" customHeight="true" outlineLevel="0" collapsed="false">
      <c r="A815" s="5" t="n">
        <v>814</v>
      </c>
      <c r="B815" s="5" t="s">
        <v>2068</v>
      </c>
      <c r="C815" s="5" t="s">
        <v>171</v>
      </c>
      <c r="D815" s="5" t="s">
        <v>172</v>
      </c>
      <c r="E815" s="5" t="n">
        <v>137</v>
      </c>
      <c r="F815" s="5" t="s">
        <v>2069</v>
      </c>
      <c r="G815" s="5" t="n">
        <v>4</v>
      </c>
      <c r="H815" s="5" t="s">
        <v>53</v>
      </c>
      <c r="I815" s="5" t="s">
        <v>54</v>
      </c>
      <c r="J815" s="5" t="s">
        <v>181</v>
      </c>
      <c r="K815" s="5" t="s">
        <v>443</v>
      </c>
      <c r="L815" s="5" t="n">
        <v>5</v>
      </c>
      <c r="M815" s="5" t="n">
        <v>3</v>
      </c>
      <c r="N815" s="5" t="n">
        <v>4</v>
      </c>
      <c r="O815" s="5" t="n">
        <v>8</v>
      </c>
      <c r="P815" s="5" t="n">
        <v>-2</v>
      </c>
      <c r="Q815" s="5" t="n">
        <v>1</v>
      </c>
      <c r="R815" s="5" t="n">
        <v>4</v>
      </c>
      <c r="S815" s="5" t="n">
        <v>3</v>
      </c>
      <c r="T815" s="5" t="s">
        <v>2070</v>
      </c>
      <c r="U815" s="6"/>
      <c r="V815" s="6"/>
      <c r="W815" s="6"/>
      <c r="X815" s="6"/>
      <c r="Y815" s="7" t="str">
        <f aca="false">IF(COUNT(U815:X815)=4,(W815-X815)/2,"")</f>
        <v/>
      </c>
      <c r="Z815" s="7" t="str">
        <f aca="false">IF(COUNT(U815:X815)=4,(U815-V815)/2,"")</f>
        <v/>
      </c>
      <c r="AA815" s="7" t="str">
        <f aca="false">IF(COUNT(U815:X815)=4,MAX(1,MIN(10,ROUNDUP(5-Z815,0))),"")</f>
        <v/>
      </c>
      <c r="AB815" s="7" t="str">
        <f aca="false">IF(COUNT(U815:X815)=4,MAX(1,MIN(10,ROUNDUP(Y815+5,0))),"")</f>
        <v/>
      </c>
      <c r="AC815" s="6"/>
      <c r="AD815" s="6"/>
    </row>
    <row r="816" customFormat="false" ht="15" hidden="false" customHeight="true" outlineLevel="0" collapsed="false">
      <c r="A816" s="5" t="n">
        <v>815</v>
      </c>
      <c r="B816" s="5" t="s">
        <v>2071</v>
      </c>
      <c r="C816" s="5" t="s">
        <v>203</v>
      </c>
      <c r="D816" s="5" t="s">
        <v>204</v>
      </c>
      <c r="E816" s="5" t="n">
        <v>137</v>
      </c>
      <c r="F816" s="5" t="s">
        <v>2072</v>
      </c>
      <c r="G816" s="5" t="n">
        <v>4</v>
      </c>
      <c r="H816" s="5" t="s">
        <v>53</v>
      </c>
      <c r="I816" s="5" t="s">
        <v>54</v>
      </c>
      <c r="J816" s="5" t="s">
        <v>117</v>
      </c>
      <c r="K816" s="5" t="s">
        <v>117</v>
      </c>
      <c r="L816" s="5" t="n">
        <v>4</v>
      </c>
      <c r="M816" s="5" t="n">
        <v>2</v>
      </c>
      <c r="N816" s="5" t="n">
        <v>2</v>
      </c>
      <c r="O816" s="5" t="n">
        <v>8</v>
      </c>
      <c r="P816" s="5" t="n">
        <v>-3</v>
      </c>
      <c r="Q816" s="5" t="n">
        <v>1</v>
      </c>
      <c r="R816" s="5" t="n">
        <v>4</v>
      </c>
      <c r="S816" s="5" t="n">
        <v>2</v>
      </c>
      <c r="T816" s="5" t="s">
        <v>73</v>
      </c>
      <c r="U816" s="6"/>
      <c r="V816" s="6"/>
      <c r="W816" s="6"/>
      <c r="X816" s="6"/>
      <c r="Y816" s="7" t="str">
        <f aca="false">IF(COUNT(U816:X816)=4,(W816-X816)/2,"")</f>
        <v/>
      </c>
      <c r="Z816" s="7" t="str">
        <f aca="false">IF(COUNT(U816:X816)=4,(U816-V816)/2,"")</f>
        <v/>
      </c>
      <c r="AA816" s="7" t="str">
        <f aca="false">IF(COUNT(U816:X816)=4,MAX(1,MIN(10,ROUNDUP(5-Z816,0))),"")</f>
        <v/>
      </c>
      <c r="AB816" s="7" t="str">
        <f aca="false">IF(COUNT(U816:X816)=4,MAX(1,MIN(10,ROUNDUP(Y816+5,0))),"")</f>
        <v/>
      </c>
      <c r="AC816" s="6"/>
      <c r="AD816" s="6"/>
    </row>
    <row r="817" customFormat="false" ht="15" hidden="false" customHeight="true" outlineLevel="0" collapsed="false">
      <c r="A817" s="5" t="n">
        <v>816</v>
      </c>
      <c r="B817" s="5" t="s">
        <v>2073</v>
      </c>
      <c r="C817" s="5" t="s">
        <v>171</v>
      </c>
      <c r="D817" s="5" t="s">
        <v>172</v>
      </c>
      <c r="E817" s="5" t="n">
        <v>137</v>
      </c>
      <c r="F817" s="5" t="s">
        <v>2074</v>
      </c>
      <c r="G817" s="5" t="n">
        <v>4</v>
      </c>
      <c r="H817" s="5" t="s">
        <v>53</v>
      </c>
      <c r="I817" s="5" t="s">
        <v>54</v>
      </c>
      <c r="J817" s="5" t="s">
        <v>117</v>
      </c>
      <c r="K817" s="5" t="s">
        <v>117</v>
      </c>
      <c r="L817" s="5" t="n">
        <v>3</v>
      </c>
      <c r="M817" s="5" t="n">
        <v>1</v>
      </c>
      <c r="N817" s="5" t="n">
        <v>2</v>
      </c>
      <c r="O817" s="5" t="n">
        <v>8</v>
      </c>
      <c r="P817" s="5" t="n">
        <v>-3</v>
      </c>
      <c r="Q817" s="5" t="n">
        <v>1</v>
      </c>
      <c r="R817" s="5" t="n">
        <v>4</v>
      </c>
      <c r="S817" s="5" t="n">
        <v>2</v>
      </c>
      <c r="T817" s="5" t="s">
        <v>2075</v>
      </c>
      <c r="U817" s="6"/>
      <c r="V817" s="6"/>
      <c r="W817" s="6"/>
      <c r="X817" s="6"/>
      <c r="Y817" s="7" t="str">
        <f aca="false">IF(COUNT(U817:X817)=4,(W817-X817)/2,"")</f>
        <v/>
      </c>
      <c r="Z817" s="7" t="str">
        <f aca="false">IF(COUNT(U817:X817)=4,(U817-V817)/2,"")</f>
        <v/>
      </c>
      <c r="AA817" s="7" t="str">
        <f aca="false">IF(COUNT(U817:X817)=4,MAX(1,MIN(10,ROUNDUP(5-Z817,0))),"")</f>
        <v/>
      </c>
      <c r="AB817" s="7" t="str">
        <f aca="false">IF(COUNT(U817:X817)=4,MAX(1,MIN(10,ROUNDUP(Y817+5,0))),"")</f>
        <v/>
      </c>
      <c r="AC817" s="6"/>
      <c r="AD817" s="6"/>
    </row>
    <row r="818" customFormat="false" ht="15" hidden="false" customHeight="true" outlineLevel="0" collapsed="false">
      <c r="A818" s="5" t="n">
        <v>817</v>
      </c>
      <c r="B818" s="5" t="s">
        <v>2076</v>
      </c>
      <c r="C818" s="5" t="s">
        <v>145</v>
      </c>
      <c r="D818" s="5" t="s">
        <v>51</v>
      </c>
      <c r="E818" s="5" t="n">
        <v>137</v>
      </c>
      <c r="F818" s="5" t="s">
        <v>2077</v>
      </c>
      <c r="G818" s="5" t="n">
        <v>4</v>
      </c>
      <c r="H818" s="5" t="s">
        <v>53</v>
      </c>
      <c r="I818" s="5" t="s">
        <v>54</v>
      </c>
      <c r="J818" s="5" t="s">
        <v>55</v>
      </c>
      <c r="K818" s="5" t="s">
        <v>55</v>
      </c>
      <c r="L818" s="5" t="n">
        <v>5</v>
      </c>
      <c r="M818" s="5" t="n">
        <v>2</v>
      </c>
      <c r="N818" s="5" t="n">
        <v>3</v>
      </c>
      <c r="O818" s="5" t="n">
        <v>8</v>
      </c>
      <c r="P818" s="5" t="n">
        <v>-2.5</v>
      </c>
      <c r="Q818" s="5" t="n">
        <v>1.5</v>
      </c>
      <c r="R818" s="5" t="n">
        <v>4</v>
      </c>
      <c r="S818" s="5" t="n">
        <v>3</v>
      </c>
      <c r="T818" s="5" t="s">
        <v>2078</v>
      </c>
      <c r="U818" s="6"/>
      <c r="V818" s="6"/>
      <c r="W818" s="6"/>
      <c r="X818" s="6"/>
      <c r="Y818" s="7" t="str">
        <f aca="false">IF(COUNT(U818:X818)=4,(W818-X818)/2,"")</f>
        <v/>
      </c>
      <c r="Z818" s="7" t="str">
        <f aca="false">IF(COUNT(U818:X818)=4,(U818-V818)/2,"")</f>
        <v/>
      </c>
      <c r="AA818" s="7" t="str">
        <f aca="false">IF(COUNT(U818:X818)=4,MAX(1,MIN(10,ROUNDUP(5-Z818,0))),"")</f>
        <v/>
      </c>
      <c r="AB818" s="7" t="str">
        <f aca="false">IF(COUNT(U818:X818)=4,MAX(1,MIN(10,ROUNDUP(Y818+5,0))),"")</f>
        <v/>
      </c>
      <c r="AC818" s="6"/>
      <c r="AD818" s="6"/>
    </row>
    <row r="819" customFormat="false" ht="15" hidden="false" customHeight="true" outlineLevel="0" collapsed="false">
      <c r="A819" s="5" t="n">
        <v>818</v>
      </c>
      <c r="B819" s="5" t="s">
        <v>2079</v>
      </c>
      <c r="C819" s="5" t="s">
        <v>171</v>
      </c>
      <c r="D819" s="5" t="s">
        <v>172</v>
      </c>
      <c r="E819" s="5" t="n">
        <v>137</v>
      </c>
      <c r="F819" s="5" t="s">
        <v>2080</v>
      </c>
      <c r="G819" s="5" t="n">
        <v>4</v>
      </c>
      <c r="H819" s="5" t="s">
        <v>53</v>
      </c>
      <c r="I819" s="5" t="s">
        <v>54</v>
      </c>
      <c r="J819" s="5" t="s">
        <v>181</v>
      </c>
      <c r="K819" s="5" t="s">
        <v>413</v>
      </c>
      <c r="L819" s="5" t="n">
        <v>5</v>
      </c>
      <c r="M819" s="5" t="n">
        <v>3</v>
      </c>
      <c r="N819" s="5" t="n">
        <v>3</v>
      </c>
      <c r="O819" s="5" t="n">
        <v>8</v>
      </c>
      <c r="P819" s="5" t="n">
        <v>-2.5</v>
      </c>
      <c r="Q819" s="5" t="n">
        <v>1</v>
      </c>
      <c r="R819" s="5" t="n">
        <v>4</v>
      </c>
      <c r="S819" s="5" t="n">
        <v>3</v>
      </c>
      <c r="T819" s="5" t="s">
        <v>2081</v>
      </c>
      <c r="U819" s="6"/>
      <c r="V819" s="6"/>
      <c r="W819" s="6"/>
      <c r="X819" s="6"/>
      <c r="Y819" s="7" t="str">
        <f aca="false">IF(COUNT(U819:X819)=4,(W819-X819)/2,"")</f>
        <v/>
      </c>
      <c r="Z819" s="7" t="str">
        <f aca="false">IF(COUNT(U819:X819)=4,(U819-V819)/2,"")</f>
        <v/>
      </c>
      <c r="AA819" s="7" t="str">
        <f aca="false">IF(COUNT(U819:X819)=4,MAX(1,MIN(10,ROUNDUP(5-Z819,0))),"")</f>
        <v/>
      </c>
      <c r="AB819" s="7" t="str">
        <f aca="false">IF(COUNT(U819:X819)=4,MAX(1,MIN(10,ROUNDUP(Y819+5,0))),"")</f>
        <v/>
      </c>
      <c r="AC819" s="6"/>
      <c r="AD819" s="6"/>
    </row>
    <row r="820" customFormat="false" ht="15" hidden="false" customHeight="true" outlineLevel="0" collapsed="false">
      <c r="A820" s="5" t="n">
        <v>819</v>
      </c>
      <c r="B820" s="5" t="s">
        <v>2082</v>
      </c>
      <c r="C820" s="5" t="s">
        <v>203</v>
      </c>
      <c r="D820" s="5" t="s">
        <v>204</v>
      </c>
      <c r="E820" s="5" t="n">
        <v>137</v>
      </c>
      <c r="F820" s="5" t="s">
        <v>2082</v>
      </c>
      <c r="G820" s="5" t="n">
        <v>4</v>
      </c>
      <c r="H820" s="5" t="s">
        <v>53</v>
      </c>
      <c r="I820" s="5" t="s">
        <v>54</v>
      </c>
      <c r="J820" s="5" t="s">
        <v>117</v>
      </c>
      <c r="K820" s="5" t="s">
        <v>117</v>
      </c>
      <c r="L820" s="5" t="n">
        <v>3</v>
      </c>
      <c r="M820" s="5" t="n">
        <v>1</v>
      </c>
      <c r="N820" s="5" t="n">
        <v>2</v>
      </c>
      <c r="O820" s="5" t="n">
        <v>8</v>
      </c>
      <c r="P820" s="5" t="n">
        <v>-3</v>
      </c>
      <c r="Q820" s="5" t="n">
        <v>1</v>
      </c>
      <c r="R820" s="5" t="n">
        <v>4</v>
      </c>
      <c r="S820" s="5" t="n">
        <v>2</v>
      </c>
      <c r="T820" s="5" t="s">
        <v>153</v>
      </c>
      <c r="U820" s="6"/>
      <c r="V820" s="6"/>
      <c r="W820" s="6"/>
      <c r="X820" s="6"/>
      <c r="Y820" s="7" t="str">
        <f aca="false">IF(COUNT(U820:X820)=4,(W820-X820)/2,"")</f>
        <v/>
      </c>
      <c r="Z820" s="7" t="str">
        <f aca="false">IF(COUNT(U820:X820)=4,(U820-V820)/2,"")</f>
        <v/>
      </c>
      <c r="AA820" s="7" t="str">
        <f aca="false">IF(COUNT(U820:X820)=4,MAX(1,MIN(10,ROUNDUP(5-Z820,0))),"")</f>
        <v/>
      </c>
      <c r="AB820" s="7" t="str">
        <f aca="false">IF(COUNT(U820:X820)=4,MAX(1,MIN(10,ROUNDUP(Y820+5,0))),"")</f>
        <v/>
      </c>
      <c r="AC820" s="6"/>
      <c r="AD820" s="6"/>
    </row>
    <row r="821" customFormat="false" ht="15" hidden="false" customHeight="true" outlineLevel="0" collapsed="false">
      <c r="A821" s="5" t="n">
        <v>820</v>
      </c>
      <c r="B821" s="5" t="s">
        <v>2083</v>
      </c>
      <c r="C821" s="5" t="s">
        <v>171</v>
      </c>
      <c r="D821" s="5" t="s">
        <v>172</v>
      </c>
      <c r="E821" s="5" t="n">
        <v>137</v>
      </c>
      <c r="F821" s="5" t="s">
        <v>2084</v>
      </c>
      <c r="G821" s="5" t="n">
        <v>4</v>
      </c>
      <c r="H821" s="5" t="s">
        <v>53</v>
      </c>
      <c r="I821" s="5" t="s">
        <v>54</v>
      </c>
      <c r="J821" s="5" t="s">
        <v>181</v>
      </c>
      <c r="K821" s="5" t="s">
        <v>223</v>
      </c>
      <c r="L821" s="5" t="n">
        <v>4</v>
      </c>
      <c r="M821" s="5" t="n">
        <v>4</v>
      </c>
      <c r="N821" s="5" t="n">
        <v>6</v>
      </c>
      <c r="O821" s="5" t="n">
        <v>5</v>
      </c>
      <c r="P821" s="5" t="n">
        <v>0.5</v>
      </c>
      <c r="Q821" s="5" t="n">
        <v>0</v>
      </c>
      <c r="R821" s="5" t="n">
        <v>5</v>
      </c>
      <c r="S821" s="5" t="n">
        <v>6</v>
      </c>
      <c r="T821" s="5" t="s">
        <v>2085</v>
      </c>
      <c r="U821" s="6"/>
      <c r="V821" s="6"/>
      <c r="W821" s="6"/>
      <c r="X821" s="6"/>
      <c r="Y821" s="7" t="str">
        <f aca="false">IF(COUNT(U821:X821)=4,(W821-X821)/2,"")</f>
        <v/>
      </c>
      <c r="Z821" s="7" t="str">
        <f aca="false">IF(COUNT(U821:X821)=4,(U821-V821)/2,"")</f>
        <v/>
      </c>
      <c r="AA821" s="7" t="str">
        <f aca="false">IF(COUNT(U821:X821)=4,MAX(1,MIN(10,ROUNDUP(5-Z821,0))),"")</f>
        <v/>
      </c>
      <c r="AB821" s="7" t="str">
        <f aca="false">IF(COUNT(U821:X821)=4,MAX(1,MIN(10,ROUNDUP(Y821+5,0))),"")</f>
        <v/>
      </c>
      <c r="AC821" s="6"/>
      <c r="AD821" s="6"/>
    </row>
    <row r="822" customFormat="false" ht="15" hidden="false" customHeight="true" outlineLevel="0" collapsed="false">
      <c r="A822" s="5" t="n">
        <v>821</v>
      </c>
      <c r="B822" s="5" t="s">
        <v>2086</v>
      </c>
      <c r="C822" s="5" t="s">
        <v>203</v>
      </c>
      <c r="D822" s="5" t="s">
        <v>204</v>
      </c>
      <c r="E822" s="5" t="n">
        <v>137</v>
      </c>
      <c r="F822" s="5" t="s">
        <v>2086</v>
      </c>
      <c r="G822" s="5" t="n">
        <v>4</v>
      </c>
      <c r="H822" s="5" t="s">
        <v>53</v>
      </c>
      <c r="I822" s="5" t="s">
        <v>54</v>
      </c>
      <c r="J822" s="5" t="s">
        <v>117</v>
      </c>
      <c r="K822" s="5" t="s">
        <v>117</v>
      </c>
      <c r="L822" s="5" t="n">
        <v>3</v>
      </c>
      <c r="M822" s="5" t="n">
        <v>1</v>
      </c>
      <c r="N822" s="5" t="n">
        <v>2</v>
      </c>
      <c r="O822" s="5" t="n">
        <v>8</v>
      </c>
      <c r="P822" s="5" t="n">
        <v>-3</v>
      </c>
      <c r="Q822" s="5" t="n">
        <v>1</v>
      </c>
      <c r="R822" s="5" t="n">
        <v>4</v>
      </c>
      <c r="S822" s="5" t="n">
        <v>2</v>
      </c>
      <c r="T822" s="5" t="s">
        <v>488</v>
      </c>
      <c r="U822" s="6"/>
      <c r="V822" s="6"/>
      <c r="W822" s="6"/>
      <c r="X822" s="6"/>
      <c r="Y822" s="7" t="str">
        <f aca="false">IF(COUNT(U822:X822)=4,(W822-X822)/2,"")</f>
        <v/>
      </c>
      <c r="Z822" s="7" t="str">
        <f aca="false">IF(COUNT(U822:X822)=4,(U822-V822)/2,"")</f>
        <v/>
      </c>
      <c r="AA822" s="7" t="str">
        <f aca="false">IF(COUNT(U822:X822)=4,MAX(1,MIN(10,ROUNDUP(5-Z822,0))),"")</f>
        <v/>
      </c>
      <c r="AB822" s="7" t="str">
        <f aca="false">IF(COUNT(U822:X822)=4,MAX(1,MIN(10,ROUNDUP(Y822+5,0))),"")</f>
        <v/>
      </c>
      <c r="AC822" s="6"/>
      <c r="AD822" s="6"/>
    </row>
    <row r="823" customFormat="false" ht="15" hidden="false" customHeight="true" outlineLevel="0" collapsed="false">
      <c r="A823" s="5" t="n">
        <v>822</v>
      </c>
      <c r="B823" s="5" t="s">
        <v>2087</v>
      </c>
      <c r="C823" s="5" t="s">
        <v>171</v>
      </c>
      <c r="D823" s="5" t="s">
        <v>172</v>
      </c>
      <c r="E823" s="5" t="n">
        <v>136</v>
      </c>
      <c r="F823" s="5" t="s">
        <v>2088</v>
      </c>
      <c r="G823" s="5" t="n">
        <v>4</v>
      </c>
      <c r="H823" s="5" t="s">
        <v>53</v>
      </c>
      <c r="I823" s="5" t="s">
        <v>81</v>
      </c>
      <c r="J823" s="5" t="s">
        <v>174</v>
      </c>
      <c r="K823" s="5" t="s">
        <v>175</v>
      </c>
      <c r="L823" s="5" t="n">
        <v>7</v>
      </c>
      <c r="M823" s="5" t="n">
        <v>1</v>
      </c>
      <c r="N823" s="5" t="n">
        <v>6</v>
      </c>
      <c r="O823" s="5" t="n">
        <v>5</v>
      </c>
      <c r="P823" s="5" t="n">
        <v>0.5</v>
      </c>
      <c r="Q823" s="5" t="n">
        <v>3</v>
      </c>
      <c r="R823" s="5" t="n">
        <v>2</v>
      </c>
      <c r="S823" s="5" t="n">
        <v>6</v>
      </c>
      <c r="T823" s="5" t="s">
        <v>2089</v>
      </c>
      <c r="U823" s="6"/>
      <c r="V823" s="6"/>
      <c r="W823" s="6"/>
      <c r="X823" s="6"/>
      <c r="Y823" s="7" t="str">
        <f aca="false">IF(COUNT(U823:X823)=4,(W823-X823)/2,"")</f>
        <v/>
      </c>
      <c r="Z823" s="7" t="str">
        <f aca="false">IF(COUNT(U823:X823)=4,(U823-V823)/2,"")</f>
        <v/>
      </c>
      <c r="AA823" s="7" t="str">
        <f aca="false">IF(COUNT(U823:X823)=4,MAX(1,MIN(10,ROUNDUP(5-Z823,0))),"")</f>
        <v/>
      </c>
      <c r="AB823" s="7" t="str">
        <f aca="false">IF(COUNT(U823:X823)=4,MAX(1,MIN(10,ROUNDUP(Y823+5,0))),"")</f>
        <v/>
      </c>
      <c r="AC823" s="6"/>
      <c r="AD823" s="6"/>
    </row>
    <row r="824" customFormat="false" ht="15" hidden="false" customHeight="true" outlineLevel="0" collapsed="false">
      <c r="A824" s="5" t="n">
        <v>823</v>
      </c>
      <c r="B824" s="5" t="s">
        <v>2090</v>
      </c>
      <c r="C824" s="5" t="s">
        <v>145</v>
      </c>
      <c r="D824" s="5" t="s">
        <v>51</v>
      </c>
      <c r="E824" s="5" t="n">
        <v>136</v>
      </c>
      <c r="F824" s="5" t="s">
        <v>2091</v>
      </c>
      <c r="G824" s="5" t="n">
        <v>4</v>
      </c>
      <c r="H824" s="5" t="s">
        <v>53</v>
      </c>
      <c r="I824" s="5" t="s">
        <v>54</v>
      </c>
      <c r="J824" s="5" t="s">
        <v>55</v>
      </c>
      <c r="K824" s="5" t="s">
        <v>55</v>
      </c>
      <c r="L824" s="5" t="n">
        <v>4</v>
      </c>
      <c r="M824" s="5" t="n">
        <v>3</v>
      </c>
      <c r="N824" s="5" t="n">
        <v>6</v>
      </c>
      <c r="O824" s="5" t="n">
        <v>4</v>
      </c>
      <c r="P824" s="5" t="n">
        <v>1</v>
      </c>
      <c r="Q824" s="5" t="n">
        <v>0.5</v>
      </c>
      <c r="R824" s="5" t="n">
        <v>5</v>
      </c>
      <c r="S824" s="5" t="n">
        <v>6</v>
      </c>
      <c r="T824" s="5" t="s">
        <v>2092</v>
      </c>
      <c r="U824" s="6"/>
      <c r="V824" s="6"/>
      <c r="W824" s="6"/>
      <c r="X824" s="6"/>
      <c r="Y824" s="7" t="str">
        <f aca="false">IF(COUNT(U824:X824)=4,(W824-X824)/2,"")</f>
        <v/>
      </c>
      <c r="Z824" s="7" t="str">
        <f aca="false">IF(COUNT(U824:X824)=4,(U824-V824)/2,"")</f>
        <v/>
      </c>
      <c r="AA824" s="7" t="str">
        <f aca="false">IF(COUNT(U824:X824)=4,MAX(1,MIN(10,ROUNDUP(5-Z824,0))),"")</f>
        <v/>
      </c>
      <c r="AB824" s="7" t="str">
        <f aca="false">IF(COUNT(U824:X824)=4,MAX(1,MIN(10,ROUNDUP(Y824+5,0))),"")</f>
        <v/>
      </c>
      <c r="AC824" s="6"/>
      <c r="AD824" s="6"/>
    </row>
    <row r="825" customFormat="false" ht="15" hidden="false" customHeight="true" outlineLevel="0" collapsed="false">
      <c r="A825" s="5" t="n">
        <v>824</v>
      </c>
      <c r="B825" s="5" t="s">
        <v>2093</v>
      </c>
      <c r="C825" s="5" t="s">
        <v>203</v>
      </c>
      <c r="D825" s="5" t="s">
        <v>204</v>
      </c>
      <c r="E825" s="5" t="n">
        <v>136</v>
      </c>
      <c r="F825" s="5" t="s">
        <v>2094</v>
      </c>
      <c r="G825" s="5" t="n">
        <v>4</v>
      </c>
      <c r="H825" s="5" t="s">
        <v>53</v>
      </c>
      <c r="I825" s="5" t="s">
        <v>54</v>
      </c>
      <c r="J825" s="5" t="s">
        <v>117</v>
      </c>
      <c r="K825" s="5" t="s">
        <v>117</v>
      </c>
      <c r="L825" s="5" t="n">
        <v>3</v>
      </c>
      <c r="M825" s="5" t="n">
        <v>6</v>
      </c>
      <c r="N825" s="5" t="n">
        <v>1</v>
      </c>
      <c r="O825" s="5" t="n">
        <v>8</v>
      </c>
      <c r="P825" s="5" t="n">
        <v>-3.5</v>
      </c>
      <c r="Q825" s="5" t="n">
        <v>-1.5</v>
      </c>
      <c r="R825" s="5" t="n">
        <v>7</v>
      </c>
      <c r="S825" s="5" t="n">
        <v>2</v>
      </c>
      <c r="T825" s="5" t="s">
        <v>2095</v>
      </c>
      <c r="U825" s="6"/>
      <c r="V825" s="6"/>
      <c r="W825" s="6"/>
      <c r="X825" s="6"/>
      <c r="Y825" s="7" t="str">
        <f aca="false">IF(COUNT(U825:X825)=4,(W825-X825)/2,"")</f>
        <v/>
      </c>
      <c r="Z825" s="7" t="str">
        <f aca="false">IF(COUNT(U825:X825)=4,(U825-V825)/2,"")</f>
        <v/>
      </c>
      <c r="AA825" s="7" t="str">
        <f aca="false">IF(COUNT(U825:X825)=4,MAX(1,MIN(10,ROUNDUP(5-Z825,0))),"")</f>
        <v/>
      </c>
      <c r="AB825" s="7" t="str">
        <f aca="false">IF(COUNT(U825:X825)=4,MAX(1,MIN(10,ROUNDUP(Y825+5,0))),"")</f>
        <v/>
      </c>
      <c r="AC825" s="6"/>
      <c r="AD825" s="6"/>
    </row>
    <row r="826" customFormat="false" ht="15" hidden="false" customHeight="true" outlineLevel="0" collapsed="false">
      <c r="A826" s="5" t="n">
        <v>825</v>
      </c>
      <c r="B826" s="5" t="s">
        <v>2096</v>
      </c>
      <c r="C826" s="5" t="s">
        <v>171</v>
      </c>
      <c r="D826" s="5" t="s">
        <v>172</v>
      </c>
      <c r="E826" s="5" t="n">
        <v>135</v>
      </c>
      <c r="F826" s="5" t="s">
        <v>2097</v>
      </c>
      <c r="G826" s="5" t="n">
        <v>4</v>
      </c>
      <c r="H826" s="5" t="s">
        <v>53</v>
      </c>
      <c r="I826" s="5" t="s">
        <v>54</v>
      </c>
      <c r="J826" s="5" t="s">
        <v>181</v>
      </c>
      <c r="K826" s="5" t="s">
        <v>223</v>
      </c>
      <c r="L826" s="5" t="n">
        <v>3</v>
      </c>
      <c r="M826" s="5" t="n">
        <v>4</v>
      </c>
      <c r="N826" s="5" t="n">
        <v>6</v>
      </c>
      <c r="O826" s="5" t="n">
        <v>4</v>
      </c>
      <c r="P826" s="5" t="n">
        <v>1</v>
      </c>
      <c r="Q826" s="5" t="n">
        <v>-0.5</v>
      </c>
      <c r="R826" s="5" t="n">
        <v>6</v>
      </c>
      <c r="S826" s="5" t="n">
        <v>6</v>
      </c>
      <c r="T826" s="5" t="s">
        <v>2098</v>
      </c>
      <c r="U826" s="6"/>
      <c r="V826" s="6"/>
      <c r="W826" s="6"/>
      <c r="X826" s="6"/>
      <c r="Y826" s="7" t="str">
        <f aca="false">IF(COUNT(U826:X826)=4,(W826-X826)/2,"")</f>
        <v/>
      </c>
      <c r="Z826" s="7" t="str">
        <f aca="false">IF(COUNT(U826:X826)=4,(U826-V826)/2,"")</f>
        <v/>
      </c>
      <c r="AA826" s="7" t="str">
        <f aca="false">IF(COUNT(U826:X826)=4,MAX(1,MIN(10,ROUNDUP(5-Z826,0))),"")</f>
        <v/>
      </c>
      <c r="AB826" s="7" t="str">
        <f aca="false">IF(COUNT(U826:X826)=4,MAX(1,MIN(10,ROUNDUP(Y826+5,0))),"")</f>
        <v/>
      </c>
      <c r="AC826" s="6"/>
      <c r="AD826" s="6"/>
    </row>
    <row r="827" customFormat="false" ht="15" hidden="false" customHeight="true" outlineLevel="0" collapsed="false">
      <c r="A827" s="5" t="n">
        <v>826</v>
      </c>
      <c r="B827" s="5" t="s">
        <v>2099</v>
      </c>
      <c r="C827" s="5" t="s">
        <v>108</v>
      </c>
      <c r="D827" s="5" t="s">
        <v>109</v>
      </c>
      <c r="E827" s="5" t="n">
        <v>135</v>
      </c>
      <c r="F827" s="5" t="s">
        <v>2099</v>
      </c>
      <c r="G827" s="5" t="n">
        <v>4</v>
      </c>
      <c r="H827" s="5" t="s">
        <v>53</v>
      </c>
      <c r="I827" s="5" t="s">
        <v>54</v>
      </c>
      <c r="J827" s="5" t="s">
        <v>117</v>
      </c>
      <c r="K827" s="5" t="s">
        <v>117</v>
      </c>
      <c r="L827" s="5" t="n">
        <v>3</v>
      </c>
      <c r="M827" s="5" t="n">
        <v>1</v>
      </c>
      <c r="N827" s="5" t="n">
        <v>2</v>
      </c>
      <c r="O827" s="5" t="n">
        <v>7</v>
      </c>
      <c r="P827" s="5" t="n">
        <v>-2.5</v>
      </c>
      <c r="Q827" s="5" t="n">
        <v>1</v>
      </c>
      <c r="R827" s="5" t="n">
        <v>4</v>
      </c>
      <c r="S827" s="5" t="n">
        <v>3</v>
      </c>
      <c r="T827" s="5" t="s">
        <v>1519</v>
      </c>
      <c r="U827" s="6"/>
      <c r="V827" s="6"/>
      <c r="W827" s="6"/>
      <c r="X827" s="6"/>
      <c r="Y827" s="7" t="str">
        <f aca="false">IF(COUNT(U827:X827)=4,(W827-X827)/2,"")</f>
        <v/>
      </c>
      <c r="Z827" s="7" t="str">
        <f aca="false">IF(COUNT(U827:X827)=4,(U827-V827)/2,"")</f>
        <v/>
      </c>
      <c r="AA827" s="7" t="str">
        <f aca="false">IF(COUNT(U827:X827)=4,MAX(1,MIN(10,ROUNDUP(5-Z827,0))),"")</f>
        <v/>
      </c>
      <c r="AB827" s="7" t="str">
        <f aca="false">IF(COUNT(U827:X827)=4,MAX(1,MIN(10,ROUNDUP(Y827+5,0))),"")</f>
        <v/>
      </c>
      <c r="AC827" s="6"/>
      <c r="AD827" s="6"/>
    </row>
    <row r="828" customFormat="false" ht="15" hidden="false" customHeight="true" outlineLevel="0" collapsed="false">
      <c r="A828" s="5" t="n">
        <v>827</v>
      </c>
      <c r="B828" s="5" t="s">
        <v>2100</v>
      </c>
      <c r="C828" s="5" t="s">
        <v>171</v>
      </c>
      <c r="D828" s="5" t="s">
        <v>172</v>
      </c>
      <c r="E828" s="5" t="n">
        <v>135</v>
      </c>
      <c r="F828" s="5" t="s">
        <v>2101</v>
      </c>
      <c r="G828" s="5" t="n">
        <v>4</v>
      </c>
      <c r="H828" s="5" t="s">
        <v>53</v>
      </c>
      <c r="I828" s="5" t="s">
        <v>54</v>
      </c>
      <c r="J828" s="5" t="s">
        <v>181</v>
      </c>
      <c r="K828" s="5" t="s">
        <v>223</v>
      </c>
      <c r="L828" s="5" t="n">
        <v>3</v>
      </c>
      <c r="M828" s="5" t="n">
        <v>4</v>
      </c>
      <c r="N828" s="5" t="n">
        <v>6</v>
      </c>
      <c r="O828" s="5" t="n">
        <v>4</v>
      </c>
      <c r="P828" s="5" t="n">
        <v>1</v>
      </c>
      <c r="Q828" s="5" t="n">
        <v>-0.5</v>
      </c>
      <c r="R828" s="5" t="n">
        <v>6</v>
      </c>
      <c r="S828" s="5" t="n">
        <v>6</v>
      </c>
      <c r="T828" s="5" t="s">
        <v>2102</v>
      </c>
      <c r="U828" s="6"/>
      <c r="V828" s="6"/>
      <c r="W828" s="6"/>
      <c r="X828" s="6"/>
      <c r="Y828" s="7" t="str">
        <f aca="false">IF(COUNT(U828:X828)=4,(W828-X828)/2,"")</f>
        <v/>
      </c>
      <c r="Z828" s="7" t="str">
        <f aca="false">IF(COUNT(U828:X828)=4,(U828-V828)/2,"")</f>
        <v/>
      </c>
      <c r="AA828" s="7" t="str">
        <f aca="false">IF(COUNT(U828:X828)=4,MAX(1,MIN(10,ROUNDUP(5-Z828,0))),"")</f>
        <v/>
      </c>
      <c r="AB828" s="7" t="str">
        <f aca="false">IF(COUNT(U828:X828)=4,MAX(1,MIN(10,ROUNDUP(Y828+5,0))),"")</f>
        <v/>
      </c>
      <c r="AC828" s="6"/>
      <c r="AD828" s="6"/>
    </row>
    <row r="829" customFormat="false" ht="15" hidden="false" customHeight="true" outlineLevel="0" collapsed="false">
      <c r="A829" s="5" t="n">
        <v>828</v>
      </c>
      <c r="B829" s="5" t="s">
        <v>2103</v>
      </c>
      <c r="C829" s="5" t="s">
        <v>171</v>
      </c>
      <c r="D829" s="5" t="s">
        <v>172</v>
      </c>
      <c r="E829" s="5" t="n">
        <v>134</v>
      </c>
      <c r="F829" s="5" t="s">
        <v>2104</v>
      </c>
      <c r="G829" s="5" t="n">
        <v>4</v>
      </c>
      <c r="H829" s="5" t="s">
        <v>53</v>
      </c>
      <c r="I829" s="5" t="s">
        <v>81</v>
      </c>
      <c r="J829" s="5" t="s">
        <v>174</v>
      </c>
      <c r="K829" s="5" t="s">
        <v>175</v>
      </c>
      <c r="L829" s="5" t="n">
        <v>8</v>
      </c>
      <c r="M829" s="5" t="n">
        <v>1</v>
      </c>
      <c r="N829" s="5" t="n">
        <v>2</v>
      </c>
      <c r="O829" s="5" t="n">
        <v>10</v>
      </c>
      <c r="P829" s="5" t="n">
        <v>-4</v>
      </c>
      <c r="Q829" s="5" t="n">
        <v>3.5</v>
      </c>
      <c r="R829" s="5" t="n">
        <v>2</v>
      </c>
      <c r="S829" s="5" t="n">
        <v>1</v>
      </c>
      <c r="T829" s="5" t="s">
        <v>328</v>
      </c>
      <c r="U829" s="6"/>
      <c r="V829" s="6"/>
      <c r="W829" s="6"/>
      <c r="X829" s="6"/>
      <c r="Y829" s="7" t="str">
        <f aca="false">IF(COUNT(U829:X829)=4,(W829-X829)/2,"")</f>
        <v/>
      </c>
      <c r="Z829" s="7" t="str">
        <f aca="false">IF(COUNT(U829:X829)=4,(U829-V829)/2,"")</f>
        <v/>
      </c>
      <c r="AA829" s="7" t="str">
        <f aca="false">IF(COUNT(U829:X829)=4,MAX(1,MIN(10,ROUNDUP(5-Z829,0))),"")</f>
        <v/>
      </c>
      <c r="AB829" s="7" t="str">
        <f aca="false">IF(COUNT(U829:X829)=4,MAX(1,MIN(10,ROUNDUP(Y829+5,0))),"")</f>
        <v/>
      </c>
      <c r="AC829" s="6"/>
      <c r="AD829" s="6"/>
    </row>
    <row r="830" customFormat="false" ht="15" hidden="false" customHeight="true" outlineLevel="0" collapsed="false">
      <c r="A830" s="5" t="n">
        <v>829</v>
      </c>
      <c r="B830" s="5" t="s">
        <v>2105</v>
      </c>
      <c r="C830" s="5" t="s">
        <v>171</v>
      </c>
      <c r="D830" s="5" t="s">
        <v>172</v>
      </c>
      <c r="E830" s="5" t="n">
        <v>134</v>
      </c>
      <c r="F830" s="5" t="s">
        <v>2106</v>
      </c>
      <c r="G830" s="5" t="n">
        <v>4</v>
      </c>
      <c r="H830" s="5" t="s">
        <v>53</v>
      </c>
      <c r="I830" s="5" t="s">
        <v>54</v>
      </c>
      <c r="J830" s="5" t="s">
        <v>181</v>
      </c>
      <c r="K830" s="5" t="s">
        <v>443</v>
      </c>
      <c r="L830" s="5" t="n">
        <v>5</v>
      </c>
      <c r="M830" s="5" t="n">
        <v>3</v>
      </c>
      <c r="N830" s="5" t="n">
        <v>4</v>
      </c>
      <c r="O830" s="5" t="n">
        <v>8</v>
      </c>
      <c r="P830" s="5" t="n">
        <v>-2</v>
      </c>
      <c r="Q830" s="5" t="n">
        <v>1</v>
      </c>
      <c r="R830" s="5" t="n">
        <v>4</v>
      </c>
      <c r="S830" s="5" t="n">
        <v>3</v>
      </c>
      <c r="T830" s="5" t="s">
        <v>1343</v>
      </c>
      <c r="U830" s="6"/>
      <c r="V830" s="6"/>
      <c r="W830" s="6"/>
      <c r="X830" s="6"/>
      <c r="Y830" s="7" t="str">
        <f aca="false">IF(COUNT(U830:X830)=4,(W830-X830)/2,"")</f>
        <v/>
      </c>
      <c r="Z830" s="7" t="str">
        <f aca="false">IF(COUNT(U830:X830)=4,(U830-V830)/2,"")</f>
        <v/>
      </c>
      <c r="AA830" s="7" t="str">
        <f aca="false">IF(COUNT(U830:X830)=4,MAX(1,MIN(10,ROUNDUP(5-Z830,0))),"")</f>
        <v/>
      </c>
      <c r="AB830" s="7" t="str">
        <f aca="false">IF(COUNT(U830:X830)=4,MAX(1,MIN(10,ROUNDUP(Y830+5,0))),"")</f>
        <v/>
      </c>
      <c r="AC830" s="6"/>
      <c r="AD830" s="6"/>
    </row>
    <row r="831" customFormat="false" ht="15" hidden="false" customHeight="true" outlineLevel="0" collapsed="false">
      <c r="A831" s="5" t="n">
        <v>830</v>
      </c>
      <c r="B831" s="5" t="s">
        <v>2107</v>
      </c>
      <c r="C831" s="5" t="s">
        <v>62</v>
      </c>
      <c r="D831" s="5" t="s">
        <v>63</v>
      </c>
      <c r="E831" s="5" t="n">
        <v>134</v>
      </c>
      <c r="F831" s="5" t="s">
        <v>2107</v>
      </c>
      <c r="G831" s="5" t="n">
        <v>1</v>
      </c>
      <c r="H831" s="5" t="s">
        <v>47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 t="s">
        <v>1375</v>
      </c>
      <c r="U831" s="6"/>
      <c r="V831" s="6"/>
      <c r="W831" s="6"/>
      <c r="X831" s="6"/>
      <c r="Y831" s="7" t="str">
        <f aca="false">IF(COUNT(U831:X831)=4,(W831-X831)/2,"")</f>
        <v/>
      </c>
      <c r="Z831" s="7" t="str">
        <f aca="false">IF(COUNT(U831:X831)=4,(U831-V831)/2,"")</f>
        <v/>
      </c>
      <c r="AA831" s="7" t="str">
        <f aca="false">IF(COUNT(U831:X831)=4,MAX(1,MIN(10,ROUNDUP(5-Z831,0))),"")</f>
        <v/>
      </c>
      <c r="AB831" s="7" t="str">
        <f aca="false">IF(COUNT(U831:X831)=4,MAX(1,MIN(10,ROUNDUP(Y831+5,0))),"")</f>
        <v/>
      </c>
      <c r="AC831" s="6"/>
      <c r="AD831" s="6"/>
    </row>
    <row r="832" customFormat="false" ht="15" hidden="false" customHeight="true" outlineLevel="0" collapsed="false">
      <c r="A832" s="5" t="n">
        <v>831</v>
      </c>
      <c r="B832" s="5" t="s">
        <v>2108</v>
      </c>
      <c r="C832" s="5" t="s">
        <v>145</v>
      </c>
      <c r="D832" s="5" t="s">
        <v>51</v>
      </c>
      <c r="E832" s="5" t="n">
        <v>134</v>
      </c>
      <c r="F832" s="5" t="s">
        <v>2109</v>
      </c>
      <c r="G832" s="5" t="n">
        <v>4</v>
      </c>
      <c r="H832" s="5" t="s">
        <v>53</v>
      </c>
      <c r="I832" s="5" t="s">
        <v>54</v>
      </c>
      <c r="J832" s="5" t="s">
        <v>181</v>
      </c>
      <c r="K832" s="5" t="s">
        <v>443</v>
      </c>
      <c r="L832" s="5" t="n">
        <v>8</v>
      </c>
      <c r="M832" s="5" t="n">
        <v>3</v>
      </c>
      <c r="N832" s="5" t="n">
        <v>4</v>
      </c>
      <c r="O832" s="5" t="n">
        <v>8</v>
      </c>
      <c r="P832" s="5" t="n">
        <v>-2</v>
      </c>
      <c r="Q832" s="5" t="n">
        <v>2.5</v>
      </c>
      <c r="R832" s="5" t="n">
        <v>3</v>
      </c>
      <c r="S832" s="5" t="n">
        <v>3</v>
      </c>
      <c r="T832" s="5" t="s">
        <v>92</v>
      </c>
      <c r="U832" s="6"/>
      <c r="V832" s="6"/>
      <c r="W832" s="6"/>
      <c r="X832" s="6"/>
      <c r="Y832" s="7" t="str">
        <f aca="false">IF(COUNT(U832:X832)=4,(W832-X832)/2,"")</f>
        <v/>
      </c>
      <c r="Z832" s="7" t="str">
        <f aca="false">IF(COUNT(U832:X832)=4,(U832-V832)/2,"")</f>
        <v/>
      </c>
      <c r="AA832" s="7" t="str">
        <f aca="false">IF(COUNT(U832:X832)=4,MAX(1,MIN(10,ROUNDUP(5-Z832,0))),"")</f>
        <v/>
      </c>
      <c r="AB832" s="7" t="str">
        <f aca="false">IF(COUNT(U832:X832)=4,MAX(1,MIN(10,ROUNDUP(Y832+5,0))),"")</f>
        <v/>
      </c>
      <c r="AC832" s="6"/>
      <c r="AD832" s="6"/>
    </row>
    <row r="833" customFormat="false" ht="15" hidden="false" customHeight="true" outlineLevel="0" collapsed="false">
      <c r="A833" s="5" t="n">
        <v>832</v>
      </c>
      <c r="B833" s="5" t="s">
        <v>2110</v>
      </c>
      <c r="C833" s="5" t="s">
        <v>145</v>
      </c>
      <c r="D833" s="5" t="s">
        <v>51</v>
      </c>
      <c r="E833" s="5" t="n">
        <v>133</v>
      </c>
      <c r="F833" s="5" t="s">
        <v>2111</v>
      </c>
      <c r="G833" s="5" t="n">
        <v>4</v>
      </c>
      <c r="H833" s="5" t="s">
        <v>53</v>
      </c>
      <c r="I833" s="5" t="s">
        <v>54</v>
      </c>
      <c r="J833" s="5" t="s">
        <v>55</v>
      </c>
      <c r="K833" s="5" t="s">
        <v>55</v>
      </c>
      <c r="L833" s="5" t="n">
        <v>6</v>
      </c>
      <c r="M833" s="5" t="n">
        <v>3</v>
      </c>
      <c r="N833" s="5" t="n">
        <v>5</v>
      </c>
      <c r="O833" s="5" t="n">
        <v>8</v>
      </c>
      <c r="P833" s="5" t="n">
        <v>-1.5</v>
      </c>
      <c r="Q833" s="5" t="n">
        <v>1.5</v>
      </c>
      <c r="R833" s="5" t="n">
        <v>4</v>
      </c>
      <c r="S833" s="5" t="n">
        <v>4</v>
      </c>
      <c r="T833" s="5" t="s">
        <v>2112</v>
      </c>
      <c r="U833" s="6"/>
      <c r="V833" s="6"/>
      <c r="W833" s="6"/>
      <c r="X833" s="6"/>
      <c r="Y833" s="7" t="str">
        <f aca="false">IF(COUNT(U833:X833)=4,(W833-X833)/2,"")</f>
        <v/>
      </c>
      <c r="Z833" s="7" t="str">
        <f aca="false">IF(COUNT(U833:X833)=4,(U833-V833)/2,"")</f>
        <v/>
      </c>
      <c r="AA833" s="7" t="str">
        <f aca="false">IF(COUNT(U833:X833)=4,MAX(1,MIN(10,ROUNDUP(5-Z833,0))),"")</f>
        <v/>
      </c>
      <c r="AB833" s="7" t="str">
        <f aca="false">IF(COUNT(U833:X833)=4,MAX(1,MIN(10,ROUNDUP(Y833+5,0))),"")</f>
        <v/>
      </c>
      <c r="AC833" s="6"/>
      <c r="AD833" s="6"/>
    </row>
    <row r="834" customFormat="false" ht="15" hidden="false" customHeight="true" outlineLevel="0" collapsed="false">
      <c r="A834" s="5" t="n">
        <v>833</v>
      </c>
      <c r="B834" s="5" t="s">
        <v>2113</v>
      </c>
      <c r="C834" s="5" t="s">
        <v>171</v>
      </c>
      <c r="D834" s="5" t="s">
        <v>172</v>
      </c>
      <c r="E834" s="5" t="n">
        <v>133</v>
      </c>
      <c r="F834" s="5" t="s">
        <v>2114</v>
      </c>
      <c r="G834" s="5" t="n">
        <v>4</v>
      </c>
      <c r="H834" s="5" t="s">
        <v>53</v>
      </c>
      <c r="I834" s="5" t="s">
        <v>54</v>
      </c>
      <c r="J834" s="5" t="s">
        <v>181</v>
      </c>
      <c r="K834" s="5" t="s">
        <v>223</v>
      </c>
      <c r="L834" s="5" t="n">
        <v>4</v>
      </c>
      <c r="M834" s="5" t="n">
        <v>4</v>
      </c>
      <c r="N834" s="5" t="n">
        <v>6</v>
      </c>
      <c r="O834" s="5" t="n">
        <v>5</v>
      </c>
      <c r="P834" s="5" t="n">
        <v>0.5</v>
      </c>
      <c r="Q834" s="5" t="n">
        <v>0</v>
      </c>
      <c r="R834" s="5" t="n">
        <v>5</v>
      </c>
      <c r="S834" s="5" t="n">
        <v>6</v>
      </c>
      <c r="T834" s="5" t="s">
        <v>2115</v>
      </c>
      <c r="U834" s="6"/>
      <c r="V834" s="6"/>
      <c r="W834" s="6"/>
      <c r="X834" s="6"/>
      <c r="Y834" s="7" t="str">
        <f aca="false">IF(COUNT(U834:X834)=4,(W834-X834)/2,"")</f>
        <v/>
      </c>
      <c r="Z834" s="7" t="str">
        <f aca="false">IF(COUNT(U834:X834)=4,(U834-V834)/2,"")</f>
        <v/>
      </c>
      <c r="AA834" s="7" t="str">
        <f aca="false">IF(COUNT(U834:X834)=4,MAX(1,MIN(10,ROUNDUP(5-Z834,0))),"")</f>
        <v/>
      </c>
      <c r="AB834" s="7" t="str">
        <f aca="false">IF(COUNT(U834:X834)=4,MAX(1,MIN(10,ROUNDUP(Y834+5,0))),"")</f>
        <v/>
      </c>
      <c r="AC834" s="6"/>
      <c r="AD834" s="6"/>
    </row>
    <row r="835" customFormat="false" ht="15" hidden="false" customHeight="true" outlineLevel="0" collapsed="false">
      <c r="A835" s="5" t="n">
        <v>834</v>
      </c>
      <c r="B835" s="5" t="s">
        <v>2116</v>
      </c>
      <c r="C835" s="5" t="s">
        <v>108</v>
      </c>
      <c r="D835" s="5" t="s">
        <v>109</v>
      </c>
      <c r="E835" s="5" t="n">
        <v>133</v>
      </c>
      <c r="F835" s="5" t="s">
        <v>2116</v>
      </c>
      <c r="G835" s="5" t="n">
        <v>2</v>
      </c>
      <c r="H835" s="5" t="s">
        <v>47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 t="s">
        <v>2117</v>
      </c>
      <c r="U835" s="6"/>
      <c r="V835" s="6"/>
      <c r="W835" s="6"/>
      <c r="X835" s="6"/>
      <c r="Y835" s="7" t="str">
        <f aca="false">IF(COUNT(U835:X835)=4,(W835-X835)/2,"")</f>
        <v/>
      </c>
      <c r="Z835" s="7" t="str">
        <f aca="false">IF(COUNT(U835:X835)=4,(U835-V835)/2,"")</f>
        <v/>
      </c>
      <c r="AA835" s="7" t="str">
        <f aca="false">IF(COUNT(U835:X835)=4,MAX(1,MIN(10,ROUNDUP(5-Z835,0))),"")</f>
        <v/>
      </c>
      <c r="AB835" s="7" t="str">
        <f aca="false">IF(COUNT(U835:X835)=4,MAX(1,MIN(10,ROUNDUP(Y835+5,0))),"")</f>
        <v/>
      </c>
      <c r="AC835" s="6"/>
      <c r="AD835" s="6"/>
    </row>
    <row r="836" customFormat="false" ht="15" hidden="false" customHeight="true" outlineLevel="0" collapsed="false">
      <c r="A836" s="5" t="n">
        <v>835</v>
      </c>
      <c r="B836" s="5" t="s">
        <v>2118</v>
      </c>
      <c r="C836" s="5" t="s">
        <v>145</v>
      </c>
      <c r="D836" s="5" t="s">
        <v>51</v>
      </c>
      <c r="E836" s="5" t="n">
        <v>132</v>
      </c>
      <c r="F836" s="5" t="s">
        <v>2119</v>
      </c>
      <c r="G836" s="5" t="n">
        <v>4</v>
      </c>
      <c r="H836" s="5" t="s">
        <v>53</v>
      </c>
      <c r="I836" s="5" t="s">
        <v>54</v>
      </c>
      <c r="J836" s="5" t="s">
        <v>181</v>
      </c>
      <c r="K836" s="5" t="s">
        <v>182</v>
      </c>
      <c r="L836" s="5" t="n">
        <v>3</v>
      </c>
      <c r="M836" s="5" t="n">
        <v>6</v>
      </c>
      <c r="N836" s="5" t="n">
        <v>7</v>
      </c>
      <c r="O836" s="5" t="n">
        <v>3</v>
      </c>
      <c r="P836" s="5" t="n">
        <v>2</v>
      </c>
      <c r="Q836" s="5" t="n">
        <v>-1.5</v>
      </c>
      <c r="R836" s="5" t="n">
        <v>7</v>
      </c>
      <c r="S836" s="5" t="n">
        <v>7</v>
      </c>
      <c r="T836" s="5" t="s">
        <v>1995</v>
      </c>
      <c r="U836" s="6"/>
      <c r="V836" s="6"/>
      <c r="W836" s="6"/>
      <c r="X836" s="6"/>
      <c r="Y836" s="7" t="str">
        <f aca="false">IF(COUNT(U836:X836)=4,(W836-X836)/2,"")</f>
        <v/>
      </c>
      <c r="Z836" s="7" t="str">
        <f aca="false">IF(COUNT(U836:X836)=4,(U836-V836)/2,"")</f>
        <v/>
      </c>
      <c r="AA836" s="7" t="str">
        <f aca="false">IF(COUNT(U836:X836)=4,MAX(1,MIN(10,ROUNDUP(5-Z836,0))),"")</f>
        <v/>
      </c>
      <c r="AB836" s="7" t="str">
        <f aca="false">IF(COUNT(U836:X836)=4,MAX(1,MIN(10,ROUNDUP(Y836+5,0))),"")</f>
        <v/>
      </c>
      <c r="AC836" s="6"/>
      <c r="AD836" s="6"/>
    </row>
    <row r="837" customFormat="false" ht="15" hidden="false" customHeight="true" outlineLevel="0" collapsed="false">
      <c r="A837" s="5" t="n">
        <v>836</v>
      </c>
      <c r="B837" s="5" t="s">
        <v>2120</v>
      </c>
      <c r="C837" s="5" t="s">
        <v>171</v>
      </c>
      <c r="D837" s="5" t="s">
        <v>172</v>
      </c>
      <c r="E837" s="5" t="n">
        <v>132</v>
      </c>
      <c r="F837" s="5" t="s">
        <v>2121</v>
      </c>
      <c r="G837" s="5" t="n">
        <v>4</v>
      </c>
      <c r="H837" s="5" t="s">
        <v>53</v>
      </c>
      <c r="I837" s="5" t="s">
        <v>54</v>
      </c>
      <c r="J837" s="5" t="s">
        <v>181</v>
      </c>
      <c r="K837" s="5" t="s">
        <v>279</v>
      </c>
      <c r="L837" s="5" t="n">
        <v>4</v>
      </c>
      <c r="M837" s="5" t="n">
        <v>4</v>
      </c>
      <c r="N837" s="5" t="n">
        <v>5</v>
      </c>
      <c r="O837" s="5" t="n">
        <v>7</v>
      </c>
      <c r="P837" s="5" t="n">
        <v>-1</v>
      </c>
      <c r="Q837" s="5" t="n">
        <v>0</v>
      </c>
      <c r="R837" s="5" t="n">
        <v>5</v>
      </c>
      <c r="S837" s="5" t="n">
        <v>4</v>
      </c>
      <c r="T837" s="5" t="s">
        <v>389</v>
      </c>
      <c r="U837" s="6"/>
      <c r="V837" s="6"/>
      <c r="W837" s="6"/>
      <c r="X837" s="6"/>
      <c r="Y837" s="7" t="str">
        <f aca="false">IF(COUNT(U837:X837)=4,(W837-X837)/2,"")</f>
        <v/>
      </c>
      <c r="Z837" s="7" t="str">
        <f aca="false">IF(COUNT(U837:X837)=4,(U837-V837)/2,"")</f>
        <v/>
      </c>
      <c r="AA837" s="7" t="str">
        <f aca="false">IF(COUNT(U837:X837)=4,MAX(1,MIN(10,ROUNDUP(5-Z837,0))),"")</f>
        <v/>
      </c>
      <c r="AB837" s="7" t="str">
        <f aca="false">IF(COUNT(U837:X837)=4,MAX(1,MIN(10,ROUNDUP(Y837+5,0))),"")</f>
        <v/>
      </c>
      <c r="AC837" s="6"/>
      <c r="AD837" s="6"/>
    </row>
    <row r="838" customFormat="false" ht="15" hidden="false" customHeight="true" outlineLevel="0" collapsed="false">
      <c r="A838" s="5" t="n">
        <v>837</v>
      </c>
      <c r="B838" s="5" t="s">
        <v>2122</v>
      </c>
      <c r="C838" s="5" t="s">
        <v>145</v>
      </c>
      <c r="D838" s="5" t="s">
        <v>51</v>
      </c>
      <c r="E838" s="5" t="n">
        <v>132</v>
      </c>
      <c r="F838" s="5" t="s">
        <v>2123</v>
      </c>
      <c r="G838" s="5" t="n">
        <v>4</v>
      </c>
      <c r="H838" s="5" t="s">
        <v>53</v>
      </c>
      <c r="I838" s="5" t="s">
        <v>54</v>
      </c>
      <c r="J838" s="5" t="s">
        <v>181</v>
      </c>
      <c r="K838" s="5" t="s">
        <v>413</v>
      </c>
      <c r="L838" s="5" t="n">
        <v>6</v>
      </c>
      <c r="M838" s="5" t="n">
        <v>3</v>
      </c>
      <c r="N838" s="5" t="n">
        <v>3</v>
      </c>
      <c r="O838" s="5" t="n">
        <v>8</v>
      </c>
      <c r="P838" s="5" t="n">
        <v>-2.5</v>
      </c>
      <c r="Q838" s="5" t="n">
        <v>1.5</v>
      </c>
      <c r="R838" s="5" t="n">
        <v>4</v>
      </c>
      <c r="S838" s="5" t="n">
        <v>3</v>
      </c>
      <c r="T838" s="5" t="s">
        <v>1207</v>
      </c>
      <c r="U838" s="6"/>
      <c r="V838" s="6"/>
      <c r="W838" s="6"/>
      <c r="X838" s="6"/>
      <c r="Y838" s="7" t="str">
        <f aca="false">IF(COUNT(U838:X838)=4,(W838-X838)/2,"")</f>
        <v/>
      </c>
      <c r="Z838" s="7" t="str">
        <f aca="false">IF(COUNT(U838:X838)=4,(U838-V838)/2,"")</f>
        <v/>
      </c>
      <c r="AA838" s="7" t="str">
        <f aca="false">IF(COUNT(U838:X838)=4,MAX(1,MIN(10,ROUNDUP(5-Z838,0))),"")</f>
        <v/>
      </c>
      <c r="AB838" s="7" t="str">
        <f aca="false">IF(COUNT(U838:X838)=4,MAX(1,MIN(10,ROUNDUP(Y838+5,0))),"")</f>
        <v/>
      </c>
      <c r="AC838" s="6"/>
      <c r="AD838" s="6"/>
    </row>
    <row r="839" customFormat="false" ht="15" hidden="false" customHeight="true" outlineLevel="0" collapsed="false">
      <c r="A839" s="5" t="n">
        <v>838</v>
      </c>
      <c r="B839" s="5" t="s">
        <v>2124</v>
      </c>
      <c r="C839" s="5" t="s">
        <v>171</v>
      </c>
      <c r="D839" s="5" t="s">
        <v>172</v>
      </c>
      <c r="E839" s="5" t="n">
        <v>132</v>
      </c>
      <c r="F839" s="5" t="s">
        <v>2125</v>
      </c>
      <c r="G839" s="5" t="n">
        <v>4</v>
      </c>
      <c r="H839" s="5" t="s">
        <v>53</v>
      </c>
      <c r="I839" s="5" t="s">
        <v>54</v>
      </c>
      <c r="J839" s="5" t="s">
        <v>181</v>
      </c>
      <c r="K839" s="5" t="s">
        <v>443</v>
      </c>
      <c r="L839" s="5" t="n">
        <v>5</v>
      </c>
      <c r="M839" s="5" t="n">
        <v>3</v>
      </c>
      <c r="N839" s="5" t="n">
        <v>4</v>
      </c>
      <c r="O839" s="5" t="n">
        <v>8</v>
      </c>
      <c r="P839" s="5" t="n">
        <v>-2</v>
      </c>
      <c r="Q839" s="5" t="n">
        <v>1</v>
      </c>
      <c r="R839" s="5" t="n">
        <v>4</v>
      </c>
      <c r="S839" s="5" t="n">
        <v>3</v>
      </c>
      <c r="T839" s="5" t="s">
        <v>2126</v>
      </c>
      <c r="U839" s="6"/>
      <c r="V839" s="6"/>
      <c r="W839" s="6"/>
      <c r="X839" s="6"/>
      <c r="Y839" s="7" t="str">
        <f aca="false">IF(COUNT(U839:X839)=4,(W839-X839)/2,"")</f>
        <v/>
      </c>
      <c r="Z839" s="7" t="str">
        <f aca="false">IF(COUNT(U839:X839)=4,(U839-V839)/2,"")</f>
        <v/>
      </c>
      <c r="AA839" s="7" t="str">
        <f aca="false">IF(COUNT(U839:X839)=4,MAX(1,MIN(10,ROUNDUP(5-Z839,0))),"")</f>
        <v/>
      </c>
      <c r="AB839" s="7" t="str">
        <f aca="false">IF(COUNT(U839:X839)=4,MAX(1,MIN(10,ROUNDUP(Y839+5,0))),"")</f>
        <v/>
      </c>
      <c r="AC839" s="6"/>
      <c r="AD839" s="6"/>
    </row>
    <row r="840" customFormat="false" ht="15" hidden="false" customHeight="true" outlineLevel="0" collapsed="false">
      <c r="A840" s="5" t="n">
        <v>839</v>
      </c>
      <c r="B840" s="5" t="s">
        <v>2127</v>
      </c>
      <c r="C840" s="5" t="s">
        <v>108</v>
      </c>
      <c r="D840" s="5" t="s">
        <v>109</v>
      </c>
      <c r="E840" s="5" t="n">
        <v>132</v>
      </c>
      <c r="F840" s="5" t="s">
        <v>2127</v>
      </c>
      <c r="G840" s="5" t="n">
        <v>4</v>
      </c>
      <c r="H840" s="5" t="s">
        <v>53</v>
      </c>
      <c r="I840" s="5" t="s">
        <v>54</v>
      </c>
      <c r="J840" s="5" t="s">
        <v>117</v>
      </c>
      <c r="K840" s="5" t="s">
        <v>117</v>
      </c>
      <c r="L840" s="5" t="n">
        <v>3</v>
      </c>
      <c r="M840" s="5" t="n">
        <v>1</v>
      </c>
      <c r="N840" s="5" t="n">
        <v>2</v>
      </c>
      <c r="O840" s="5" t="n">
        <v>7</v>
      </c>
      <c r="P840" s="5" t="n">
        <v>-2.5</v>
      </c>
      <c r="Q840" s="5" t="n">
        <v>1</v>
      </c>
      <c r="R840" s="5" t="n">
        <v>4</v>
      </c>
      <c r="S840" s="5" t="n">
        <v>3</v>
      </c>
      <c r="T840" s="5" t="s">
        <v>1852</v>
      </c>
      <c r="U840" s="6"/>
      <c r="V840" s="6"/>
      <c r="W840" s="6"/>
      <c r="X840" s="6"/>
      <c r="Y840" s="7" t="str">
        <f aca="false">IF(COUNT(U840:X840)=4,(W840-X840)/2,"")</f>
        <v/>
      </c>
      <c r="Z840" s="7" t="str">
        <f aca="false">IF(COUNT(U840:X840)=4,(U840-V840)/2,"")</f>
        <v/>
      </c>
      <c r="AA840" s="7" t="str">
        <f aca="false">IF(COUNT(U840:X840)=4,MAX(1,MIN(10,ROUNDUP(5-Z840,0))),"")</f>
        <v/>
      </c>
      <c r="AB840" s="7" t="str">
        <f aca="false">IF(COUNT(U840:X840)=4,MAX(1,MIN(10,ROUNDUP(Y840+5,0))),"")</f>
        <v/>
      </c>
      <c r="AC840" s="6"/>
      <c r="AD840" s="6"/>
    </row>
    <row r="841" customFormat="false" ht="15" hidden="false" customHeight="true" outlineLevel="0" collapsed="false">
      <c r="A841" s="5" t="n">
        <v>840</v>
      </c>
      <c r="B841" s="5" t="s">
        <v>2128</v>
      </c>
      <c r="C841" s="5" t="s">
        <v>171</v>
      </c>
      <c r="D841" s="5" t="s">
        <v>172</v>
      </c>
      <c r="E841" s="5" t="n">
        <v>132</v>
      </c>
      <c r="F841" s="5" t="s">
        <v>2129</v>
      </c>
      <c r="G841" s="5" t="n">
        <v>4</v>
      </c>
      <c r="H841" s="5" t="s">
        <v>53</v>
      </c>
      <c r="I841" s="5" t="s">
        <v>54</v>
      </c>
      <c r="J841" s="5" t="s">
        <v>181</v>
      </c>
      <c r="K841" s="5" t="s">
        <v>673</v>
      </c>
      <c r="L841" s="5" t="n">
        <v>3</v>
      </c>
      <c r="M841" s="5" t="n">
        <v>7</v>
      </c>
      <c r="N841" s="5" t="n">
        <v>5</v>
      </c>
      <c r="O841" s="5" t="n">
        <v>6</v>
      </c>
      <c r="P841" s="5" t="n">
        <v>-0.5</v>
      </c>
      <c r="Q841" s="5" t="n">
        <v>-2</v>
      </c>
      <c r="R841" s="5" t="n">
        <v>7</v>
      </c>
      <c r="S841" s="5" t="n">
        <v>5</v>
      </c>
      <c r="T841" s="5" t="s">
        <v>2130</v>
      </c>
      <c r="U841" s="6"/>
      <c r="V841" s="6"/>
      <c r="W841" s="6"/>
      <c r="X841" s="6"/>
      <c r="Y841" s="7" t="str">
        <f aca="false">IF(COUNT(U841:X841)=4,(W841-X841)/2,"")</f>
        <v/>
      </c>
      <c r="Z841" s="7" t="str">
        <f aca="false">IF(COUNT(U841:X841)=4,(U841-V841)/2,"")</f>
        <v/>
      </c>
      <c r="AA841" s="7" t="str">
        <f aca="false">IF(COUNT(U841:X841)=4,MAX(1,MIN(10,ROUNDUP(5-Z841,0))),"")</f>
        <v/>
      </c>
      <c r="AB841" s="7" t="str">
        <f aca="false">IF(COUNT(U841:X841)=4,MAX(1,MIN(10,ROUNDUP(Y841+5,0))),"")</f>
        <v/>
      </c>
      <c r="AC841" s="6"/>
      <c r="AD841" s="6"/>
    </row>
    <row r="842" customFormat="false" ht="15" hidden="false" customHeight="true" outlineLevel="0" collapsed="false">
      <c r="A842" s="5" t="n">
        <v>841</v>
      </c>
      <c r="B842" s="5" t="s">
        <v>2131</v>
      </c>
      <c r="C842" s="5" t="s">
        <v>145</v>
      </c>
      <c r="D842" s="5" t="s">
        <v>51</v>
      </c>
      <c r="E842" s="5" t="n">
        <v>132</v>
      </c>
      <c r="F842" s="5" t="s">
        <v>2132</v>
      </c>
      <c r="G842" s="5" t="n">
        <v>4</v>
      </c>
      <c r="H842" s="5" t="s">
        <v>53</v>
      </c>
      <c r="I842" s="5" t="s">
        <v>54</v>
      </c>
      <c r="J842" s="5" t="s">
        <v>117</v>
      </c>
      <c r="K842" s="5" t="s">
        <v>117</v>
      </c>
      <c r="L842" s="5" t="n">
        <v>3</v>
      </c>
      <c r="M842" s="5" t="n">
        <v>3</v>
      </c>
      <c r="N842" s="5" t="n">
        <v>1</v>
      </c>
      <c r="O842" s="5" t="n">
        <v>9</v>
      </c>
      <c r="P842" s="5" t="n">
        <v>-4</v>
      </c>
      <c r="Q842" s="5" t="n">
        <v>0</v>
      </c>
      <c r="R842" s="5" t="n">
        <v>5</v>
      </c>
      <c r="S842" s="5" t="n">
        <v>1</v>
      </c>
      <c r="T842" s="5" t="s">
        <v>2133</v>
      </c>
      <c r="U842" s="6"/>
      <c r="V842" s="6"/>
      <c r="W842" s="6"/>
      <c r="X842" s="6"/>
      <c r="Y842" s="7" t="str">
        <f aca="false">IF(COUNT(U842:X842)=4,(W842-X842)/2,"")</f>
        <v/>
      </c>
      <c r="Z842" s="7" t="str">
        <f aca="false">IF(COUNT(U842:X842)=4,(U842-V842)/2,"")</f>
        <v/>
      </c>
      <c r="AA842" s="7" t="str">
        <f aca="false">IF(COUNT(U842:X842)=4,MAX(1,MIN(10,ROUNDUP(5-Z842,0))),"")</f>
        <v/>
      </c>
      <c r="AB842" s="7" t="str">
        <f aca="false">IF(COUNT(U842:X842)=4,MAX(1,MIN(10,ROUNDUP(Y842+5,0))),"")</f>
        <v/>
      </c>
      <c r="AC842" s="6"/>
      <c r="AD842" s="6"/>
    </row>
    <row r="843" customFormat="false" ht="15" hidden="false" customHeight="true" outlineLevel="0" collapsed="false">
      <c r="A843" s="5" t="n">
        <v>842</v>
      </c>
      <c r="B843" s="5" t="s">
        <v>2134</v>
      </c>
      <c r="C843" s="5" t="s">
        <v>171</v>
      </c>
      <c r="D843" s="5" t="s">
        <v>172</v>
      </c>
      <c r="E843" s="5" t="n">
        <v>131</v>
      </c>
      <c r="F843" s="5" t="s">
        <v>2135</v>
      </c>
      <c r="G843" s="5" t="n">
        <v>4</v>
      </c>
      <c r="H843" s="5" t="s">
        <v>53</v>
      </c>
      <c r="I843" s="5" t="s">
        <v>81</v>
      </c>
      <c r="J843" s="5" t="s">
        <v>174</v>
      </c>
      <c r="K843" s="5" t="s">
        <v>309</v>
      </c>
      <c r="L843" s="5" t="n">
        <v>6</v>
      </c>
      <c r="M843" s="5" t="n">
        <v>2</v>
      </c>
      <c r="N843" s="5" t="n">
        <v>3</v>
      </c>
      <c r="O843" s="5" t="n">
        <v>8</v>
      </c>
      <c r="P843" s="5" t="n">
        <v>-2.5</v>
      </c>
      <c r="Q843" s="5" t="n">
        <v>2</v>
      </c>
      <c r="R843" s="5" t="n">
        <v>3</v>
      </c>
      <c r="S843" s="5" t="n">
        <v>3</v>
      </c>
      <c r="T843" s="5" t="s">
        <v>2136</v>
      </c>
      <c r="U843" s="6"/>
      <c r="V843" s="6"/>
      <c r="W843" s="6"/>
      <c r="X843" s="6"/>
      <c r="Y843" s="7" t="str">
        <f aca="false">IF(COUNT(U843:X843)=4,(W843-X843)/2,"")</f>
        <v/>
      </c>
      <c r="Z843" s="7" t="str">
        <f aca="false">IF(COUNT(U843:X843)=4,(U843-V843)/2,"")</f>
        <v/>
      </c>
      <c r="AA843" s="7" t="str">
        <f aca="false">IF(COUNT(U843:X843)=4,MAX(1,MIN(10,ROUNDUP(5-Z843,0))),"")</f>
        <v/>
      </c>
      <c r="AB843" s="7" t="str">
        <f aca="false">IF(COUNT(U843:X843)=4,MAX(1,MIN(10,ROUNDUP(Y843+5,0))),"")</f>
        <v/>
      </c>
      <c r="AC843" s="6"/>
      <c r="AD843" s="6"/>
    </row>
    <row r="844" customFormat="false" ht="15" hidden="false" customHeight="true" outlineLevel="0" collapsed="false">
      <c r="A844" s="5" t="n">
        <v>843</v>
      </c>
      <c r="B844" s="5" t="s">
        <v>2137</v>
      </c>
      <c r="C844" s="5" t="s">
        <v>203</v>
      </c>
      <c r="D844" s="5" t="s">
        <v>204</v>
      </c>
      <c r="E844" s="5" t="n">
        <v>131</v>
      </c>
      <c r="F844" s="5" t="s">
        <v>2137</v>
      </c>
      <c r="G844" s="5" t="n">
        <v>4</v>
      </c>
      <c r="H844" s="5" t="s">
        <v>53</v>
      </c>
      <c r="I844" s="5" t="s">
        <v>54</v>
      </c>
      <c r="J844" s="5" t="s">
        <v>117</v>
      </c>
      <c r="K844" s="5" t="s">
        <v>117</v>
      </c>
      <c r="L844" s="5" t="n">
        <v>3</v>
      </c>
      <c r="M844" s="5" t="n">
        <v>3</v>
      </c>
      <c r="N844" s="5" t="n">
        <v>2</v>
      </c>
      <c r="O844" s="5" t="n">
        <v>7</v>
      </c>
      <c r="P844" s="5" t="n">
        <v>-2.5</v>
      </c>
      <c r="Q844" s="5" t="n">
        <v>0</v>
      </c>
      <c r="R844" s="5" t="n">
        <v>5</v>
      </c>
      <c r="S844" s="5" t="n">
        <v>3</v>
      </c>
      <c r="T844" s="5" t="s">
        <v>2138</v>
      </c>
      <c r="U844" s="6"/>
      <c r="V844" s="6"/>
      <c r="W844" s="6"/>
      <c r="X844" s="6"/>
      <c r="Y844" s="7" t="str">
        <f aca="false">IF(COUNT(U844:X844)=4,(W844-X844)/2,"")</f>
        <v/>
      </c>
      <c r="Z844" s="7" t="str">
        <f aca="false">IF(COUNT(U844:X844)=4,(U844-V844)/2,"")</f>
        <v/>
      </c>
      <c r="AA844" s="7" t="str">
        <f aca="false">IF(COUNT(U844:X844)=4,MAX(1,MIN(10,ROUNDUP(5-Z844,0))),"")</f>
        <v/>
      </c>
      <c r="AB844" s="7" t="str">
        <f aca="false">IF(COUNT(U844:X844)=4,MAX(1,MIN(10,ROUNDUP(Y844+5,0))),"")</f>
        <v/>
      </c>
      <c r="AC844" s="6"/>
      <c r="AD844" s="6"/>
    </row>
    <row r="845" customFormat="false" ht="15" hidden="false" customHeight="true" outlineLevel="0" collapsed="false">
      <c r="A845" s="5" t="n">
        <v>844</v>
      </c>
      <c r="B845" s="5" t="s">
        <v>2139</v>
      </c>
      <c r="C845" s="5" t="s">
        <v>171</v>
      </c>
      <c r="D845" s="5" t="s">
        <v>172</v>
      </c>
      <c r="E845" s="5" t="n">
        <v>131</v>
      </c>
      <c r="F845" s="5" t="s">
        <v>2140</v>
      </c>
      <c r="G845" s="5" t="n">
        <v>4</v>
      </c>
      <c r="H845" s="5" t="s">
        <v>53</v>
      </c>
      <c r="I845" s="5" t="s">
        <v>54</v>
      </c>
      <c r="J845" s="5" t="s">
        <v>181</v>
      </c>
      <c r="K845" s="5" t="s">
        <v>221</v>
      </c>
      <c r="L845" s="5" t="n">
        <v>2</v>
      </c>
      <c r="M845" s="5" t="n">
        <v>5</v>
      </c>
      <c r="N845" s="5" t="n">
        <v>6</v>
      </c>
      <c r="O845" s="5" t="n">
        <v>5</v>
      </c>
      <c r="P845" s="5" t="n">
        <v>0.5</v>
      </c>
      <c r="Q845" s="5" t="n">
        <v>-1.5</v>
      </c>
      <c r="R845" s="5" t="n">
        <v>7</v>
      </c>
      <c r="S845" s="5" t="n">
        <v>6</v>
      </c>
      <c r="T845" s="5" t="s">
        <v>1022</v>
      </c>
      <c r="U845" s="6"/>
      <c r="V845" s="6"/>
      <c r="W845" s="6"/>
      <c r="X845" s="6"/>
      <c r="Y845" s="7" t="str">
        <f aca="false">IF(COUNT(U845:X845)=4,(W845-X845)/2,"")</f>
        <v/>
      </c>
      <c r="Z845" s="7" t="str">
        <f aca="false">IF(COUNT(U845:X845)=4,(U845-V845)/2,"")</f>
        <v/>
      </c>
      <c r="AA845" s="7" t="str">
        <f aca="false">IF(COUNT(U845:X845)=4,MAX(1,MIN(10,ROUNDUP(5-Z845,0))),"")</f>
        <v/>
      </c>
      <c r="AB845" s="7" t="str">
        <f aca="false">IF(COUNT(U845:X845)=4,MAX(1,MIN(10,ROUNDUP(Y845+5,0))),"")</f>
        <v/>
      </c>
      <c r="AC845" s="6"/>
      <c r="AD845" s="6"/>
    </row>
    <row r="846" customFormat="false" ht="15" hidden="false" customHeight="true" outlineLevel="0" collapsed="false">
      <c r="A846" s="5" t="n">
        <v>845</v>
      </c>
      <c r="B846" s="5" t="s">
        <v>2141</v>
      </c>
      <c r="C846" s="5" t="s">
        <v>171</v>
      </c>
      <c r="D846" s="5" t="s">
        <v>172</v>
      </c>
      <c r="E846" s="5" t="n">
        <v>131</v>
      </c>
      <c r="F846" s="5" t="s">
        <v>2142</v>
      </c>
      <c r="G846" s="5" t="n">
        <v>4</v>
      </c>
      <c r="H846" s="5" t="s">
        <v>53</v>
      </c>
      <c r="I846" s="5" t="s">
        <v>81</v>
      </c>
      <c r="J846" s="5" t="s">
        <v>174</v>
      </c>
      <c r="K846" s="5" t="s">
        <v>175</v>
      </c>
      <c r="L846" s="5" t="n">
        <v>10</v>
      </c>
      <c r="M846" s="5" t="n">
        <v>1</v>
      </c>
      <c r="N846" s="5" t="n">
        <v>2</v>
      </c>
      <c r="O846" s="5" t="n">
        <v>10</v>
      </c>
      <c r="P846" s="5" t="n">
        <v>-4</v>
      </c>
      <c r="Q846" s="5" t="n">
        <v>4.5</v>
      </c>
      <c r="R846" s="5" t="n">
        <v>1</v>
      </c>
      <c r="S846" s="5" t="n">
        <v>1</v>
      </c>
      <c r="T846" s="5" t="s">
        <v>2143</v>
      </c>
      <c r="U846" s="6"/>
      <c r="V846" s="6"/>
      <c r="W846" s="6"/>
      <c r="X846" s="6"/>
      <c r="Y846" s="7" t="str">
        <f aca="false">IF(COUNT(U846:X846)=4,(W846-X846)/2,"")</f>
        <v/>
      </c>
      <c r="Z846" s="7" t="str">
        <f aca="false">IF(COUNT(U846:X846)=4,(U846-V846)/2,"")</f>
        <v/>
      </c>
      <c r="AA846" s="7" t="str">
        <f aca="false">IF(COUNT(U846:X846)=4,MAX(1,MIN(10,ROUNDUP(5-Z846,0))),"")</f>
        <v/>
      </c>
      <c r="AB846" s="7" t="str">
        <f aca="false">IF(COUNT(U846:X846)=4,MAX(1,MIN(10,ROUNDUP(Y846+5,0))),"")</f>
        <v/>
      </c>
      <c r="AC846" s="6"/>
      <c r="AD846" s="6"/>
    </row>
    <row r="847" customFormat="false" ht="15" hidden="false" customHeight="true" outlineLevel="0" collapsed="false">
      <c r="A847" s="5" t="n">
        <v>846</v>
      </c>
      <c r="B847" s="5" t="s">
        <v>2144</v>
      </c>
      <c r="C847" s="5" t="s">
        <v>145</v>
      </c>
      <c r="D847" s="5" t="s">
        <v>51</v>
      </c>
      <c r="E847" s="5" t="n">
        <v>131</v>
      </c>
      <c r="F847" s="5" t="s">
        <v>2145</v>
      </c>
      <c r="G847" s="5" t="n">
        <v>4</v>
      </c>
      <c r="H847" s="5" t="s">
        <v>53</v>
      </c>
      <c r="I847" s="5" t="s">
        <v>54</v>
      </c>
      <c r="J847" s="5" t="s">
        <v>181</v>
      </c>
      <c r="K847" s="5" t="s">
        <v>221</v>
      </c>
      <c r="L847" s="5" t="n">
        <v>2</v>
      </c>
      <c r="M847" s="5" t="n">
        <v>5</v>
      </c>
      <c r="N847" s="5" t="n">
        <v>6</v>
      </c>
      <c r="O847" s="5" t="n">
        <v>5</v>
      </c>
      <c r="P847" s="5" t="n">
        <v>0.5</v>
      </c>
      <c r="Q847" s="5" t="n">
        <v>-1.5</v>
      </c>
      <c r="R847" s="5" t="n">
        <v>7</v>
      </c>
      <c r="S847" s="5" t="n">
        <v>6</v>
      </c>
      <c r="T847" s="5" t="s">
        <v>2146</v>
      </c>
      <c r="U847" s="6"/>
      <c r="V847" s="6"/>
      <c r="W847" s="6"/>
      <c r="X847" s="6"/>
      <c r="Y847" s="7" t="str">
        <f aca="false">IF(COUNT(U847:X847)=4,(W847-X847)/2,"")</f>
        <v/>
      </c>
      <c r="Z847" s="7" t="str">
        <f aca="false">IF(COUNT(U847:X847)=4,(U847-V847)/2,"")</f>
        <v/>
      </c>
      <c r="AA847" s="7" t="str">
        <f aca="false">IF(COUNT(U847:X847)=4,MAX(1,MIN(10,ROUNDUP(5-Z847,0))),"")</f>
        <v/>
      </c>
      <c r="AB847" s="7" t="str">
        <f aca="false">IF(COUNT(U847:X847)=4,MAX(1,MIN(10,ROUNDUP(Y847+5,0))),"")</f>
        <v/>
      </c>
      <c r="AC847" s="6"/>
      <c r="AD847" s="6"/>
    </row>
    <row r="848" customFormat="false" ht="15" hidden="false" customHeight="true" outlineLevel="0" collapsed="false">
      <c r="A848" s="5" t="n">
        <v>847</v>
      </c>
      <c r="B848" s="5" t="s">
        <v>2147</v>
      </c>
      <c r="C848" s="5" t="s">
        <v>145</v>
      </c>
      <c r="D848" s="5" t="s">
        <v>51</v>
      </c>
      <c r="E848" s="5" t="n">
        <v>130</v>
      </c>
      <c r="F848" s="5" t="s">
        <v>2148</v>
      </c>
      <c r="G848" s="5" t="n">
        <v>4</v>
      </c>
      <c r="H848" s="5" t="s">
        <v>53</v>
      </c>
      <c r="I848" s="5" t="s">
        <v>54</v>
      </c>
      <c r="J848" s="5" t="s">
        <v>181</v>
      </c>
      <c r="K848" s="5" t="s">
        <v>333</v>
      </c>
      <c r="L848" s="5" t="n">
        <v>3</v>
      </c>
      <c r="M848" s="5" t="n">
        <v>3</v>
      </c>
      <c r="N848" s="5" t="n">
        <v>9</v>
      </c>
      <c r="O848" s="5" t="n">
        <v>2</v>
      </c>
      <c r="P848" s="5" t="n">
        <v>3.5</v>
      </c>
      <c r="Q848" s="5" t="n">
        <v>0</v>
      </c>
      <c r="R848" s="5" t="n">
        <v>5</v>
      </c>
      <c r="S848" s="5" t="n">
        <v>9</v>
      </c>
      <c r="T848" s="5" t="s">
        <v>652</v>
      </c>
      <c r="U848" s="6"/>
      <c r="V848" s="6"/>
      <c r="W848" s="6"/>
      <c r="X848" s="6"/>
      <c r="Y848" s="7" t="str">
        <f aca="false">IF(COUNT(U848:X848)=4,(W848-X848)/2,"")</f>
        <v/>
      </c>
      <c r="Z848" s="7" t="str">
        <f aca="false">IF(COUNT(U848:X848)=4,(U848-V848)/2,"")</f>
        <v/>
      </c>
      <c r="AA848" s="7" t="str">
        <f aca="false">IF(COUNT(U848:X848)=4,MAX(1,MIN(10,ROUNDUP(5-Z848,0))),"")</f>
        <v/>
      </c>
      <c r="AB848" s="7" t="str">
        <f aca="false">IF(COUNT(U848:X848)=4,MAX(1,MIN(10,ROUNDUP(Y848+5,0))),"")</f>
        <v/>
      </c>
      <c r="AC848" s="6"/>
      <c r="AD848" s="6"/>
    </row>
    <row r="849" customFormat="false" ht="15" hidden="false" customHeight="true" outlineLevel="0" collapsed="false">
      <c r="A849" s="5" t="n">
        <v>848</v>
      </c>
      <c r="B849" s="5" t="s">
        <v>2149</v>
      </c>
      <c r="C849" s="5" t="s">
        <v>145</v>
      </c>
      <c r="D849" s="5" t="s">
        <v>51</v>
      </c>
      <c r="E849" s="5" t="n">
        <v>130</v>
      </c>
      <c r="F849" s="5" t="s">
        <v>2150</v>
      </c>
      <c r="G849" s="5" t="n">
        <v>4</v>
      </c>
      <c r="H849" s="5" t="s">
        <v>53</v>
      </c>
      <c r="I849" s="5" t="s">
        <v>54</v>
      </c>
      <c r="J849" s="5" t="s">
        <v>181</v>
      </c>
      <c r="K849" s="5" t="s">
        <v>673</v>
      </c>
      <c r="L849" s="5" t="n">
        <v>4</v>
      </c>
      <c r="M849" s="5" t="n">
        <v>4</v>
      </c>
      <c r="N849" s="5" t="n">
        <v>5</v>
      </c>
      <c r="O849" s="5" t="n">
        <v>6</v>
      </c>
      <c r="P849" s="5" t="n">
        <v>-0.5</v>
      </c>
      <c r="Q849" s="5" t="n">
        <v>0</v>
      </c>
      <c r="R849" s="5" t="n">
        <v>5</v>
      </c>
      <c r="S849" s="5" t="n">
        <v>5</v>
      </c>
      <c r="T849" s="5" t="s">
        <v>83</v>
      </c>
      <c r="U849" s="6"/>
      <c r="V849" s="6"/>
      <c r="W849" s="6"/>
      <c r="X849" s="6"/>
      <c r="Y849" s="7" t="str">
        <f aca="false">IF(COUNT(U849:X849)=4,(W849-X849)/2,"")</f>
        <v/>
      </c>
      <c r="Z849" s="7" t="str">
        <f aca="false">IF(COUNT(U849:X849)=4,(U849-V849)/2,"")</f>
        <v/>
      </c>
      <c r="AA849" s="7" t="str">
        <f aca="false">IF(COUNT(U849:X849)=4,MAX(1,MIN(10,ROUNDUP(5-Z849,0))),"")</f>
        <v/>
      </c>
      <c r="AB849" s="7" t="str">
        <f aca="false">IF(COUNT(U849:X849)=4,MAX(1,MIN(10,ROUNDUP(Y849+5,0))),"")</f>
        <v/>
      </c>
      <c r="AC849" s="6"/>
      <c r="AD849" s="6"/>
    </row>
    <row r="850" customFormat="false" ht="15" hidden="false" customHeight="true" outlineLevel="0" collapsed="false">
      <c r="A850" s="5" t="n">
        <v>849</v>
      </c>
      <c r="B850" s="5" t="s">
        <v>2151</v>
      </c>
      <c r="C850" s="5" t="s">
        <v>171</v>
      </c>
      <c r="D850" s="5" t="s">
        <v>172</v>
      </c>
      <c r="E850" s="5" t="n">
        <v>130</v>
      </c>
      <c r="F850" s="5" t="s">
        <v>2152</v>
      </c>
      <c r="G850" s="5" t="n">
        <v>4</v>
      </c>
      <c r="H850" s="5" t="s">
        <v>53</v>
      </c>
      <c r="I850" s="5" t="s">
        <v>54</v>
      </c>
      <c r="J850" s="5" t="s">
        <v>181</v>
      </c>
      <c r="K850" s="5" t="s">
        <v>593</v>
      </c>
      <c r="L850" s="5" t="n">
        <v>2</v>
      </c>
      <c r="M850" s="5" t="n">
        <v>6</v>
      </c>
      <c r="N850" s="5" t="n">
        <v>7</v>
      </c>
      <c r="O850" s="5" t="n">
        <v>3</v>
      </c>
      <c r="P850" s="5" t="n">
        <v>2</v>
      </c>
      <c r="Q850" s="5" t="n">
        <v>-2</v>
      </c>
      <c r="R850" s="5" t="n">
        <v>7</v>
      </c>
      <c r="S850" s="5" t="n">
        <v>7</v>
      </c>
      <c r="T850" s="5" t="s">
        <v>477</v>
      </c>
      <c r="U850" s="6"/>
      <c r="V850" s="6"/>
      <c r="W850" s="6"/>
      <c r="X850" s="6"/>
      <c r="Y850" s="7" t="str">
        <f aca="false">IF(COUNT(U850:X850)=4,(W850-X850)/2,"")</f>
        <v/>
      </c>
      <c r="Z850" s="7" t="str">
        <f aca="false">IF(COUNT(U850:X850)=4,(U850-V850)/2,"")</f>
        <v/>
      </c>
      <c r="AA850" s="7" t="str">
        <f aca="false">IF(COUNT(U850:X850)=4,MAX(1,MIN(10,ROUNDUP(5-Z850,0))),"")</f>
        <v/>
      </c>
      <c r="AB850" s="7" t="str">
        <f aca="false">IF(COUNT(U850:X850)=4,MAX(1,MIN(10,ROUNDUP(Y850+5,0))),"")</f>
        <v/>
      </c>
      <c r="AC850" s="6"/>
      <c r="AD850" s="6"/>
    </row>
    <row r="851" customFormat="false" ht="15" hidden="false" customHeight="true" outlineLevel="0" collapsed="false">
      <c r="A851" s="5" t="n">
        <v>850</v>
      </c>
      <c r="B851" s="5" t="s">
        <v>2153</v>
      </c>
      <c r="C851" s="5" t="s">
        <v>171</v>
      </c>
      <c r="D851" s="5" t="s">
        <v>172</v>
      </c>
      <c r="E851" s="5" t="n">
        <v>130</v>
      </c>
      <c r="F851" s="5" t="s">
        <v>2154</v>
      </c>
      <c r="G851" s="5" t="n">
        <v>4</v>
      </c>
      <c r="H851" s="5" t="s">
        <v>53</v>
      </c>
      <c r="I851" s="5" t="s">
        <v>54</v>
      </c>
      <c r="J851" s="5" t="s">
        <v>181</v>
      </c>
      <c r="K851" s="5" t="s">
        <v>223</v>
      </c>
      <c r="L851" s="5" t="n">
        <v>5</v>
      </c>
      <c r="M851" s="5" t="n">
        <v>4</v>
      </c>
      <c r="N851" s="5" t="n">
        <v>6</v>
      </c>
      <c r="O851" s="5" t="n">
        <v>5</v>
      </c>
      <c r="P851" s="5" t="n">
        <v>0.5</v>
      </c>
      <c r="Q851" s="5" t="n">
        <v>0.5</v>
      </c>
      <c r="R851" s="5" t="n">
        <v>5</v>
      </c>
      <c r="S851" s="5" t="n">
        <v>6</v>
      </c>
      <c r="T851" s="5" t="s">
        <v>328</v>
      </c>
      <c r="U851" s="6"/>
      <c r="V851" s="6"/>
      <c r="W851" s="6"/>
      <c r="X851" s="6"/>
      <c r="Y851" s="7" t="str">
        <f aca="false">IF(COUNT(U851:X851)=4,(W851-X851)/2,"")</f>
        <v/>
      </c>
      <c r="Z851" s="7" t="str">
        <f aca="false">IF(COUNT(U851:X851)=4,(U851-V851)/2,"")</f>
        <v/>
      </c>
      <c r="AA851" s="7" t="str">
        <f aca="false">IF(COUNT(U851:X851)=4,MAX(1,MIN(10,ROUNDUP(5-Z851,0))),"")</f>
        <v/>
      </c>
      <c r="AB851" s="7" t="str">
        <f aca="false">IF(COUNT(U851:X851)=4,MAX(1,MIN(10,ROUNDUP(Y851+5,0))),"")</f>
        <v/>
      </c>
      <c r="AC851" s="6"/>
      <c r="AD851" s="6"/>
    </row>
    <row r="852" customFormat="false" ht="15" hidden="false" customHeight="true" outlineLevel="0" collapsed="false">
      <c r="A852" s="5" t="n">
        <v>851</v>
      </c>
      <c r="B852" s="5" t="s">
        <v>2155</v>
      </c>
      <c r="C852" s="5" t="s">
        <v>171</v>
      </c>
      <c r="D852" s="5" t="s">
        <v>172</v>
      </c>
      <c r="E852" s="5" t="n">
        <v>130</v>
      </c>
      <c r="F852" s="5" t="s">
        <v>2156</v>
      </c>
      <c r="G852" s="5" t="n">
        <v>4</v>
      </c>
      <c r="H852" s="5" t="s">
        <v>53</v>
      </c>
      <c r="I852" s="5" t="s">
        <v>54</v>
      </c>
      <c r="J852" s="5" t="s">
        <v>181</v>
      </c>
      <c r="K852" s="5" t="s">
        <v>413</v>
      </c>
      <c r="L852" s="5" t="n">
        <v>5</v>
      </c>
      <c r="M852" s="5" t="n">
        <v>3</v>
      </c>
      <c r="N852" s="5" t="n">
        <v>3</v>
      </c>
      <c r="O852" s="5" t="n">
        <v>8</v>
      </c>
      <c r="P852" s="5" t="n">
        <v>-2.5</v>
      </c>
      <c r="Q852" s="5" t="n">
        <v>1</v>
      </c>
      <c r="R852" s="5" t="n">
        <v>4</v>
      </c>
      <c r="S852" s="5" t="n">
        <v>3</v>
      </c>
      <c r="T852" s="5" t="s">
        <v>2157</v>
      </c>
      <c r="U852" s="6"/>
      <c r="V852" s="6"/>
      <c r="W852" s="6"/>
      <c r="X852" s="6"/>
      <c r="Y852" s="7" t="str">
        <f aca="false">IF(COUNT(U852:X852)=4,(W852-X852)/2,"")</f>
        <v/>
      </c>
      <c r="Z852" s="7" t="str">
        <f aca="false">IF(COUNT(U852:X852)=4,(U852-V852)/2,"")</f>
        <v/>
      </c>
      <c r="AA852" s="7" t="str">
        <f aca="false">IF(COUNT(U852:X852)=4,MAX(1,MIN(10,ROUNDUP(5-Z852,0))),"")</f>
        <v/>
      </c>
      <c r="AB852" s="7" t="str">
        <f aca="false">IF(COUNT(U852:X852)=4,MAX(1,MIN(10,ROUNDUP(Y852+5,0))),"")</f>
        <v/>
      </c>
      <c r="AC852" s="6"/>
      <c r="AD852" s="6"/>
    </row>
    <row r="853" customFormat="false" ht="15" hidden="false" customHeight="true" outlineLevel="0" collapsed="false">
      <c r="A853" s="5" t="n">
        <v>852</v>
      </c>
      <c r="B853" s="5" t="s">
        <v>2158</v>
      </c>
      <c r="C853" s="5" t="s">
        <v>171</v>
      </c>
      <c r="D853" s="5" t="s">
        <v>172</v>
      </c>
      <c r="E853" s="5" t="n">
        <v>130</v>
      </c>
      <c r="F853" s="5" t="s">
        <v>2159</v>
      </c>
      <c r="G853" s="5" t="n">
        <v>4</v>
      </c>
      <c r="H853" s="5" t="s">
        <v>53</v>
      </c>
      <c r="I853" s="5" t="s">
        <v>54</v>
      </c>
      <c r="J853" s="5" t="s">
        <v>181</v>
      </c>
      <c r="K853" s="5" t="s">
        <v>443</v>
      </c>
      <c r="L853" s="5" t="n">
        <v>5</v>
      </c>
      <c r="M853" s="5" t="n">
        <v>3</v>
      </c>
      <c r="N853" s="5" t="n">
        <v>4</v>
      </c>
      <c r="O853" s="5" t="n">
        <v>8</v>
      </c>
      <c r="P853" s="5" t="n">
        <v>-2</v>
      </c>
      <c r="Q853" s="5" t="n">
        <v>1</v>
      </c>
      <c r="R853" s="5" t="n">
        <v>4</v>
      </c>
      <c r="S853" s="5" t="n">
        <v>3</v>
      </c>
      <c r="T853" s="5" t="s">
        <v>2160</v>
      </c>
      <c r="U853" s="6"/>
      <c r="V853" s="6"/>
      <c r="W853" s="6"/>
      <c r="X853" s="6"/>
      <c r="Y853" s="7" t="str">
        <f aca="false">IF(COUNT(U853:X853)=4,(W853-X853)/2,"")</f>
        <v/>
      </c>
      <c r="Z853" s="7" t="str">
        <f aca="false">IF(COUNT(U853:X853)=4,(U853-V853)/2,"")</f>
        <v/>
      </c>
      <c r="AA853" s="7" t="str">
        <f aca="false">IF(COUNT(U853:X853)=4,MAX(1,MIN(10,ROUNDUP(5-Z853,0))),"")</f>
        <v/>
      </c>
      <c r="AB853" s="7" t="str">
        <f aca="false">IF(COUNT(U853:X853)=4,MAX(1,MIN(10,ROUNDUP(Y853+5,0))),"")</f>
        <v/>
      </c>
      <c r="AC853" s="6"/>
      <c r="AD853" s="6"/>
    </row>
    <row r="854" customFormat="false" ht="15" hidden="false" customHeight="true" outlineLevel="0" collapsed="false">
      <c r="A854" s="5" t="n">
        <v>853</v>
      </c>
      <c r="B854" s="5" t="s">
        <v>2161</v>
      </c>
      <c r="C854" s="5" t="s">
        <v>145</v>
      </c>
      <c r="D854" s="5" t="s">
        <v>51</v>
      </c>
      <c r="E854" s="5" t="n">
        <v>130</v>
      </c>
      <c r="F854" s="5" t="s">
        <v>2162</v>
      </c>
      <c r="G854" s="5" t="n">
        <v>4</v>
      </c>
      <c r="H854" s="5" t="s">
        <v>53</v>
      </c>
      <c r="I854" s="5" t="s">
        <v>54</v>
      </c>
      <c r="J854" s="5" t="s">
        <v>55</v>
      </c>
      <c r="K854" s="5" t="s">
        <v>55</v>
      </c>
      <c r="L854" s="5" t="n">
        <v>6</v>
      </c>
      <c r="M854" s="5" t="n">
        <v>2</v>
      </c>
      <c r="N854" s="5" t="n">
        <v>5</v>
      </c>
      <c r="O854" s="5" t="n">
        <v>8</v>
      </c>
      <c r="P854" s="5" t="n">
        <v>-1.5</v>
      </c>
      <c r="Q854" s="5" t="n">
        <v>2</v>
      </c>
      <c r="R854" s="5" t="n">
        <v>3</v>
      </c>
      <c r="S854" s="5" t="n">
        <v>4</v>
      </c>
      <c r="T854" s="5" t="s">
        <v>1843</v>
      </c>
      <c r="U854" s="6"/>
      <c r="V854" s="6"/>
      <c r="W854" s="6"/>
      <c r="X854" s="6"/>
      <c r="Y854" s="7" t="str">
        <f aca="false">IF(COUNT(U854:X854)=4,(W854-X854)/2,"")</f>
        <v/>
      </c>
      <c r="Z854" s="7" t="str">
        <f aca="false">IF(COUNT(U854:X854)=4,(U854-V854)/2,"")</f>
        <v/>
      </c>
      <c r="AA854" s="7" t="str">
        <f aca="false">IF(COUNT(U854:X854)=4,MAX(1,MIN(10,ROUNDUP(5-Z854,0))),"")</f>
        <v/>
      </c>
      <c r="AB854" s="7" t="str">
        <f aca="false">IF(COUNT(U854:X854)=4,MAX(1,MIN(10,ROUNDUP(Y854+5,0))),"")</f>
        <v/>
      </c>
      <c r="AC854" s="6"/>
      <c r="AD854" s="6"/>
    </row>
    <row r="855" customFormat="false" ht="15" hidden="false" customHeight="true" outlineLevel="0" collapsed="false">
      <c r="A855" s="5" t="n">
        <v>854</v>
      </c>
      <c r="B855" s="5" t="s">
        <v>2163</v>
      </c>
      <c r="C855" s="5" t="s">
        <v>171</v>
      </c>
      <c r="D855" s="5" t="s">
        <v>172</v>
      </c>
      <c r="E855" s="5" t="n">
        <v>130</v>
      </c>
      <c r="F855" s="5" t="s">
        <v>2163</v>
      </c>
      <c r="G855" s="5" t="n">
        <v>4</v>
      </c>
      <c r="H855" s="5" t="s">
        <v>53</v>
      </c>
      <c r="I855" s="5" t="s">
        <v>54</v>
      </c>
      <c r="J855" s="5" t="s">
        <v>181</v>
      </c>
      <c r="K855" s="5" t="s">
        <v>309</v>
      </c>
      <c r="L855" s="5" t="n">
        <v>2</v>
      </c>
      <c r="M855" s="5" t="n">
        <v>5</v>
      </c>
      <c r="N855" s="5" t="n">
        <v>5</v>
      </c>
      <c r="O855" s="5" t="n">
        <v>4</v>
      </c>
      <c r="P855" s="5" t="n">
        <v>0.5</v>
      </c>
      <c r="Q855" s="5" t="n">
        <v>-1.5</v>
      </c>
      <c r="R855" s="5" t="n">
        <v>7</v>
      </c>
      <c r="S855" s="5" t="n">
        <v>6</v>
      </c>
      <c r="T855" s="5" t="s">
        <v>2164</v>
      </c>
      <c r="U855" s="6"/>
      <c r="V855" s="6"/>
      <c r="W855" s="6"/>
      <c r="X855" s="6"/>
      <c r="Y855" s="7" t="str">
        <f aca="false">IF(COUNT(U855:X855)=4,(W855-X855)/2,"")</f>
        <v/>
      </c>
      <c r="Z855" s="7" t="str">
        <f aca="false">IF(COUNT(U855:X855)=4,(U855-V855)/2,"")</f>
        <v/>
      </c>
      <c r="AA855" s="7" t="str">
        <f aca="false">IF(COUNT(U855:X855)=4,MAX(1,MIN(10,ROUNDUP(5-Z855,0))),"")</f>
        <v/>
      </c>
      <c r="AB855" s="7" t="str">
        <f aca="false">IF(COUNT(U855:X855)=4,MAX(1,MIN(10,ROUNDUP(Y855+5,0))),"")</f>
        <v/>
      </c>
      <c r="AC855" s="6"/>
      <c r="AD855" s="6"/>
    </row>
    <row r="856" customFormat="false" ht="15" hidden="false" customHeight="true" outlineLevel="0" collapsed="false">
      <c r="A856" s="5" t="n">
        <v>855</v>
      </c>
      <c r="B856" s="5" t="s">
        <v>2165</v>
      </c>
      <c r="C856" s="5" t="s">
        <v>171</v>
      </c>
      <c r="D856" s="5" t="s">
        <v>172</v>
      </c>
      <c r="E856" s="5" t="n">
        <v>130</v>
      </c>
      <c r="F856" s="5" t="s">
        <v>2166</v>
      </c>
      <c r="G856" s="5" t="n">
        <v>4</v>
      </c>
      <c r="H856" s="5" t="s">
        <v>53</v>
      </c>
      <c r="I856" s="5" t="s">
        <v>54</v>
      </c>
      <c r="J856" s="5" t="s">
        <v>181</v>
      </c>
      <c r="K856" s="5" t="s">
        <v>413</v>
      </c>
      <c r="L856" s="5" t="n">
        <v>7</v>
      </c>
      <c r="M856" s="5" t="n">
        <v>3</v>
      </c>
      <c r="N856" s="5" t="n">
        <v>3</v>
      </c>
      <c r="O856" s="5" t="n">
        <v>8</v>
      </c>
      <c r="P856" s="5" t="n">
        <v>-2.5</v>
      </c>
      <c r="Q856" s="5" t="n">
        <v>2</v>
      </c>
      <c r="R856" s="5" t="n">
        <v>3</v>
      </c>
      <c r="S856" s="5" t="n">
        <v>3</v>
      </c>
      <c r="T856" s="5" t="s">
        <v>926</v>
      </c>
      <c r="U856" s="6"/>
      <c r="V856" s="6"/>
      <c r="W856" s="6"/>
      <c r="X856" s="6"/>
      <c r="Y856" s="7" t="str">
        <f aca="false">IF(COUNT(U856:X856)=4,(W856-X856)/2,"")</f>
        <v/>
      </c>
      <c r="Z856" s="7" t="str">
        <f aca="false">IF(COUNT(U856:X856)=4,(U856-V856)/2,"")</f>
        <v/>
      </c>
      <c r="AA856" s="7" t="str">
        <f aca="false">IF(COUNT(U856:X856)=4,MAX(1,MIN(10,ROUNDUP(5-Z856,0))),"")</f>
        <v/>
      </c>
      <c r="AB856" s="7" t="str">
        <f aca="false">IF(COUNT(U856:X856)=4,MAX(1,MIN(10,ROUNDUP(Y856+5,0))),"")</f>
        <v/>
      </c>
      <c r="AC856" s="6"/>
      <c r="AD856" s="6"/>
    </row>
    <row r="857" customFormat="false" ht="15" hidden="false" customHeight="true" outlineLevel="0" collapsed="false">
      <c r="A857" s="5" t="n">
        <v>856</v>
      </c>
      <c r="B857" s="5" t="s">
        <v>2167</v>
      </c>
      <c r="C857" s="5" t="s">
        <v>171</v>
      </c>
      <c r="D857" s="5" t="s">
        <v>172</v>
      </c>
      <c r="E857" s="5" t="n">
        <v>129</v>
      </c>
      <c r="F857" s="5" t="s">
        <v>2168</v>
      </c>
      <c r="G857" s="5" t="n">
        <v>4</v>
      </c>
      <c r="H857" s="5" t="s">
        <v>53</v>
      </c>
      <c r="I857" s="5" t="s">
        <v>54</v>
      </c>
      <c r="J857" s="5" t="s">
        <v>181</v>
      </c>
      <c r="K857" s="5" t="s">
        <v>333</v>
      </c>
      <c r="L857" s="5" t="n">
        <v>2</v>
      </c>
      <c r="M857" s="5" t="n">
        <v>5</v>
      </c>
      <c r="N857" s="5" t="n">
        <v>9</v>
      </c>
      <c r="O857" s="5" t="n">
        <v>2</v>
      </c>
      <c r="P857" s="5" t="n">
        <v>3.5</v>
      </c>
      <c r="Q857" s="5" t="n">
        <v>-1.5</v>
      </c>
      <c r="R857" s="5" t="n">
        <v>7</v>
      </c>
      <c r="S857" s="5" t="n">
        <v>9</v>
      </c>
      <c r="T857" s="5" t="s">
        <v>1091</v>
      </c>
      <c r="U857" s="6"/>
      <c r="V857" s="6"/>
      <c r="W857" s="6"/>
      <c r="X857" s="6"/>
      <c r="Y857" s="7" t="str">
        <f aca="false">IF(COUNT(U857:X857)=4,(W857-X857)/2,"")</f>
        <v/>
      </c>
      <c r="Z857" s="7" t="str">
        <f aca="false">IF(COUNT(U857:X857)=4,(U857-V857)/2,"")</f>
        <v/>
      </c>
      <c r="AA857" s="7" t="str">
        <f aca="false">IF(COUNT(U857:X857)=4,MAX(1,MIN(10,ROUNDUP(5-Z857,0))),"")</f>
        <v/>
      </c>
      <c r="AB857" s="7" t="str">
        <f aca="false">IF(COUNT(U857:X857)=4,MAX(1,MIN(10,ROUNDUP(Y857+5,0))),"")</f>
        <v/>
      </c>
      <c r="AC857" s="6"/>
      <c r="AD857" s="6"/>
    </row>
    <row r="858" customFormat="false" ht="15" hidden="false" customHeight="true" outlineLevel="0" collapsed="false">
      <c r="A858" s="5" t="n">
        <v>857</v>
      </c>
      <c r="B858" s="5" t="s">
        <v>2169</v>
      </c>
      <c r="C858" s="5" t="s">
        <v>203</v>
      </c>
      <c r="D858" s="5" t="s">
        <v>204</v>
      </c>
      <c r="E858" s="5" t="n">
        <v>129</v>
      </c>
      <c r="F858" s="5" t="s">
        <v>2169</v>
      </c>
      <c r="G858" s="5" t="n">
        <v>4</v>
      </c>
      <c r="H858" s="5" t="s">
        <v>53</v>
      </c>
      <c r="I858" s="5" t="s">
        <v>54</v>
      </c>
      <c r="J858" s="5" t="s">
        <v>117</v>
      </c>
      <c r="K858" s="5" t="s">
        <v>117</v>
      </c>
      <c r="L858" s="5" t="n">
        <v>5</v>
      </c>
      <c r="M858" s="5" t="n">
        <v>1</v>
      </c>
      <c r="N858" s="5" t="n">
        <v>1</v>
      </c>
      <c r="O858" s="5" t="n">
        <v>9</v>
      </c>
      <c r="P858" s="5" t="n">
        <v>-4</v>
      </c>
      <c r="Q858" s="5" t="n">
        <v>2</v>
      </c>
      <c r="R858" s="5" t="n">
        <v>3</v>
      </c>
      <c r="S858" s="5" t="n">
        <v>1</v>
      </c>
      <c r="T858" s="5" t="s">
        <v>1340</v>
      </c>
      <c r="U858" s="6"/>
      <c r="V858" s="6"/>
      <c r="W858" s="6"/>
      <c r="X858" s="6"/>
      <c r="Y858" s="7" t="str">
        <f aca="false">IF(COUNT(U858:X858)=4,(W858-X858)/2,"")</f>
        <v/>
      </c>
      <c r="Z858" s="7" t="str">
        <f aca="false">IF(COUNT(U858:X858)=4,(U858-V858)/2,"")</f>
        <v/>
      </c>
      <c r="AA858" s="7" t="str">
        <f aca="false">IF(COUNT(U858:X858)=4,MAX(1,MIN(10,ROUNDUP(5-Z858,0))),"")</f>
        <v/>
      </c>
      <c r="AB858" s="7" t="str">
        <f aca="false">IF(COUNT(U858:X858)=4,MAX(1,MIN(10,ROUNDUP(Y858+5,0))),"")</f>
        <v/>
      </c>
      <c r="AC858" s="6"/>
      <c r="AD858" s="6"/>
    </row>
    <row r="859" customFormat="false" ht="15" hidden="false" customHeight="true" outlineLevel="0" collapsed="false">
      <c r="A859" s="5" t="n">
        <v>858</v>
      </c>
      <c r="B859" s="5" t="s">
        <v>2170</v>
      </c>
      <c r="C859" s="5" t="s">
        <v>171</v>
      </c>
      <c r="D859" s="5" t="s">
        <v>172</v>
      </c>
      <c r="E859" s="5" t="n">
        <v>129</v>
      </c>
      <c r="F859" s="5" t="s">
        <v>2171</v>
      </c>
      <c r="G859" s="5" t="n">
        <v>4</v>
      </c>
      <c r="H859" s="5" t="s">
        <v>53</v>
      </c>
      <c r="I859" s="5" t="s">
        <v>54</v>
      </c>
      <c r="J859" s="5" t="s">
        <v>181</v>
      </c>
      <c r="K859" s="5" t="s">
        <v>413</v>
      </c>
      <c r="L859" s="5" t="n">
        <v>5</v>
      </c>
      <c r="M859" s="5" t="n">
        <v>3</v>
      </c>
      <c r="N859" s="5" t="n">
        <v>3</v>
      </c>
      <c r="O859" s="5" t="n">
        <v>8</v>
      </c>
      <c r="P859" s="5" t="n">
        <v>-2.5</v>
      </c>
      <c r="Q859" s="5" t="n">
        <v>1</v>
      </c>
      <c r="R859" s="5" t="n">
        <v>4</v>
      </c>
      <c r="S859" s="5" t="n">
        <v>3</v>
      </c>
      <c r="T859" s="5" t="s">
        <v>257</v>
      </c>
      <c r="U859" s="6"/>
      <c r="V859" s="6"/>
      <c r="W859" s="6"/>
      <c r="X859" s="6"/>
      <c r="Y859" s="7" t="str">
        <f aca="false">IF(COUNT(U859:X859)=4,(W859-X859)/2,"")</f>
        <v/>
      </c>
      <c r="Z859" s="7" t="str">
        <f aca="false">IF(COUNT(U859:X859)=4,(U859-V859)/2,"")</f>
        <v/>
      </c>
      <c r="AA859" s="7" t="str">
        <f aca="false">IF(COUNT(U859:X859)=4,MAX(1,MIN(10,ROUNDUP(5-Z859,0))),"")</f>
        <v/>
      </c>
      <c r="AB859" s="7" t="str">
        <f aca="false">IF(COUNT(U859:X859)=4,MAX(1,MIN(10,ROUNDUP(Y859+5,0))),"")</f>
        <v/>
      </c>
      <c r="AC859" s="6"/>
      <c r="AD859" s="6"/>
    </row>
    <row r="860" customFormat="false" ht="15" hidden="false" customHeight="true" outlineLevel="0" collapsed="false">
      <c r="A860" s="5" t="n">
        <v>859</v>
      </c>
      <c r="B860" s="5" t="s">
        <v>2172</v>
      </c>
      <c r="C860" s="5" t="s">
        <v>145</v>
      </c>
      <c r="D860" s="5" t="s">
        <v>51</v>
      </c>
      <c r="E860" s="5" t="n">
        <v>129</v>
      </c>
      <c r="F860" s="5" t="s">
        <v>2173</v>
      </c>
      <c r="G860" s="5" t="n">
        <v>4</v>
      </c>
      <c r="H860" s="5" t="s">
        <v>53</v>
      </c>
      <c r="I860" s="5" t="s">
        <v>54</v>
      </c>
      <c r="J860" s="5" t="s">
        <v>55</v>
      </c>
      <c r="K860" s="5" t="s">
        <v>55</v>
      </c>
      <c r="L860" s="5" t="n">
        <v>4</v>
      </c>
      <c r="M860" s="5" t="n">
        <v>3</v>
      </c>
      <c r="N860" s="5" t="n">
        <v>9</v>
      </c>
      <c r="O860" s="5" t="n">
        <v>2</v>
      </c>
      <c r="P860" s="5" t="n">
        <v>3.5</v>
      </c>
      <c r="Q860" s="5" t="n">
        <v>0.5</v>
      </c>
      <c r="R860" s="5" t="n">
        <v>5</v>
      </c>
      <c r="S860" s="5" t="n">
        <v>9</v>
      </c>
      <c r="T860" s="5" t="s">
        <v>2174</v>
      </c>
      <c r="U860" s="6"/>
      <c r="V860" s="6"/>
      <c r="W860" s="6"/>
      <c r="X860" s="6"/>
      <c r="Y860" s="7" t="str">
        <f aca="false">IF(COUNT(U860:X860)=4,(W860-X860)/2,"")</f>
        <v/>
      </c>
      <c r="Z860" s="7" t="str">
        <f aca="false">IF(COUNT(U860:X860)=4,(U860-V860)/2,"")</f>
        <v/>
      </c>
      <c r="AA860" s="7" t="str">
        <f aca="false">IF(COUNT(U860:X860)=4,MAX(1,MIN(10,ROUNDUP(5-Z860,0))),"")</f>
        <v/>
      </c>
      <c r="AB860" s="7" t="str">
        <f aca="false">IF(COUNT(U860:X860)=4,MAX(1,MIN(10,ROUNDUP(Y860+5,0))),"")</f>
        <v/>
      </c>
      <c r="AC860" s="6"/>
      <c r="AD860" s="6"/>
    </row>
    <row r="861" customFormat="false" ht="15" hidden="false" customHeight="true" outlineLevel="0" collapsed="false">
      <c r="A861" s="5" t="n">
        <v>860</v>
      </c>
      <c r="B861" s="5" t="s">
        <v>2175</v>
      </c>
      <c r="C861" s="5" t="s">
        <v>145</v>
      </c>
      <c r="D861" s="5" t="s">
        <v>51</v>
      </c>
      <c r="E861" s="5" t="n">
        <v>129</v>
      </c>
      <c r="F861" s="5" t="s">
        <v>2176</v>
      </c>
      <c r="G861" s="5" t="n">
        <v>4</v>
      </c>
      <c r="H861" s="5" t="s">
        <v>53</v>
      </c>
      <c r="I861" s="5" t="s">
        <v>54</v>
      </c>
      <c r="J861" s="5" t="s">
        <v>55</v>
      </c>
      <c r="K861" s="5" t="s">
        <v>55</v>
      </c>
      <c r="L861" s="5" t="n">
        <v>5</v>
      </c>
      <c r="M861" s="5" t="n">
        <v>2</v>
      </c>
      <c r="N861" s="5" t="n">
        <v>5</v>
      </c>
      <c r="O861" s="5" t="n">
        <v>8</v>
      </c>
      <c r="P861" s="5" t="n">
        <v>-1.5</v>
      </c>
      <c r="Q861" s="5" t="n">
        <v>1.5</v>
      </c>
      <c r="R861" s="5" t="n">
        <v>4</v>
      </c>
      <c r="S861" s="5" t="n">
        <v>4</v>
      </c>
      <c r="T861" s="5" t="s">
        <v>56</v>
      </c>
      <c r="U861" s="6"/>
      <c r="V861" s="6"/>
      <c r="W861" s="6"/>
      <c r="X861" s="6"/>
      <c r="Y861" s="7" t="str">
        <f aca="false">IF(COUNT(U861:X861)=4,(W861-X861)/2,"")</f>
        <v/>
      </c>
      <c r="Z861" s="7" t="str">
        <f aca="false">IF(COUNT(U861:X861)=4,(U861-V861)/2,"")</f>
        <v/>
      </c>
      <c r="AA861" s="7" t="str">
        <f aca="false">IF(COUNT(U861:X861)=4,MAX(1,MIN(10,ROUNDUP(5-Z861,0))),"")</f>
        <v/>
      </c>
      <c r="AB861" s="7" t="str">
        <f aca="false">IF(COUNT(U861:X861)=4,MAX(1,MIN(10,ROUNDUP(Y861+5,0))),"")</f>
        <v/>
      </c>
      <c r="AC861" s="6"/>
      <c r="AD861" s="6"/>
    </row>
    <row r="862" customFormat="false" ht="15" hidden="false" customHeight="true" outlineLevel="0" collapsed="false">
      <c r="A862" s="5" t="n">
        <v>861</v>
      </c>
      <c r="B862" s="5" t="s">
        <v>2177</v>
      </c>
      <c r="C862" s="5" t="s">
        <v>79</v>
      </c>
      <c r="D862" s="5" t="s">
        <v>80</v>
      </c>
      <c r="E862" s="5" t="n">
        <v>129</v>
      </c>
      <c r="F862" s="5" t="s">
        <v>2177</v>
      </c>
      <c r="G862" s="5" t="n">
        <v>3</v>
      </c>
      <c r="H862" s="5" t="s">
        <v>53</v>
      </c>
      <c r="I862" s="5" t="s">
        <v>81</v>
      </c>
      <c r="J862" s="5" t="s">
        <v>79</v>
      </c>
      <c r="K862" s="5" t="s">
        <v>99</v>
      </c>
      <c r="L862" s="5" t="n">
        <v>6</v>
      </c>
      <c r="M862" s="5" t="n">
        <v>2</v>
      </c>
      <c r="N862" s="5" t="n">
        <v>10</v>
      </c>
      <c r="O862" s="5" t="n">
        <v>0</v>
      </c>
      <c r="P862" s="5" t="n">
        <v>5</v>
      </c>
      <c r="Q862" s="5" t="n">
        <v>2</v>
      </c>
      <c r="R862" s="5" t="n">
        <v>3</v>
      </c>
      <c r="S862" s="5" t="n">
        <v>10</v>
      </c>
      <c r="T862" s="5" t="s">
        <v>2178</v>
      </c>
      <c r="U862" s="6"/>
      <c r="V862" s="6"/>
      <c r="W862" s="6"/>
      <c r="X862" s="6"/>
      <c r="Y862" s="7" t="str">
        <f aca="false">IF(COUNT(U862:X862)=4,(W862-X862)/2,"")</f>
        <v/>
      </c>
      <c r="Z862" s="7" t="str">
        <f aca="false">IF(COUNT(U862:X862)=4,(U862-V862)/2,"")</f>
        <v/>
      </c>
      <c r="AA862" s="7" t="str">
        <f aca="false">IF(COUNT(U862:X862)=4,MAX(1,MIN(10,ROUNDUP(5-Z862,0))),"")</f>
        <v/>
      </c>
      <c r="AB862" s="7" t="str">
        <f aca="false">IF(COUNT(U862:X862)=4,MAX(1,MIN(10,ROUNDUP(Y862+5,0))),"")</f>
        <v/>
      </c>
      <c r="AC862" s="6"/>
      <c r="AD862" s="6"/>
    </row>
    <row r="863" customFormat="false" ht="15" hidden="false" customHeight="true" outlineLevel="0" collapsed="false">
      <c r="A863" s="5" t="n">
        <v>862</v>
      </c>
      <c r="B863" s="5" t="s">
        <v>2179</v>
      </c>
      <c r="C863" s="5" t="s">
        <v>171</v>
      </c>
      <c r="D863" s="5" t="s">
        <v>172</v>
      </c>
      <c r="E863" s="5" t="n">
        <v>129</v>
      </c>
      <c r="F863" s="5" t="s">
        <v>2180</v>
      </c>
      <c r="G863" s="5" t="n">
        <v>4</v>
      </c>
      <c r="H863" s="5" t="s">
        <v>53</v>
      </c>
      <c r="I863" s="5" t="s">
        <v>54</v>
      </c>
      <c r="J863" s="5" t="s">
        <v>181</v>
      </c>
      <c r="K863" s="5" t="s">
        <v>333</v>
      </c>
      <c r="L863" s="5" t="n">
        <v>2</v>
      </c>
      <c r="M863" s="5" t="n">
        <v>4</v>
      </c>
      <c r="N863" s="5" t="n">
        <v>8</v>
      </c>
      <c r="O863" s="5" t="n">
        <v>2</v>
      </c>
      <c r="P863" s="5" t="n">
        <v>3</v>
      </c>
      <c r="Q863" s="5" t="n">
        <v>-1</v>
      </c>
      <c r="R863" s="5" t="n">
        <v>6</v>
      </c>
      <c r="S863" s="5" t="n">
        <v>8</v>
      </c>
      <c r="T863" s="5" t="s">
        <v>2181</v>
      </c>
      <c r="U863" s="6"/>
      <c r="V863" s="6"/>
      <c r="W863" s="6"/>
      <c r="X863" s="6"/>
      <c r="Y863" s="7" t="str">
        <f aca="false">IF(COUNT(U863:X863)=4,(W863-X863)/2,"")</f>
        <v/>
      </c>
      <c r="Z863" s="7" t="str">
        <f aca="false">IF(COUNT(U863:X863)=4,(U863-V863)/2,"")</f>
        <v/>
      </c>
      <c r="AA863" s="7" t="str">
        <f aca="false">IF(COUNT(U863:X863)=4,MAX(1,MIN(10,ROUNDUP(5-Z863,0))),"")</f>
        <v/>
      </c>
      <c r="AB863" s="7" t="str">
        <f aca="false">IF(COUNT(U863:X863)=4,MAX(1,MIN(10,ROUNDUP(Y863+5,0))),"")</f>
        <v/>
      </c>
      <c r="AC863" s="6"/>
      <c r="AD863" s="6"/>
    </row>
    <row r="864" customFormat="false" ht="15" hidden="false" customHeight="true" outlineLevel="0" collapsed="false">
      <c r="A864" s="5" t="n">
        <v>863</v>
      </c>
      <c r="B864" s="5" t="s">
        <v>2182</v>
      </c>
      <c r="C864" s="5" t="s">
        <v>171</v>
      </c>
      <c r="D864" s="5" t="s">
        <v>172</v>
      </c>
      <c r="E864" s="5" t="n">
        <v>129</v>
      </c>
      <c r="F864" s="5" t="s">
        <v>2183</v>
      </c>
      <c r="G864" s="5" t="n">
        <v>4</v>
      </c>
      <c r="H864" s="5" t="s">
        <v>53</v>
      </c>
      <c r="I864" s="5" t="s">
        <v>54</v>
      </c>
      <c r="J864" s="5" t="s">
        <v>181</v>
      </c>
      <c r="K864" s="5" t="s">
        <v>413</v>
      </c>
      <c r="L864" s="5" t="n">
        <v>8</v>
      </c>
      <c r="M864" s="5" t="n">
        <v>4</v>
      </c>
      <c r="N864" s="5" t="n">
        <v>3</v>
      </c>
      <c r="O864" s="5" t="n">
        <v>8</v>
      </c>
      <c r="P864" s="5" t="n">
        <v>-2.5</v>
      </c>
      <c r="Q864" s="5" t="n">
        <v>2</v>
      </c>
      <c r="R864" s="5" t="n">
        <v>3</v>
      </c>
      <c r="S864" s="5" t="n">
        <v>3</v>
      </c>
      <c r="T864" s="5" t="s">
        <v>969</v>
      </c>
      <c r="U864" s="6"/>
      <c r="V864" s="6"/>
      <c r="W864" s="6"/>
      <c r="X864" s="6"/>
      <c r="Y864" s="7" t="str">
        <f aca="false">IF(COUNT(U864:X864)=4,(W864-X864)/2,"")</f>
        <v/>
      </c>
      <c r="Z864" s="7" t="str">
        <f aca="false">IF(COUNT(U864:X864)=4,(U864-V864)/2,"")</f>
        <v/>
      </c>
      <c r="AA864" s="7" t="str">
        <f aca="false">IF(COUNT(U864:X864)=4,MAX(1,MIN(10,ROUNDUP(5-Z864,0))),"")</f>
        <v/>
      </c>
      <c r="AB864" s="7" t="str">
        <f aca="false">IF(COUNT(U864:X864)=4,MAX(1,MIN(10,ROUNDUP(Y864+5,0))),"")</f>
        <v/>
      </c>
      <c r="AC864" s="6"/>
      <c r="AD864" s="6"/>
    </row>
    <row r="865" customFormat="false" ht="15" hidden="false" customHeight="true" outlineLevel="0" collapsed="false">
      <c r="A865" s="5" t="n">
        <v>864</v>
      </c>
      <c r="B865" s="5" t="s">
        <v>2184</v>
      </c>
      <c r="C865" s="5" t="s">
        <v>171</v>
      </c>
      <c r="D865" s="5" t="s">
        <v>172</v>
      </c>
      <c r="E865" s="5" t="n">
        <v>129</v>
      </c>
      <c r="F865" s="5" t="s">
        <v>2185</v>
      </c>
      <c r="G865" s="5" t="n">
        <v>4</v>
      </c>
      <c r="H865" s="5" t="s">
        <v>53</v>
      </c>
      <c r="I865" s="5" t="s">
        <v>54</v>
      </c>
      <c r="J865" s="5" t="s">
        <v>181</v>
      </c>
      <c r="K865" s="5" t="s">
        <v>443</v>
      </c>
      <c r="L865" s="5" t="n">
        <v>5</v>
      </c>
      <c r="M865" s="5" t="n">
        <v>3</v>
      </c>
      <c r="N865" s="5" t="n">
        <v>4</v>
      </c>
      <c r="O865" s="5" t="n">
        <v>8</v>
      </c>
      <c r="P865" s="5" t="n">
        <v>-2</v>
      </c>
      <c r="Q865" s="5" t="n">
        <v>1</v>
      </c>
      <c r="R865" s="5" t="n">
        <v>4</v>
      </c>
      <c r="S865" s="5" t="n">
        <v>3</v>
      </c>
      <c r="T865" s="5" t="s">
        <v>1845</v>
      </c>
      <c r="U865" s="6"/>
      <c r="V865" s="6"/>
      <c r="W865" s="6"/>
      <c r="X865" s="6"/>
      <c r="Y865" s="7" t="str">
        <f aca="false">IF(COUNT(U865:X865)=4,(W865-X865)/2,"")</f>
        <v/>
      </c>
      <c r="Z865" s="7" t="str">
        <f aca="false">IF(COUNT(U865:X865)=4,(U865-V865)/2,"")</f>
        <v/>
      </c>
      <c r="AA865" s="7" t="str">
        <f aca="false">IF(COUNT(U865:X865)=4,MAX(1,MIN(10,ROUNDUP(5-Z865,0))),"")</f>
        <v/>
      </c>
      <c r="AB865" s="7" t="str">
        <f aca="false">IF(COUNT(U865:X865)=4,MAX(1,MIN(10,ROUNDUP(Y865+5,0))),"")</f>
        <v/>
      </c>
      <c r="AC865" s="6"/>
      <c r="AD865" s="6"/>
    </row>
    <row r="866" customFormat="false" ht="15" hidden="false" customHeight="true" outlineLevel="0" collapsed="false">
      <c r="A866" s="5" t="n">
        <v>865</v>
      </c>
      <c r="B866" s="5" t="s">
        <v>2186</v>
      </c>
      <c r="C866" s="5" t="s">
        <v>145</v>
      </c>
      <c r="D866" s="5" t="s">
        <v>51</v>
      </c>
      <c r="E866" s="5" t="n">
        <v>129</v>
      </c>
      <c r="F866" s="5" t="s">
        <v>2187</v>
      </c>
      <c r="G866" s="5" t="n">
        <v>4</v>
      </c>
      <c r="H866" s="5" t="s">
        <v>53</v>
      </c>
      <c r="I866" s="5" t="s">
        <v>54</v>
      </c>
      <c r="J866" s="5" t="s">
        <v>55</v>
      </c>
      <c r="K866" s="5" t="s">
        <v>55</v>
      </c>
      <c r="L866" s="5" t="n">
        <v>4</v>
      </c>
      <c r="M866" s="5" t="n">
        <v>3</v>
      </c>
      <c r="N866" s="5" t="n">
        <v>4</v>
      </c>
      <c r="O866" s="5" t="n">
        <v>6</v>
      </c>
      <c r="P866" s="5" t="n">
        <v>-1</v>
      </c>
      <c r="Q866" s="5" t="n">
        <v>0.5</v>
      </c>
      <c r="R866" s="5" t="n">
        <v>5</v>
      </c>
      <c r="S866" s="5" t="n">
        <v>4</v>
      </c>
      <c r="T866" s="5" t="s">
        <v>2188</v>
      </c>
      <c r="U866" s="6"/>
      <c r="V866" s="6"/>
      <c r="W866" s="6"/>
      <c r="X866" s="6"/>
      <c r="Y866" s="7" t="str">
        <f aca="false">IF(COUNT(U866:X866)=4,(W866-X866)/2,"")</f>
        <v/>
      </c>
      <c r="Z866" s="7" t="str">
        <f aca="false">IF(COUNT(U866:X866)=4,(U866-V866)/2,"")</f>
        <v/>
      </c>
      <c r="AA866" s="7" t="str">
        <f aca="false">IF(COUNT(U866:X866)=4,MAX(1,MIN(10,ROUNDUP(5-Z866,0))),"")</f>
        <v/>
      </c>
      <c r="AB866" s="7" t="str">
        <f aca="false">IF(COUNT(U866:X866)=4,MAX(1,MIN(10,ROUNDUP(Y866+5,0))),"")</f>
        <v/>
      </c>
      <c r="AC866" s="6"/>
      <c r="AD866" s="6"/>
    </row>
    <row r="867" customFormat="false" ht="15" hidden="false" customHeight="true" outlineLevel="0" collapsed="false">
      <c r="A867" s="5" t="n">
        <v>866</v>
      </c>
      <c r="B867" s="5" t="s">
        <v>2189</v>
      </c>
      <c r="C867" s="5" t="s">
        <v>171</v>
      </c>
      <c r="D867" s="5" t="s">
        <v>172</v>
      </c>
      <c r="E867" s="5" t="n">
        <v>129</v>
      </c>
      <c r="F867" s="5" t="s">
        <v>2190</v>
      </c>
      <c r="G867" s="5" t="n">
        <v>4</v>
      </c>
      <c r="H867" s="5" t="s">
        <v>53</v>
      </c>
      <c r="I867" s="5" t="s">
        <v>54</v>
      </c>
      <c r="J867" s="5" t="s">
        <v>181</v>
      </c>
      <c r="K867" s="5" t="s">
        <v>443</v>
      </c>
      <c r="L867" s="5" t="n">
        <v>5</v>
      </c>
      <c r="M867" s="5" t="n">
        <v>3</v>
      </c>
      <c r="N867" s="5" t="n">
        <v>4</v>
      </c>
      <c r="O867" s="5" t="n">
        <v>8</v>
      </c>
      <c r="P867" s="5" t="n">
        <v>-2</v>
      </c>
      <c r="Q867" s="5" t="n">
        <v>1</v>
      </c>
      <c r="R867" s="5" t="n">
        <v>4</v>
      </c>
      <c r="S867" s="5" t="n">
        <v>3</v>
      </c>
      <c r="T867" s="5" t="s">
        <v>2191</v>
      </c>
      <c r="U867" s="6"/>
      <c r="V867" s="6"/>
      <c r="W867" s="6"/>
      <c r="X867" s="6"/>
      <c r="Y867" s="7" t="str">
        <f aca="false">IF(COUNT(U867:X867)=4,(W867-X867)/2,"")</f>
        <v/>
      </c>
      <c r="Z867" s="7" t="str">
        <f aca="false">IF(COUNT(U867:X867)=4,(U867-V867)/2,"")</f>
        <v/>
      </c>
      <c r="AA867" s="7" t="str">
        <f aca="false">IF(COUNT(U867:X867)=4,MAX(1,MIN(10,ROUNDUP(5-Z867,0))),"")</f>
        <v/>
      </c>
      <c r="AB867" s="7" t="str">
        <f aca="false">IF(COUNT(U867:X867)=4,MAX(1,MIN(10,ROUNDUP(Y867+5,0))),"")</f>
        <v/>
      </c>
      <c r="AC867" s="6"/>
      <c r="AD867" s="6"/>
    </row>
    <row r="868" customFormat="false" ht="15" hidden="false" customHeight="true" outlineLevel="0" collapsed="false">
      <c r="A868" s="5" t="n">
        <v>867</v>
      </c>
      <c r="B868" s="5" t="s">
        <v>2192</v>
      </c>
      <c r="C868" s="5" t="s">
        <v>145</v>
      </c>
      <c r="D868" s="5" t="s">
        <v>51</v>
      </c>
      <c r="E868" s="5" t="n">
        <v>129</v>
      </c>
      <c r="F868" s="5" t="s">
        <v>2193</v>
      </c>
      <c r="G868" s="5" t="n">
        <v>4</v>
      </c>
      <c r="H868" s="5" t="s">
        <v>53</v>
      </c>
      <c r="I868" s="5" t="s">
        <v>54</v>
      </c>
      <c r="J868" s="5" t="s">
        <v>55</v>
      </c>
      <c r="K868" s="5" t="s">
        <v>55</v>
      </c>
      <c r="L868" s="5" t="n">
        <v>4</v>
      </c>
      <c r="M868" s="5" t="n">
        <v>4</v>
      </c>
      <c r="N868" s="5" t="n">
        <v>6</v>
      </c>
      <c r="O868" s="5" t="n">
        <v>4</v>
      </c>
      <c r="P868" s="5" t="n">
        <v>1</v>
      </c>
      <c r="Q868" s="5" t="n">
        <v>0</v>
      </c>
      <c r="R868" s="5" t="n">
        <v>5</v>
      </c>
      <c r="S868" s="5" t="n">
        <v>6</v>
      </c>
      <c r="T868" s="5" t="s">
        <v>1939</v>
      </c>
      <c r="U868" s="6"/>
      <c r="V868" s="6"/>
      <c r="W868" s="6"/>
      <c r="X868" s="6"/>
      <c r="Y868" s="7" t="str">
        <f aca="false">IF(COUNT(U868:X868)=4,(W868-X868)/2,"")</f>
        <v/>
      </c>
      <c r="Z868" s="7" t="str">
        <f aca="false">IF(COUNT(U868:X868)=4,(U868-V868)/2,"")</f>
        <v/>
      </c>
      <c r="AA868" s="7" t="str">
        <f aca="false">IF(COUNT(U868:X868)=4,MAX(1,MIN(10,ROUNDUP(5-Z868,0))),"")</f>
        <v/>
      </c>
      <c r="AB868" s="7" t="str">
        <f aca="false">IF(COUNT(U868:X868)=4,MAX(1,MIN(10,ROUNDUP(Y868+5,0))),"")</f>
        <v/>
      </c>
      <c r="AC868" s="6"/>
      <c r="AD868" s="6"/>
    </row>
    <row r="869" customFormat="false" ht="15" hidden="false" customHeight="true" outlineLevel="0" collapsed="false">
      <c r="A869" s="5" t="n">
        <v>868</v>
      </c>
      <c r="B869" s="5" t="s">
        <v>2194</v>
      </c>
      <c r="C869" s="5" t="s">
        <v>58</v>
      </c>
      <c r="D869" s="5" t="s">
        <v>59</v>
      </c>
      <c r="E869" s="5" t="n">
        <v>128</v>
      </c>
      <c r="F869" s="5" t="s">
        <v>2194</v>
      </c>
      <c r="G869" s="5" t="n">
        <v>1</v>
      </c>
      <c r="H869" s="5" t="s">
        <v>47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 t="s">
        <v>2195</v>
      </c>
      <c r="U869" s="6"/>
      <c r="V869" s="6"/>
      <c r="W869" s="6"/>
      <c r="X869" s="6"/>
      <c r="Y869" s="7" t="str">
        <f aca="false">IF(COUNT(U869:X869)=4,(W869-X869)/2,"")</f>
        <v/>
      </c>
      <c r="Z869" s="7" t="str">
        <f aca="false">IF(COUNT(U869:X869)=4,(U869-V869)/2,"")</f>
        <v/>
      </c>
      <c r="AA869" s="7" t="str">
        <f aca="false">IF(COUNT(U869:X869)=4,MAX(1,MIN(10,ROUNDUP(5-Z869,0))),"")</f>
        <v/>
      </c>
      <c r="AB869" s="7" t="str">
        <f aca="false">IF(COUNT(U869:X869)=4,MAX(1,MIN(10,ROUNDUP(Y869+5,0))),"")</f>
        <v/>
      </c>
      <c r="AC869" s="6"/>
      <c r="AD869" s="6"/>
    </row>
    <row r="870" customFormat="false" ht="15" hidden="false" customHeight="true" outlineLevel="0" collapsed="false">
      <c r="A870" s="5" t="n">
        <v>869</v>
      </c>
      <c r="B870" s="5" t="s">
        <v>2196</v>
      </c>
      <c r="C870" s="5" t="s">
        <v>145</v>
      </c>
      <c r="D870" s="5" t="s">
        <v>51</v>
      </c>
      <c r="E870" s="5" t="n">
        <v>128</v>
      </c>
      <c r="F870" s="5" t="s">
        <v>2197</v>
      </c>
      <c r="G870" s="5" t="n">
        <v>4</v>
      </c>
      <c r="H870" s="5" t="s">
        <v>53</v>
      </c>
      <c r="I870" s="5" t="s">
        <v>54</v>
      </c>
      <c r="J870" s="5" t="s">
        <v>55</v>
      </c>
      <c r="K870" s="5" t="s">
        <v>55</v>
      </c>
      <c r="L870" s="5" t="n">
        <v>3</v>
      </c>
      <c r="M870" s="5" t="n">
        <v>7</v>
      </c>
      <c r="N870" s="5" t="n">
        <v>6</v>
      </c>
      <c r="O870" s="5" t="n">
        <v>4</v>
      </c>
      <c r="P870" s="5" t="n">
        <v>1</v>
      </c>
      <c r="Q870" s="5" t="n">
        <v>-2</v>
      </c>
      <c r="R870" s="5" t="n">
        <v>7</v>
      </c>
      <c r="S870" s="5" t="n">
        <v>6</v>
      </c>
      <c r="T870" s="5" t="s">
        <v>2198</v>
      </c>
      <c r="U870" s="6"/>
      <c r="V870" s="6"/>
      <c r="W870" s="6"/>
      <c r="X870" s="6"/>
      <c r="Y870" s="7" t="str">
        <f aca="false">IF(COUNT(U870:X870)=4,(W870-X870)/2,"")</f>
        <v/>
      </c>
      <c r="Z870" s="7" t="str">
        <f aca="false">IF(COUNT(U870:X870)=4,(U870-V870)/2,"")</f>
        <v/>
      </c>
      <c r="AA870" s="7" t="str">
        <f aca="false">IF(COUNT(U870:X870)=4,MAX(1,MIN(10,ROUNDUP(5-Z870,0))),"")</f>
        <v/>
      </c>
      <c r="AB870" s="7" t="str">
        <f aca="false">IF(COUNT(U870:X870)=4,MAX(1,MIN(10,ROUNDUP(Y870+5,0))),"")</f>
        <v/>
      </c>
      <c r="AC870" s="6"/>
      <c r="AD870" s="6"/>
    </row>
    <row r="871" customFormat="false" ht="15" hidden="false" customHeight="true" outlineLevel="0" collapsed="false">
      <c r="A871" s="5" t="n">
        <v>870</v>
      </c>
      <c r="B871" s="5" t="s">
        <v>2199</v>
      </c>
      <c r="C871" s="5" t="s">
        <v>108</v>
      </c>
      <c r="D871" s="5" t="s">
        <v>109</v>
      </c>
      <c r="E871" s="5" t="n">
        <v>128</v>
      </c>
      <c r="F871" s="5" t="s">
        <v>2199</v>
      </c>
      <c r="G871" s="5" t="n">
        <v>4</v>
      </c>
      <c r="H871" s="5" t="s">
        <v>53</v>
      </c>
      <c r="I871" s="5" t="s">
        <v>54</v>
      </c>
      <c r="J871" s="5" t="s">
        <v>117</v>
      </c>
      <c r="K871" s="5" t="s">
        <v>117</v>
      </c>
      <c r="L871" s="5" t="n">
        <v>3</v>
      </c>
      <c r="M871" s="5" t="n">
        <v>1</v>
      </c>
      <c r="N871" s="5" t="n">
        <v>1</v>
      </c>
      <c r="O871" s="5" t="n">
        <v>8</v>
      </c>
      <c r="P871" s="5" t="n">
        <v>-3.5</v>
      </c>
      <c r="Q871" s="5" t="n">
        <v>1</v>
      </c>
      <c r="R871" s="5" t="n">
        <v>4</v>
      </c>
      <c r="S871" s="5" t="n">
        <v>2</v>
      </c>
      <c r="T871" s="5" t="s">
        <v>2200</v>
      </c>
      <c r="U871" s="6"/>
      <c r="V871" s="6"/>
      <c r="W871" s="6"/>
      <c r="X871" s="6"/>
      <c r="Y871" s="7" t="str">
        <f aca="false">IF(COUNT(U871:X871)=4,(W871-X871)/2,"")</f>
        <v/>
      </c>
      <c r="Z871" s="7" t="str">
        <f aca="false">IF(COUNT(U871:X871)=4,(U871-V871)/2,"")</f>
        <v/>
      </c>
      <c r="AA871" s="7" t="str">
        <f aca="false">IF(COUNT(U871:X871)=4,MAX(1,MIN(10,ROUNDUP(5-Z871,0))),"")</f>
        <v/>
      </c>
      <c r="AB871" s="7" t="str">
        <f aca="false">IF(COUNT(U871:X871)=4,MAX(1,MIN(10,ROUNDUP(Y871+5,0))),"")</f>
        <v/>
      </c>
      <c r="AC871" s="6"/>
      <c r="AD871" s="6"/>
    </row>
    <row r="872" customFormat="false" ht="15" hidden="false" customHeight="true" outlineLevel="0" collapsed="false">
      <c r="A872" s="5" t="n">
        <v>871</v>
      </c>
      <c r="B872" s="5" t="s">
        <v>2201</v>
      </c>
      <c r="C872" s="5" t="s">
        <v>171</v>
      </c>
      <c r="D872" s="5" t="s">
        <v>172</v>
      </c>
      <c r="E872" s="5" t="n">
        <v>128</v>
      </c>
      <c r="F872" s="5" t="s">
        <v>2202</v>
      </c>
      <c r="G872" s="5" t="n">
        <v>4</v>
      </c>
      <c r="H872" s="5" t="s">
        <v>53</v>
      </c>
      <c r="I872" s="5" t="s">
        <v>54</v>
      </c>
      <c r="J872" s="5" t="s">
        <v>181</v>
      </c>
      <c r="K872" s="5" t="s">
        <v>235</v>
      </c>
      <c r="L872" s="5" t="n">
        <v>5</v>
      </c>
      <c r="M872" s="5" t="n">
        <v>4</v>
      </c>
      <c r="N872" s="5" t="n">
        <v>7</v>
      </c>
      <c r="O872" s="5" t="n">
        <v>4</v>
      </c>
      <c r="P872" s="5" t="n">
        <v>1.5</v>
      </c>
      <c r="Q872" s="5" t="n">
        <v>0.5</v>
      </c>
      <c r="R872" s="5" t="n">
        <v>5</v>
      </c>
      <c r="S872" s="5" t="n">
        <v>7</v>
      </c>
      <c r="T872" s="5" t="s">
        <v>2203</v>
      </c>
      <c r="U872" s="6"/>
      <c r="V872" s="6"/>
      <c r="W872" s="6"/>
      <c r="X872" s="6"/>
      <c r="Y872" s="7" t="str">
        <f aca="false">IF(COUNT(U872:X872)=4,(W872-X872)/2,"")</f>
        <v/>
      </c>
      <c r="Z872" s="7" t="str">
        <f aca="false">IF(COUNT(U872:X872)=4,(U872-V872)/2,"")</f>
        <v/>
      </c>
      <c r="AA872" s="7" t="str">
        <f aca="false">IF(COUNT(U872:X872)=4,MAX(1,MIN(10,ROUNDUP(5-Z872,0))),"")</f>
        <v/>
      </c>
      <c r="AB872" s="7" t="str">
        <f aca="false">IF(COUNT(U872:X872)=4,MAX(1,MIN(10,ROUNDUP(Y872+5,0))),"")</f>
        <v/>
      </c>
      <c r="AC872" s="6"/>
      <c r="AD872" s="6"/>
    </row>
    <row r="873" customFormat="false" ht="15" hidden="false" customHeight="true" outlineLevel="0" collapsed="false">
      <c r="A873" s="5" t="n">
        <v>872</v>
      </c>
      <c r="B873" s="5" t="s">
        <v>2204</v>
      </c>
      <c r="C873" s="5" t="s">
        <v>145</v>
      </c>
      <c r="D873" s="5" t="s">
        <v>51</v>
      </c>
      <c r="E873" s="5" t="n">
        <v>128</v>
      </c>
      <c r="F873" s="5" t="s">
        <v>2205</v>
      </c>
      <c r="G873" s="5" t="n">
        <v>4</v>
      </c>
      <c r="H873" s="5" t="s">
        <v>53</v>
      </c>
      <c r="I873" s="5" t="s">
        <v>54</v>
      </c>
      <c r="J873" s="5" t="s">
        <v>55</v>
      </c>
      <c r="K873" s="5" t="s">
        <v>55</v>
      </c>
      <c r="L873" s="5" t="n">
        <v>8</v>
      </c>
      <c r="M873" s="5" t="n">
        <v>2</v>
      </c>
      <c r="N873" s="5" t="n">
        <v>8</v>
      </c>
      <c r="O873" s="5" t="n">
        <v>4</v>
      </c>
      <c r="P873" s="5" t="n">
        <v>2</v>
      </c>
      <c r="Q873" s="5" t="n">
        <v>3</v>
      </c>
      <c r="R873" s="5" t="n">
        <v>2</v>
      </c>
      <c r="S873" s="5" t="n">
        <v>7</v>
      </c>
      <c r="T873" s="5" t="s">
        <v>2206</v>
      </c>
      <c r="U873" s="6"/>
      <c r="V873" s="6"/>
      <c r="W873" s="6"/>
      <c r="X873" s="6"/>
      <c r="Y873" s="7" t="str">
        <f aca="false">IF(COUNT(U873:X873)=4,(W873-X873)/2,"")</f>
        <v/>
      </c>
      <c r="Z873" s="7" t="str">
        <f aca="false">IF(COUNT(U873:X873)=4,(U873-V873)/2,"")</f>
        <v/>
      </c>
      <c r="AA873" s="7" t="str">
        <f aca="false">IF(COUNT(U873:X873)=4,MAX(1,MIN(10,ROUNDUP(5-Z873,0))),"")</f>
        <v/>
      </c>
      <c r="AB873" s="7" t="str">
        <f aca="false">IF(COUNT(U873:X873)=4,MAX(1,MIN(10,ROUNDUP(Y873+5,0))),"")</f>
        <v/>
      </c>
      <c r="AC873" s="6"/>
      <c r="AD873" s="6"/>
    </row>
    <row r="874" customFormat="false" ht="15" hidden="false" customHeight="true" outlineLevel="0" collapsed="false">
      <c r="A874" s="5" t="n">
        <v>873</v>
      </c>
      <c r="B874" s="5" t="s">
        <v>2207</v>
      </c>
      <c r="C874" s="5" t="s">
        <v>171</v>
      </c>
      <c r="D874" s="5" t="s">
        <v>172</v>
      </c>
      <c r="E874" s="5" t="n">
        <v>128</v>
      </c>
      <c r="F874" s="5" t="s">
        <v>2208</v>
      </c>
      <c r="G874" s="5" t="n">
        <v>4</v>
      </c>
      <c r="H874" s="5" t="s">
        <v>53</v>
      </c>
      <c r="I874" s="5" t="s">
        <v>54</v>
      </c>
      <c r="J874" s="5" t="s">
        <v>181</v>
      </c>
      <c r="K874" s="5" t="s">
        <v>551</v>
      </c>
      <c r="L874" s="5" t="n">
        <v>2</v>
      </c>
      <c r="M874" s="5" t="n">
        <v>5</v>
      </c>
      <c r="N874" s="5" t="n">
        <v>8</v>
      </c>
      <c r="O874" s="5" t="n">
        <v>2</v>
      </c>
      <c r="P874" s="5" t="n">
        <v>3</v>
      </c>
      <c r="Q874" s="5" t="n">
        <v>-1.5</v>
      </c>
      <c r="R874" s="5" t="n">
        <v>7</v>
      </c>
      <c r="S874" s="5" t="n">
        <v>8</v>
      </c>
      <c r="T874" s="5" t="s">
        <v>2209</v>
      </c>
      <c r="U874" s="6"/>
      <c r="V874" s="6"/>
      <c r="W874" s="6"/>
      <c r="X874" s="6"/>
      <c r="Y874" s="7" t="str">
        <f aca="false">IF(COUNT(U874:X874)=4,(W874-X874)/2,"")</f>
        <v/>
      </c>
      <c r="Z874" s="7" t="str">
        <f aca="false">IF(COUNT(U874:X874)=4,(U874-V874)/2,"")</f>
        <v/>
      </c>
      <c r="AA874" s="7" t="str">
        <f aca="false">IF(COUNT(U874:X874)=4,MAX(1,MIN(10,ROUNDUP(5-Z874,0))),"")</f>
        <v/>
      </c>
      <c r="AB874" s="7" t="str">
        <f aca="false">IF(COUNT(U874:X874)=4,MAX(1,MIN(10,ROUNDUP(Y874+5,0))),"")</f>
        <v/>
      </c>
      <c r="AC874" s="6"/>
      <c r="AD874" s="6"/>
    </row>
    <row r="875" customFormat="false" ht="15" hidden="false" customHeight="true" outlineLevel="0" collapsed="false">
      <c r="A875" s="5" t="n">
        <v>874</v>
      </c>
      <c r="B875" s="5" t="s">
        <v>2210</v>
      </c>
      <c r="C875" s="5" t="s">
        <v>171</v>
      </c>
      <c r="D875" s="5" t="s">
        <v>172</v>
      </c>
      <c r="E875" s="5" t="n">
        <v>128</v>
      </c>
      <c r="F875" s="5" t="s">
        <v>2211</v>
      </c>
      <c r="G875" s="5" t="n">
        <v>4</v>
      </c>
      <c r="H875" s="5" t="s">
        <v>53</v>
      </c>
      <c r="I875" s="5" t="s">
        <v>54</v>
      </c>
      <c r="J875" s="5" t="s">
        <v>181</v>
      </c>
      <c r="K875" s="5" t="s">
        <v>413</v>
      </c>
      <c r="L875" s="5" t="n">
        <v>5</v>
      </c>
      <c r="M875" s="5" t="n">
        <v>3</v>
      </c>
      <c r="N875" s="5" t="n">
        <v>3</v>
      </c>
      <c r="O875" s="5" t="n">
        <v>8</v>
      </c>
      <c r="P875" s="5" t="n">
        <v>-2.5</v>
      </c>
      <c r="Q875" s="5" t="n">
        <v>1</v>
      </c>
      <c r="R875" s="5" t="n">
        <v>4</v>
      </c>
      <c r="S875" s="5" t="n">
        <v>3</v>
      </c>
      <c r="T875" s="5" t="s">
        <v>2212</v>
      </c>
      <c r="U875" s="6"/>
      <c r="V875" s="6"/>
      <c r="W875" s="6"/>
      <c r="X875" s="6"/>
      <c r="Y875" s="7" t="str">
        <f aca="false">IF(COUNT(U875:X875)=4,(W875-X875)/2,"")</f>
        <v/>
      </c>
      <c r="Z875" s="7" t="str">
        <f aca="false">IF(COUNT(U875:X875)=4,(U875-V875)/2,"")</f>
        <v/>
      </c>
      <c r="AA875" s="7" t="str">
        <f aca="false">IF(COUNT(U875:X875)=4,MAX(1,MIN(10,ROUNDUP(5-Z875,0))),"")</f>
        <v/>
      </c>
      <c r="AB875" s="7" t="str">
        <f aca="false">IF(COUNT(U875:X875)=4,MAX(1,MIN(10,ROUNDUP(Y875+5,0))),"")</f>
        <v/>
      </c>
      <c r="AC875" s="6"/>
      <c r="AD875" s="6"/>
    </row>
    <row r="876" customFormat="false" ht="15" hidden="false" customHeight="true" outlineLevel="0" collapsed="false">
      <c r="A876" s="5" t="n">
        <v>875</v>
      </c>
      <c r="B876" s="5" t="s">
        <v>2213</v>
      </c>
      <c r="C876" s="5" t="s">
        <v>145</v>
      </c>
      <c r="D876" s="5" t="s">
        <v>51</v>
      </c>
      <c r="E876" s="5" t="n">
        <v>128</v>
      </c>
      <c r="F876" s="5" t="s">
        <v>2214</v>
      </c>
      <c r="G876" s="5" t="n">
        <v>4</v>
      </c>
      <c r="H876" s="5" t="s">
        <v>53</v>
      </c>
      <c r="I876" s="5" t="s">
        <v>54</v>
      </c>
      <c r="J876" s="5" t="s">
        <v>55</v>
      </c>
      <c r="K876" s="5" t="s">
        <v>55</v>
      </c>
      <c r="L876" s="5" t="n">
        <v>6</v>
      </c>
      <c r="M876" s="5" t="n">
        <v>2</v>
      </c>
      <c r="N876" s="5" t="n">
        <v>5</v>
      </c>
      <c r="O876" s="5" t="n">
        <v>8</v>
      </c>
      <c r="P876" s="5" t="n">
        <v>-1.5</v>
      </c>
      <c r="Q876" s="5" t="n">
        <v>2</v>
      </c>
      <c r="R876" s="5" t="n">
        <v>3</v>
      </c>
      <c r="S876" s="5" t="n">
        <v>4</v>
      </c>
      <c r="T876" s="5" t="s">
        <v>247</v>
      </c>
      <c r="U876" s="6"/>
      <c r="V876" s="6"/>
      <c r="W876" s="6"/>
      <c r="X876" s="6"/>
      <c r="Y876" s="7" t="str">
        <f aca="false">IF(COUNT(U876:X876)=4,(W876-X876)/2,"")</f>
        <v/>
      </c>
      <c r="Z876" s="7" t="str">
        <f aca="false">IF(COUNT(U876:X876)=4,(U876-V876)/2,"")</f>
        <v/>
      </c>
      <c r="AA876" s="7" t="str">
        <f aca="false">IF(COUNT(U876:X876)=4,MAX(1,MIN(10,ROUNDUP(5-Z876,0))),"")</f>
        <v/>
      </c>
      <c r="AB876" s="7" t="str">
        <f aca="false">IF(COUNT(U876:X876)=4,MAX(1,MIN(10,ROUNDUP(Y876+5,0))),"")</f>
        <v/>
      </c>
      <c r="AC876" s="6"/>
      <c r="AD876" s="6"/>
    </row>
    <row r="877" customFormat="false" ht="15" hidden="false" customHeight="true" outlineLevel="0" collapsed="false">
      <c r="A877" s="5" t="n">
        <v>876</v>
      </c>
      <c r="B877" s="5" t="s">
        <v>2215</v>
      </c>
      <c r="C877" s="5" t="s">
        <v>203</v>
      </c>
      <c r="D877" s="5" t="s">
        <v>204</v>
      </c>
      <c r="E877" s="5" t="n">
        <v>127</v>
      </c>
      <c r="F877" s="5" t="s">
        <v>2215</v>
      </c>
      <c r="G877" s="5" t="n">
        <v>4</v>
      </c>
      <c r="H877" s="5" t="s">
        <v>53</v>
      </c>
      <c r="I877" s="5" t="s">
        <v>54</v>
      </c>
      <c r="J877" s="5" t="s">
        <v>117</v>
      </c>
      <c r="K877" s="5" t="s">
        <v>117</v>
      </c>
      <c r="L877" s="5" t="n">
        <v>8</v>
      </c>
      <c r="M877" s="5" t="n">
        <v>1</v>
      </c>
      <c r="N877" s="5" t="n">
        <v>1</v>
      </c>
      <c r="O877" s="5" t="n">
        <v>9</v>
      </c>
      <c r="P877" s="5" t="n">
        <v>-4</v>
      </c>
      <c r="Q877" s="5" t="n">
        <v>3.5</v>
      </c>
      <c r="R877" s="5" t="n">
        <v>2</v>
      </c>
      <c r="S877" s="5" t="n">
        <v>1</v>
      </c>
      <c r="T877" s="5" t="s">
        <v>2216</v>
      </c>
      <c r="U877" s="6"/>
      <c r="V877" s="6"/>
      <c r="W877" s="6"/>
      <c r="X877" s="6"/>
      <c r="Y877" s="7" t="str">
        <f aca="false">IF(COUNT(U877:X877)=4,(W877-X877)/2,"")</f>
        <v/>
      </c>
      <c r="Z877" s="7" t="str">
        <f aca="false">IF(COUNT(U877:X877)=4,(U877-V877)/2,"")</f>
        <v/>
      </c>
      <c r="AA877" s="7" t="str">
        <f aca="false">IF(COUNT(U877:X877)=4,MAX(1,MIN(10,ROUNDUP(5-Z877,0))),"")</f>
        <v/>
      </c>
      <c r="AB877" s="7" t="str">
        <f aca="false">IF(COUNT(U877:X877)=4,MAX(1,MIN(10,ROUNDUP(Y877+5,0))),"")</f>
        <v/>
      </c>
      <c r="AC877" s="6"/>
      <c r="AD877" s="6"/>
    </row>
    <row r="878" customFormat="false" ht="15" hidden="false" customHeight="true" outlineLevel="0" collapsed="false">
      <c r="A878" s="5" t="n">
        <v>877</v>
      </c>
      <c r="B878" s="5" t="s">
        <v>2217</v>
      </c>
      <c r="C878" s="5" t="s">
        <v>171</v>
      </c>
      <c r="D878" s="5" t="s">
        <v>172</v>
      </c>
      <c r="E878" s="5" t="n">
        <v>127</v>
      </c>
      <c r="F878" s="5" t="s">
        <v>2218</v>
      </c>
      <c r="G878" s="5" t="n">
        <v>4</v>
      </c>
      <c r="H878" s="5" t="s">
        <v>53</v>
      </c>
      <c r="I878" s="5" t="s">
        <v>54</v>
      </c>
      <c r="J878" s="5" t="s">
        <v>181</v>
      </c>
      <c r="K878" s="5" t="s">
        <v>413</v>
      </c>
      <c r="L878" s="5" t="n">
        <v>5</v>
      </c>
      <c r="M878" s="5" t="n">
        <v>3</v>
      </c>
      <c r="N878" s="5" t="n">
        <v>3</v>
      </c>
      <c r="O878" s="5" t="n">
        <v>8</v>
      </c>
      <c r="P878" s="5" t="n">
        <v>-2.5</v>
      </c>
      <c r="Q878" s="5" t="n">
        <v>1</v>
      </c>
      <c r="R878" s="5" t="n">
        <v>4</v>
      </c>
      <c r="S878" s="5" t="n">
        <v>3</v>
      </c>
      <c r="T878" s="5" t="s">
        <v>2219</v>
      </c>
      <c r="U878" s="6"/>
      <c r="V878" s="6"/>
      <c r="W878" s="6"/>
      <c r="X878" s="6"/>
      <c r="Y878" s="7" t="str">
        <f aca="false">IF(COUNT(U878:X878)=4,(W878-X878)/2,"")</f>
        <v/>
      </c>
      <c r="Z878" s="7" t="str">
        <f aca="false">IF(COUNT(U878:X878)=4,(U878-V878)/2,"")</f>
        <v/>
      </c>
      <c r="AA878" s="7" t="str">
        <f aca="false">IF(COUNT(U878:X878)=4,MAX(1,MIN(10,ROUNDUP(5-Z878,0))),"")</f>
        <v/>
      </c>
      <c r="AB878" s="7" t="str">
        <f aca="false">IF(COUNT(U878:X878)=4,MAX(1,MIN(10,ROUNDUP(Y878+5,0))),"")</f>
        <v/>
      </c>
      <c r="AC878" s="6"/>
      <c r="AD878" s="6"/>
    </row>
    <row r="879" customFormat="false" ht="15" hidden="false" customHeight="true" outlineLevel="0" collapsed="false">
      <c r="A879" s="5" t="n">
        <v>878</v>
      </c>
      <c r="B879" s="5" t="s">
        <v>2220</v>
      </c>
      <c r="C879" s="5" t="s">
        <v>145</v>
      </c>
      <c r="D879" s="5" t="s">
        <v>51</v>
      </c>
      <c r="E879" s="5" t="n">
        <v>127</v>
      </c>
      <c r="F879" s="5" t="s">
        <v>2221</v>
      </c>
      <c r="G879" s="5" t="n">
        <v>4</v>
      </c>
      <c r="H879" s="5" t="s">
        <v>53</v>
      </c>
      <c r="I879" s="5" t="s">
        <v>54</v>
      </c>
      <c r="J879" s="5" t="s">
        <v>181</v>
      </c>
      <c r="K879" s="5" t="s">
        <v>235</v>
      </c>
      <c r="L879" s="5" t="n">
        <v>5</v>
      </c>
      <c r="M879" s="5" t="n">
        <v>4</v>
      </c>
      <c r="N879" s="5" t="n">
        <v>7</v>
      </c>
      <c r="O879" s="5" t="n">
        <v>4</v>
      </c>
      <c r="P879" s="5" t="n">
        <v>1.5</v>
      </c>
      <c r="Q879" s="5" t="n">
        <v>0.5</v>
      </c>
      <c r="R879" s="5" t="n">
        <v>5</v>
      </c>
      <c r="S879" s="5" t="n">
        <v>7</v>
      </c>
      <c r="T879" s="5" t="s">
        <v>2222</v>
      </c>
      <c r="U879" s="6"/>
      <c r="V879" s="6"/>
      <c r="W879" s="6"/>
      <c r="X879" s="6"/>
      <c r="Y879" s="7" t="str">
        <f aca="false">IF(COUNT(U879:X879)=4,(W879-X879)/2,"")</f>
        <v/>
      </c>
      <c r="Z879" s="7" t="str">
        <f aca="false">IF(COUNT(U879:X879)=4,(U879-V879)/2,"")</f>
        <v/>
      </c>
      <c r="AA879" s="7" t="str">
        <f aca="false">IF(COUNT(U879:X879)=4,MAX(1,MIN(10,ROUNDUP(5-Z879,0))),"")</f>
        <v/>
      </c>
      <c r="AB879" s="7" t="str">
        <f aca="false">IF(COUNT(U879:X879)=4,MAX(1,MIN(10,ROUNDUP(Y879+5,0))),"")</f>
        <v/>
      </c>
      <c r="AC879" s="6"/>
      <c r="AD879" s="6"/>
    </row>
    <row r="880" customFormat="false" ht="15" hidden="false" customHeight="true" outlineLevel="0" collapsed="false">
      <c r="A880" s="5" t="n">
        <v>879</v>
      </c>
      <c r="B880" s="5" t="s">
        <v>2223</v>
      </c>
      <c r="C880" s="5" t="s">
        <v>171</v>
      </c>
      <c r="D880" s="5" t="s">
        <v>172</v>
      </c>
      <c r="E880" s="5" t="n">
        <v>127</v>
      </c>
      <c r="F880" s="5" t="s">
        <v>2224</v>
      </c>
      <c r="G880" s="5" t="n">
        <v>4</v>
      </c>
      <c r="H880" s="5" t="s">
        <v>53</v>
      </c>
      <c r="I880" s="5" t="s">
        <v>54</v>
      </c>
      <c r="J880" s="5" t="s">
        <v>181</v>
      </c>
      <c r="K880" s="5" t="s">
        <v>279</v>
      </c>
      <c r="L880" s="5" t="n">
        <v>4</v>
      </c>
      <c r="M880" s="5" t="n">
        <v>4</v>
      </c>
      <c r="N880" s="5" t="n">
        <v>5</v>
      </c>
      <c r="O880" s="5" t="n">
        <v>7</v>
      </c>
      <c r="P880" s="5" t="n">
        <v>-1</v>
      </c>
      <c r="Q880" s="5" t="n">
        <v>0</v>
      </c>
      <c r="R880" s="5" t="n">
        <v>5</v>
      </c>
      <c r="S880" s="5" t="n">
        <v>4</v>
      </c>
      <c r="T880" s="5" t="s">
        <v>2225</v>
      </c>
      <c r="U880" s="6"/>
      <c r="V880" s="6"/>
      <c r="W880" s="6"/>
      <c r="X880" s="6"/>
      <c r="Y880" s="7" t="str">
        <f aca="false">IF(COUNT(U880:X880)=4,(W880-X880)/2,"")</f>
        <v/>
      </c>
      <c r="Z880" s="7" t="str">
        <f aca="false">IF(COUNT(U880:X880)=4,(U880-V880)/2,"")</f>
        <v/>
      </c>
      <c r="AA880" s="7" t="str">
        <f aca="false">IF(COUNT(U880:X880)=4,MAX(1,MIN(10,ROUNDUP(5-Z880,0))),"")</f>
        <v/>
      </c>
      <c r="AB880" s="7" t="str">
        <f aca="false">IF(COUNT(U880:X880)=4,MAX(1,MIN(10,ROUNDUP(Y880+5,0))),"")</f>
        <v/>
      </c>
      <c r="AC880" s="6"/>
      <c r="AD880" s="6"/>
    </row>
    <row r="881" customFormat="false" ht="15" hidden="false" customHeight="true" outlineLevel="0" collapsed="false">
      <c r="A881" s="5" t="n">
        <v>880</v>
      </c>
      <c r="B881" s="5" t="s">
        <v>2226</v>
      </c>
      <c r="C881" s="5" t="s">
        <v>145</v>
      </c>
      <c r="D881" s="5" t="s">
        <v>51</v>
      </c>
      <c r="E881" s="5" t="n">
        <v>127</v>
      </c>
      <c r="F881" s="5" t="s">
        <v>2227</v>
      </c>
      <c r="G881" s="5" t="n">
        <v>4</v>
      </c>
      <c r="H881" s="5" t="s">
        <v>53</v>
      </c>
      <c r="I881" s="5" t="s">
        <v>54</v>
      </c>
      <c r="J881" s="5" t="s">
        <v>55</v>
      </c>
      <c r="K881" s="5" t="s">
        <v>55</v>
      </c>
      <c r="L881" s="5" t="n">
        <v>4</v>
      </c>
      <c r="M881" s="5" t="n">
        <v>3</v>
      </c>
      <c r="N881" s="5" t="n">
        <v>6</v>
      </c>
      <c r="O881" s="5" t="n">
        <v>4</v>
      </c>
      <c r="P881" s="5" t="n">
        <v>1</v>
      </c>
      <c r="Q881" s="5" t="n">
        <v>0.5</v>
      </c>
      <c r="R881" s="5" t="n">
        <v>5</v>
      </c>
      <c r="S881" s="5" t="n">
        <v>6</v>
      </c>
      <c r="T881" s="5" t="s">
        <v>805</v>
      </c>
      <c r="U881" s="6"/>
      <c r="V881" s="6"/>
      <c r="W881" s="6"/>
      <c r="X881" s="6"/>
      <c r="Y881" s="7" t="str">
        <f aca="false">IF(COUNT(U881:X881)=4,(W881-X881)/2,"")</f>
        <v/>
      </c>
      <c r="Z881" s="7" t="str">
        <f aca="false">IF(COUNT(U881:X881)=4,(U881-V881)/2,"")</f>
        <v/>
      </c>
      <c r="AA881" s="7" t="str">
        <f aca="false">IF(COUNT(U881:X881)=4,MAX(1,MIN(10,ROUNDUP(5-Z881,0))),"")</f>
        <v/>
      </c>
      <c r="AB881" s="7" t="str">
        <f aca="false">IF(COUNT(U881:X881)=4,MAX(1,MIN(10,ROUNDUP(Y881+5,0))),"")</f>
        <v/>
      </c>
      <c r="AC881" s="6"/>
      <c r="AD881" s="6"/>
    </row>
    <row r="882" customFormat="false" ht="15" hidden="false" customHeight="true" outlineLevel="0" collapsed="false">
      <c r="A882" s="5" t="n">
        <v>881</v>
      </c>
      <c r="B882" s="5" t="s">
        <v>2228</v>
      </c>
      <c r="C882" s="5" t="s">
        <v>203</v>
      </c>
      <c r="D882" s="5" t="s">
        <v>204</v>
      </c>
      <c r="E882" s="5" t="n">
        <v>127</v>
      </c>
      <c r="F882" s="5" t="s">
        <v>2229</v>
      </c>
      <c r="G882" s="5" t="n">
        <v>4</v>
      </c>
      <c r="H882" s="5" t="s">
        <v>53</v>
      </c>
      <c r="I882" s="5" t="s">
        <v>54</v>
      </c>
      <c r="J882" s="5" t="s">
        <v>117</v>
      </c>
      <c r="K882" s="5" t="s">
        <v>117</v>
      </c>
      <c r="L882" s="5" t="n">
        <v>3</v>
      </c>
      <c r="M882" s="5" t="n">
        <v>1</v>
      </c>
      <c r="N882" s="5" t="n">
        <v>8</v>
      </c>
      <c r="O882" s="5" t="n">
        <v>2</v>
      </c>
      <c r="P882" s="5" t="n">
        <v>3</v>
      </c>
      <c r="Q882" s="5" t="n">
        <v>1</v>
      </c>
      <c r="R882" s="5" t="n">
        <v>4</v>
      </c>
      <c r="S882" s="5" t="n">
        <v>8</v>
      </c>
      <c r="T882" s="5" t="s">
        <v>2230</v>
      </c>
      <c r="U882" s="6"/>
      <c r="V882" s="6"/>
      <c r="W882" s="6"/>
      <c r="X882" s="6"/>
      <c r="Y882" s="7" t="str">
        <f aca="false">IF(COUNT(U882:X882)=4,(W882-X882)/2,"")</f>
        <v/>
      </c>
      <c r="Z882" s="7" t="str">
        <f aca="false">IF(COUNT(U882:X882)=4,(U882-V882)/2,"")</f>
        <v/>
      </c>
      <c r="AA882" s="7" t="str">
        <f aca="false">IF(COUNT(U882:X882)=4,MAX(1,MIN(10,ROUNDUP(5-Z882,0))),"")</f>
        <v/>
      </c>
      <c r="AB882" s="7" t="str">
        <f aca="false">IF(COUNT(U882:X882)=4,MAX(1,MIN(10,ROUNDUP(Y882+5,0))),"")</f>
        <v/>
      </c>
      <c r="AC882" s="6"/>
      <c r="AD882" s="6"/>
    </row>
    <row r="883" customFormat="false" ht="15" hidden="false" customHeight="true" outlineLevel="0" collapsed="false">
      <c r="A883" s="5" t="n">
        <v>882</v>
      </c>
      <c r="B883" s="5" t="s">
        <v>2231</v>
      </c>
      <c r="C883" s="5" t="s">
        <v>171</v>
      </c>
      <c r="D883" s="5" t="s">
        <v>172</v>
      </c>
      <c r="E883" s="5" t="n">
        <v>127</v>
      </c>
      <c r="F883" s="5" t="s">
        <v>2232</v>
      </c>
      <c r="G883" s="5" t="n">
        <v>4</v>
      </c>
      <c r="H883" s="5" t="s">
        <v>53</v>
      </c>
      <c r="I883" s="5" t="s">
        <v>54</v>
      </c>
      <c r="J883" s="5" t="s">
        <v>181</v>
      </c>
      <c r="K883" s="5" t="s">
        <v>443</v>
      </c>
      <c r="L883" s="5" t="n">
        <v>5</v>
      </c>
      <c r="M883" s="5" t="n">
        <v>3</v>
      </c>
      <c r="N883" s="5" t="n">
        <v>4</v>
      </c>
      <c r="O883" s="5" t="n">
        <v>8</v>
      </c>
      <c r="P883" s="5" t="n">
        <v>-2</v>
      </c>
      <c r="Q883" s="5" t="n">
        <v>1</v>
      </c>
      <c r="R883" s="5" t="n">
        <v>4</v>
      </c>
      <c r="S883" s="5" t="n">
        <v>3</v>
      </c>
      <c r="T883" s="5" t="s">
        <v>433</v>
      </c>
      <c r="U883" s="6"/>
      <c r="V883" s="6"/>
      <c r="W883" s="6"/>
      <c r="X883" s="6"/>
      <c r="Y883" s="7" t="str">
        <f aca="false">IF(COUNT(U883:X883)=4,(W883-X883)/2,"")</f>
        <v/>
      </c>
      <c r="Z883" s="7" t="str">
        <f aca="false">IF(COUNT(U883:X883)=4,(U883-V883)/2,"")</f>
        <v/>
      </c>
      <c r="AA883" s="7" t="str">
        <f aca="false">IF(COUNT(U883:X883)=4,MAX(1,MIN(10,ROUNDUP(5-Z883,0))),"")</f>
        <v/>
      </c>
      <c r="AB883" s="7" t="str">
        <f aca="false">IF(COUNT(U883:X883)=4,MAX(1,MIN(10,ROUNDUP(Y883+5,0))),"")</f>
        <v/>
      </c>
      <c r="AC883" s="6"/>
      <c r="AD883" s="6"/>
    </row>
    <row r="884" customFormat="false" ht="15" hidden="false" customHeight="true" outlineLevel="0" collapsed="false">
      <c r="A884" s="5" t="n">
        <v>883</v>
      </c>
      <c r="B884" s="5" t="s">
        <v>2233</v>
      </c>
      <c r="C884" s="5" t="s">
        <v>171</v>
      </c>
      <c r="D884" s="5" t="s">
        <v>172</v>
      </c>
      <c r="E884" s="5" t="n">
        <v>127</v>
      </c>
      <c r="F884" s="5" t="s">
        <v>2234</v>
      </c>
      <c r="G884" s="5" t="n">
        <v>4</v>
      </c>
      <c r="H884" s="5" t="s">
        <v>53</v>
      </c>
      <c r="I884" s="5" t="s">
        <v>54</v>
      </c>
      <c r="J884" s="5" t="s">
        <v>181</v>
      </c>
      <c r="K884" s="5" t="s">
        <v>179</v>
      </c>
      <c r="L884" s="5" t="n">
        <v>3</v>
      </c>
      <c r="M884" s="5" t="n">
        <v>6</v>
      </c>
      <c r="N884" s="5" t="n">
        <v>2</v>
      </c>
      <c r="O884" s="5" t="n">
        <v>6</v>
      </c>
      <c r="P884" s="5" t="n">
        <v>-2</v>
      </c>
      <c r="Q884" s="5" t="n">
        <v>-1.5</v>
      </c>
      <c r="R884" s="5" t="n">
        <v>7</v>
      </c>
      <c r="S884" s="5" t="n">
        <v>3</v>
      </c>
      <c r="T884" s="5" t="s">
        <v>2235</v>
      </c>
      <c r="U884" s="6"/>
      <c r="V884" s="6"/>
      <c r="W884" s="6"/>
      <c r="X884" s="6"/>
      <c r="Y884" s="7" t="str">
        <f aca="false">IF(COUNT(U884:X884)=4,(W884-X884)/2,"")</f>
        <v/>
      </c>
      <c r="Z884" s="7" t="str">
        <f aca="false">IF(COUNT(U884:X884)=4,(U884-V884)/2,"")</f>
        <v/>
      </c>
      <c r="AA884" s="7" t="str">
        <f aca="false">IF(COUNT(U884:X884)=4,MAX(1,MIN(10,ROUNDUP(5-Z884,0))),"")</f>
        <v/>
      </c>
      <c r="AB884" s="7" t="str">
        <f aca="false">IF(COUNT(U884:X884)=4,MAX(1,MIN(10,ROUNDUP(Y884+5,0))),"")</f>
        <v/>
      </c>
      <c r="AC884" s="6"/>
      <c r="AD884" s="6"/>
    </row>
    <row r="885" customFormat="false" ht="15" hidden="false" customHeight="true" outlineLevel="0" collapsed="false">
      <c r="A885" s="5" t="n">
        <v>884</v>
      </c>
      <c r="B885" s="5" t="s">
        <v>2236</v>
      </c>
      <c r="C885" s="5" t="s">
        <v>108</v>
      </c>
      <c r="D885" s="5" t="s">
        <v>109</v>
      </c>
      <c r="E885" s="5" t="n">
        <v>127</v>
      </c>
      <c r="F885" s="5" t="s">
        <v>2236</v>
      </c>
      <c r="G885" s="5" t="n">
        <v>4</v>
      </c>
      <c r="H885" s="5" t="s">
        <v>53</v>
      </c>
      <c r="I885" s="5" t="s">
        <v>54</v>
      </c>
      <c r="J885" s="5" t="s">
        <v>117</v>
      </c>
      <c r="K885" s="5" t="s">
        <v>117</v>
      </c>
      <c r="L885" s="5" t="n">
        <v>3</v>
      </c>
      <c r="M885" s="5" t="n">
        <v>1</v>
      </c>
      <c r="N885" s="5" t="n">
        <v>1</v>
      </c>
      <c r="O885" s="5" t="n">
        <v>8</v>
      </c>
      <c r="P885" s="5" t="n">
        <v>-3.5</v>
      </c>
      <c r="Q885" s="5" t="n">
        <v>1</v>
      </c>
      <c r="R885" s="5" t="n">
        <v>4</v>
      </c>
      <c r="S885" s="5" t="n">
        <v>2</v>
      </c>
      <c r="T885" s="5" t="s">
        <v>2237</v>
      </c>
      <c r="U885" s="6"/>
      <c r="V885" s="6"/>
      <c r="W885" s="6"/>
      <c r="X885" s="6"/>
      <c r="Y885" s="7" t="str">
        <f aca="false">IF(COUNT(U885:X885)=4,(W885-X885)/2,"")</f>
        <v/>
      </c>
      <c r="Z885" s="7" t="str">
        <f aca="false">IF(COUNT(U885:X885)=4,(U885-V885)/2,"")</f>
        <v/>
      </c>
      <c r="AA885" s="7" t="str">
        <f aca="false">IF(COUNT(U885:X885)=4,MAX(1,MIN(10,ROUNDUP(5-Z885,0))),"")</f>
        <v/>
      </c>
      <c r="AB885" s="7" t="str">
        <f aca="false">IF(COUNT(U885:X885)=4,MAX(1,MIN(10,ROUNDUP(Y885+5,0))),"")</f>
        <v/>
      </c>
      <c r="AC885" s="6"/>
      <c r="AD885" s="6"/>
    </row>
    <row r="886" customFormat="false" ht="15" hidden="false" customHeight="true" outlineLevel="0" collapsed="false">
      <c r="A886" s="5" t="n">
        <v>885</v>
      </c>
      <c r="B886" s="5" t="s">
        <v>2238</v>
      </c>
      <c r="C886" s="5" t="s">
        <v>145</v>
      </c>
      <c r="D886" s="5" t="s">
        <v>51</v>
      </c>
      <c r="E886" s="5" t="n">
        <v>127</v>
      </c>
      <c r="F886" s="5" t="s">
        <v>2239</v>
      </c>
      <c r="G886" s="5" t="n">
        <v>4</v>
      </c>
      <c r="H886" s="5" t="s">
        <v>53</v>
      </c>
      <c r="I886" s="5" t="s">
        <v>54</v>
      </c>
      <c r="J886" s="5" t="s">
        <v>181</v>
      </c>
      <c r="K886" s="5" t="s">
        <v>840</v>
      </c>
      <c r="L886" s="5" t="n">
        <v>3</v>
      </c>
      <c r="M886" s="5" t="n">
        <v>6</v>
      </c>
      <c r="N886" s="5" t="n">
        <v>8</v>
      </c>
      <c r="O886" s="5" t="n">
        <v>2</v>
      </c>
      <c r="P886" s="5" t="n">
        <v>3</v>
      </c>
      <c r="Q886" s="5" t="n">
        <v>-1.5</v>
      </c>
      <c r="R886" s="5" t="n">
        <v>7</v>
      </c>
      <c r="S886" s="5" t="n">
        <v>8</v>
      </c>
      <c r="T886" s="5" t="s">
        <v>506</v>
      </c>
      <c r="U886" s="6"/>
      <c r="V886" s="6"/>
      <c r="W886" s="6"/>
      <c r="X886" s="6"/>
      <c r="Y886" s="7" t="str">
        <f aca="false">IF(COUNT(U886:X886)=4,(W886-X886)/2,"")</f>
        <v/>
      </c>
      <c r="Z886" s="7" t="str">
        <f aca="false">IF(COUNT(U886:X886)=4,(U886-V886)/2,"")</f>
        <v/>
      </c>
      <c r="AA886" s="7" t="str">
        <f aca="false">IF(COUNT(U886:X886)=4,MAX(1,MIN(10,ROUNDUP(5-Z886,0))),"")</f>
        <v/>
      </c>
      <c r="AB886" s="7" t="str">
        <f aca="false">IF(COUNT(U886:X886)=4,MAX(1,MIN(10,ROUNDUP(Y886+5,0))),"")</f>
        <v/>
      </c>
      <c r="AC886" s="6"/>
      <c r="AD886" s="6"/>
    </row>
    <row r="887" customFormat="false" ht="15" hidden="false" customHeight="true" outlineLevel="0" collapsed="false">
      <c r="A887" s="5" t="n">
        <v>886</v>
      </c>
      <c r="B887" s="5" t="s">
        <v>2240</v>
      </c>
      <c r="C887" s="5" t="s">
        <v>171</v>
      </c>
      <c r="D887" s="5" t="s">
        <v>172</v>
      </c>
      <c r="E887" s="5" t="n">
        <v>126</v>
      </c>
      <c r="F887" s="5" t="s">
        <v>2241</v>
      </c>
      <c r="G887" s="5" t="n">
        <v>4</v>
      </c>
      <c r="H887" s="5" t="s">
        <v>53</v>
      </c>
      <c r="I887" s="5" t="s">
        <v>54</v>
      </c>
      <c r="J887" s="5" t="s">
        <v>181</v>
      </c>
      <c r="K887" s="5" t="s">
        <v>443</v>
      </c>
      <c r="L887" s="5" t="n">
        <v>5</v>
      </c>
      <c r="M887" s="5" t="n">
        <v>3</v>
      </c>
      <c r="N887" s="5" t="n">
        <v>4</v>
      </c>
      <c r="O887" s="5" t="n">
        <v>8</v>
      </c>
      <c r="P887" s="5" t="n">
        <v>-2</v>
      </c>
      <c r="Q887" s="5" t="n">
        <v>1</v>
      </c>
      <c r="R887" s="5" t="n">
        <v>4</v>
      </c>
      <c r="S887" s="5" t="n">
        <v>3</v>
      </c>
      <c r="T887" s="5" t="s">
        <v>2242</v>
      </c>
      <c r="U887" s="6"/>
      <c r="V887" s="6"/>
      <c r="W887" s="6"/>
      <c r="X887" s="6"/>
      <c r="Y887" s="7" t="str">
        <f aca="false">IF(COUNT(U887:X887)=4,(W887-X887)/2,"")</f>
        <v/>
      </c>
      <c r="Z887" s="7" t="str">
        <f aca="false">IF(COUNT(U887:X887)=4,(U887-V887)/2,"")</f>
        <v/>
      </c>
      <c r="AA887" s="7" t="str">
        <f aca="false">IF(COUNT(U887:X887)=4,MAX(1,MIN(10,ROUNDUP(5-Z887,0))),"")</f>
        <v/>
      </c>
      <c r="AB887" s="7" t="str">
        <f aca="false">IF(COUNT(U887:X887)=4,MAX(1,MIN(10,ROUNDUP(Y887+5,0))),"")</f>
        <v/>
      </c>
      <c r="AC887" s="6"/>
      <c r="AD887" s="6"/>
    </row>
    <row r="888" customFormat="false" ht="15" hidden="false" customHeight="true" outlineLevel="0" collapsed="false">
      <c r="A888" s="5" t="n">
        <v>887</v>
      </c>
      <c r="B888" s="5" t="s">
        <v>1180</v>
      </c>
      <c r="C888" s="5" t="s">
        <v>171</v>
      </c>
      <c r="D888" s="5" t="s">
        <v>172</v>
      </c>
      <c r="E888" s="5" t="n">
        <v>126</v>
      </c>
      <c r="F888" s="5" t="s">
        <v>2243</v>
      </c>
      <c r="G888" s="5" t="n">
        <v>4</v>
      </c>
      <c r="H888" s="5" t="s">
        <v>53</v>
      </c>
      <c r="I888" s="5" t="s">
        <v>81</v>
      </c>
      <c r="J888" s="5" t="s">
        <v>174</v>
      </c>
      <c r="K888" s="5" t="s">
        <v>1180</v>
      </c>
      <c r="L888" s="5" t="n">
        <v>6</v>
      </c>
      <c r="M888" s="5" t="n">
        <v>4</v>
      </c>
      <c r="N888" s="5" t="n">
        <v>5</v>
      </c>
      <c r="O888" s="5" t="n">
        <v>7</v>
      </c>
      <c r="P888" s="5" t="n">
        <v>-1</v>
      </c>
      <c r="Q888" s="5" t="n">
        <v>1</v>
      </c>
      <c r="R888" s="5" t="n">
        <v>4</v>
      </c>
      <c r="S888" s="5" t="n">
        <v>4</v>
      </c>
      <c r="T888" s="5" t="s">
        <v>2244</v>
      </c>
      <c r="U888" s="6"/>
      <c r="V888" s="6"/>
      <c r="W888" s="6"/>
      <c r="X888" s="6"/>
      <c r="Y888" s="7" t="str">
        <f aca="false">IF(COUNT(U888:X888)=4,(W888-X888)/2,"")</f>
        <v/>
      </c>
      <c r="Z888" s="7" t="str">
        <f aca="false">IF(COUNT(U888:X888)=4,(U888-V888)/2,"")</f>
        <v/>
      </c>
      <c r="AA888" s="7" t="str">
        <f aca="false">IF(COUNT(U888:X888)=4,MAX(1,MIN(10,ROUNDUP(5-Z888,0))),"")</f>
        <v/>
      </c>
      <c r="AB888" s="7" t="str">
        <f aca="false">IF(COUNT(U888:X888)=4,MAX(1,MIN(10,ROUNDUP(Y888+5,0))),"")</f>
        <v/>
      </c>
      <c r="AC888" s="6"/>
      <c r="AD888" s="6"/>
    </row>
    <row r="889" customFormat="false" ht="15" hidden="false" customHeight="true" outlineLevel="0" collapsed="false">
      <c r="A889" s="5" t="n">
        <v>888</v>
      </c>
      <c r="B889" s="5" t="s">
        <v>2245</v>
      </c>
      <c r="C889" s="5" t="s">
        <v>171</v>
      </c>
      <c r="D889" s="5" t="s">
        <v>172</v>
      </c>
      <c r="E889" s="5" t="n">
        <v>126</v>
      </c>
      <c r="F889" s="5" t="s">
        <v>2246</v>
      </c>
      <c r="G889" s="5" t="n">
        <v>4</v>
      </c>
      <c r="H889" s="5" t="s">
        <v>53</v>
      </c>
      <c r="I889" s="5" t="s">
        <v>54</v>
      </c>
      <c r="J889" s="5" t="s">
        <v>181</v>
      </c>
      <c r="K889" s="5" t="s">
        <v>223</v>
      </c>
      <c r="L889" s="5" t="n">
        <v>3</v>
      </c>
      <c r="M889" s="5" t="n">
        <v>5</v>
      </c>
      <c r="N889" s="5" t="n">
        <v>7</v>
      </c>
      <c r="O889" s="5" t="n">
        <v>3</v>
      </c>
      <c r="P889" s="5" t="n">
        <v>2</v>
      </c>
      <c r="Q889" s="5" t="n">
        <v>-1</v>
      </c>
      <c r="R889" s="5" t="n">
        <v>6</v>
      </c>
      <c r="S889" s="5" t="n">
        <v>7</v>
      </c>
      <c r="T889" s="5" t="s">
        <v>2247</v>
      </c>
      <c r="U889" s="6"/>
      <c r="V889" s="6"/>
      <c r="W889" s="6"/>
      <c r="X889" s="6"/>
      <c r="Y889" s="7" t="str">
        <f aca="false">IF(COUNT(U889:X889)=4,(W889-X889)/2,"")</f>
        <v/>
      </c>
      <c r="Z889" s="7" t="str">
        <f aca="false">IF(COUNT(U889:X889)=4,(U889-V889)/2,"")</f>
        <v/>
      </c>
      <c r="AA889" s="7" t="str">
        <f aca="false">IF(COUNT(U889:X889)=4,MAX(1,MIN(10,ROUNDUP(5-Z889,0))),"")</f>
        <v/>
      </c>
      <c r="AB889" s="7" t="str">
        <f aca="false">IF(COUNT(U889:X889)=4,MAX(1,MIN(10,ROUNDUP(Y889+5,0))),"")</f>
        <v/>
      </c>
      <c r="AC889" s="6"/>
      <c r="AD889" s="6"/>
    </row>
    <row r="890" customFormat="false" ht="15" hidden="false" customHeight="true" outlineLevel="0" collapsed="false">
      <c r="A890" s="5" t="n">
        <v>889</v>
      </c>
      <c r="B890" s="5" t="s">
        <v>2248</v>
      </c>
      <c r="C890" s="5" t="s">
        <v>171</v>
      </c>
      <c r="D890" s="5" t="s">
        <v>172</v>
      </c>
      <c r="E890" s="5" t="n">
        <v>126</v>
      </c>
      <c r="F890" s="5" t="s">
        <v>2249</v>
      </c>
      <c r="G890" s="5" t="n">
        <v>4</v>
      </c>
      <c r="H890" s="5" t="s">
        <v>53</v>
      </c>
      <c r="I890" s="5" t="s">
        <v>54</v>
      </c>
      <c r="J890" s="5" t="s">
        <v>181</v>
      </c>
      <c r="K890" s="5" t="s">
        <v>443</v>
      </c>
      <c r="L890" s="5" t="n">
        <v>5</v>
      </c>
      <c r="M890" s="5" t="n">
        <v>3</v>
      </c>
      <c r="N890" s="5" t="n">
        <v>4</v>
      </c>
      <c r="O890" s="5" t="n">
        <v>8</v>
      </c>
      <c r="P890" s="5" t="n">
        <v>-2</v>
      </c>
      <c r="Q890" s="5" t="n">
        <v>1</v>
      </c>
      <c r="R890" s="5" t="n">
        <v>4</v>
      </c>
      <c r="S890" s="5" t="n">
        <v>3</v>
      </c>
      <c r="T890" s="5" t="s">
        <v>2250</v>
      </c>
      <c r="U890" s="6"/>
      <c r="V890" s="6"/>
      <c r="W890" s="6"/>
      <c r="X890" s="6"/>
      <c r="Y890" s="7" t="str">
        <f aca="false">IF(COUNT(U890:X890)=4,(W890-X890)/2,"")</f>
        <v/>
      </c>
      <c r="Z890" s="7" t="str">
        <f aca="false">IF(COUNT(U890:X890)=4,(U890-V890)/2,"")</f>
        <v/>
      </c>
      <c r="AA890" s="7" t="str">
        <f aca="false">IF(COUNT(U890:X890)=4,MAX(1,MIN(10,ROUNDUP(5-Z890,0))),"")</f>
        <v/>
      </c>
      <c r="AB890" s="7" t="str">
        <f aca="false">IF(COUNT(U890:X890)=4,MAX(1,MIN(10,ROUNDUP(Y890+5,0))),"")</f>
        <v/>
      </c>
      <c r="AC890" s="6"/>
      <c r="AD890" s="6"/>
    </row>
    <row r="891" customFormat="false" ht="15" hidden="false" customHeight="true" outlineLevel="0" collapsed="false">
      <c r="A891" s="5" t="n">
        <v>890</v>
      </c>
      <c r="B891" s="5" t="s">
        <v>2251</v>
      </c>
      <c r="C891" s="5" t="s">
        <v>171</v>
      </c>
      <c r="D891" s="5" t="s">
        <v>172</v>
      </c>
      <c r="E891" s="5" t="n">
        <v>126</v>
      </c>
      <c r="F891" s="5" t="s">
        <v>2252</v>
      </c>
      <c r="G891" s="5" t="n">
        <v>4</v>
      </c>
      <c r="H891" s="5" t="s">
        <v>53</v>
      </c>
      <c r="I891" s="5" t="s">
        <v>54</v>
      </c>
      <c r="J891" s="5" t="s">
        <v>181</v>
      </c>
      <c r="K891" s="5" t="s">
        <v>223</v>
      </c>
      <c r="L891" s="5" t="n">
        <v>3</v>
      </c>
      <c r="M891" s="5" t="n">
        <v>4</v>
      </c>
      <c r="N891" s="5" t="n">
        <v>6</v>
      </c>
      <c r="O891" s="5" t="n">
        <v>4</v>
      </c>
      <c r="P891" s="5" t="n">
        <v>1</v>
      </c>
      <c r="Q891" s="5" t="n">
        <v>-0.5</v>
      </c>
      <c r="R891" s="5" t="n">
        <v>6</v>
      </c>
      <c r="S891" s="5" t="n">
        <v>6</v>
      </c>
      <c r="T891" s="5" t="s">
        <v>2253</v>
      </c>
      <c r="U891" s="6"/>
      <c r="V891" s="6"/>
      <c r="W891" s="6"/>
      <c r="X891" s="6"/>
      <c r="Y891" s="7" t="str">
        <f aca="false">IF(COUNT(U891:X891)=4,(W891-X891)/2,"")</f>
        <v/>
      </c>
      <c r="Z891" s="7" t="str">
        <f aca="false">IF(COUNT(U891:X891)=4,(U891-V891)/2,"")</f>
        <v/>
      </c>
      <c r="AA891" s="7" t="str">
        <f aca="false">IF(COUNT(U891:X891)=4,MAX(1,MIN(10,ROUNDUP(5-Z891,0))),"")</f>
        <v/>
      </c>
      <c r="AB891" s="7" t="str">
        <f aca="false">IF(COUNT(U891:X891)=4,MAX(1,MIN(10,ROUNDUP(Y891+5,0))),"")</f>
        <v/>
      </c>
      <c r="AC891" s="6"/>
      <c r="AD891" s="6"/>
    </row>
    <row r="892" customFormat="false" ht="15" hidden="false" customHeight="true" outlineLevel="0" collapsed="false">
      <c r="A892" s="5" t="n">
        <v>891</v>
      </c>
      <c r="B892" s="5" t="s">
        <v>2254</v>
      </c>
      <c r="C892" s="5" t="s">
        <v>171</v>
      </c>
      <c r="D892" s="5" t="s">
        <v>172</v>
      </c>
      <c r="E892" s="5" t="n">
        <v>126</v>
      </c>
      <c r="F892" s="5" t="s">
        <v>2255</v>
      </c>
      <c r="G892" s="5" t="n">
        <v>4</v>
      </c>
      <c r="H892" s="5" t="s">
        <v>53</v>
      </c>
      <c r="I892" s="5" t="s">
        <v>54</v>
      </c>
      <c r="J892" s="5" t="s">
        <v>181</v>
      </c>
      <c r="K892" s="5" t="s">
        <v>574</v>
      </c>
      <c r="L892" s="5" t="n">
        <v>3</v>
      </c>
      <c r="M892" s="5" t="n">
        <v>5</v>
      </c>
      <c r="N892" s="5" t="n">
        <v>4</v>
      </c>
      <c r="O892" s="5" t="n">
        <v>7</v>
      </c>
      <c r="P892" s="5" t="n">
        <v>-1.5</v>
      </c>
      <c r="Q892" s="5" t="n">
        <v>-1</v>
      </c>
      <c r="R892" s="5" t="n">
        <v>6</v>
      </c>
      <c r="S892" s="5" t="n">
        <v>4</v>
      </c>
      <c r="T892" s="5" t="s">
        <v>1981</v>
      </c>
      <c r="U892" s="6"/>
      <c r="V892" s="6"/>
      <c r="W892" s="6"/>
      <c r="X892" s="6"/>
      <c r="Y892" s="7" t="str">
        <f aca="false">IF(COUNT(U892:X892)=4,(W892-X892)/2,"")</f>
        <v/>
      </c>
      <c r="Z892" s="7" t="str">
        <f aca="false">IF(COUNT(U892:X892)=4,(U892-V892)/2,"")</f>
        <v/>
      </c>
      <c r="AA892" s="7" t="str">
        <f aca="false">IF(COUNT(U892:X892)=4,MAX(1,MIN(10,ROUNDUP(5-Z892,0))),"")</f>
        <v/>
      </c>
      <c r="AB892" s="7" t="str">
        <f aca="false">IF(COUNT(U892:X892)=4,MAX(1,MIN(10,ROUNDUP(Y892+5,0))),"")</f>
        <v/>
      </c>
      <c r="AC892" s="6"/>
      <c r="AD892" s="6"/>
    </row>
    <row r="893" customFormat="false" ht="15" hidden="false" customHeight="true" outlineLevel="0" collapsed="false">
      <c r="A893" s="5" t="n">
        <v>892</v>
      </c>
      <c r="B893" s="5" t="s">
        <v>2256</v>
      </c>
      <c r="C893" s="5" t="s">
        <v>171</v>
      </c>
      <c r="D893" s="5" t="s">
        <v>172</v>
      </c>
      <c r="E893" s="5" t="n">
        <v>126</v>
      </c>
      <c r="F893" s="5" t="s">
        <v>2257</v>
      </c>
      <c r="G893" s="5" t="n">
        <v>4</v>
      </c>
      <c r="H893" s="5" t="s">
        <v>53</v>
      </c>
      <c r="I893" s="5" t="s">
        <v>54</v>
      </c>
      <c r="J893" s="5" t="s">
        <v>181</v>
      </c>
      <c r="K893" s="5" t="s">
        <v>427</v>
      </c>
      <c r="L893" s="5" t="n">
        <v>4</v>
      </c>
      <c r="M893" s="5" t="n">
        <v>4</v>
      </c>
      <c r="N893" s="5" t="n">
        <v>3</v>
      </c>
      <c r="O893" s="5" t="n">
        <v>8</v>
      </c>
      <c r="P893" s="5" t="n">
        <v>-2.5</v>
      </c>
      <c r="Q893" s="5" t="n">
        <v>0</v>
      </c>
      <c r="R893" s="5" t="n">
        <v>5</v>
      </c>
      <c r="S893" s="5" t="n">
        <v>3</v>
      </c>
      <c r="T893" s="5" t="s">
        <v>2258</v>
      </c>
      <c r="U893" s="6"/>
      <c r="V893" s="6"/>
      <c r="W893" s="6"/>
      <c r="X893" s="6"/>
      <c r="Y893" s="7" t="str">
        <f aca="false">IF(COUNT(U893:X893)=4,(W893-X893)/2,"")</f>
        <v/>
      </c>
      <c r="Z893" s="7" t="str">
        <f aca="false">IF(COUNT(U893:X893)=4,(U893-V893)/2,"")</f>
        <v/>
      </c>
      <c r="AA893" s="7" t="str">
        <f aca="false">IF(COUNT(U893:X893)=4,MAX(1,MIN(10,ROUNDUP(5-Z893,0))),"")</f>
        <v/>
      </c>
      <c r="AB893" s="7" t="str">
        <f aca="false">IF(COUNT(U893:X893)=4,MAX(1,MIN(10,ROUNDUP(Y893+5,0))),"")</f>
        <v/>
      </c>
      <c r="AC893" s="6"/>
      <c r="AD893" s="6"/>
    </row>
    <row r="894" customFormat="false" ht="15" hidden="false" customHeight="true" outlineLevel="0" collapsed="false">
      <c r="A894" s="5" t="n">
        <v>893</v>
      </c>
      <c r="B894" s="5" t="s">
        <v>2259</v>
      </c>
      <c r="C894" s="5" t="s">
        <v>145</v>
      </c>
      <c r="D894" s="5" t="s">
        <v>51</v>
      </c>
      <c r="E894" s="5" t="n">
        <v>126</v>
      </c>
      <c r="F894" s="5" t="s">
        <v>2260</v>
      </c>
      <c r="G894" s="5" t="n">
        <v>4</v>
      </c>
      <c r="H894" s="5" t="s">
        <v>53</v>
      </c>
      <c r="I894" s="5" t="s">
        <v>54</v>
      </c>
      <c r="J894" s="5" t="s">
        <v>55</v>
      </c>
      <c r="K894" s="5" t="s">
        <v>55</v>
      </c>
      <c r="L894" s="5" t="n">
        <v>5</v>
      </c>
      <c r="M894" s="5" t="n">
        <v>2</v>
      </c>
      <c r="N894" s="5" t="n">
        <v>5</v>
      </c>
      <c r="O894" s="5" t="n">
        <v>8</v>
      </c>
      <c r="P894" s="5" t="n">
        <v>-1.5</v>
      </c>
      <c r="Q894" s="5" t="n">
        <v>1.5</v>
      </c>
      <c r="R894" s="5" t="n">
        <v>4</v>
      </c>
      <c r="S894" s="5" t="n">
        <v>4</v>
      </c>
      <c r="T894" s="5" t="s">
        <v>808</v>
      </c>
      <c r="U894" s="6"/>
      <c r="V894" s="6"/>
      <c r="W894" s="6"/>
      <c r="X894" s="6"/>
      <c r="Y894" s="7" t="str">
        <f aca="false">IF(COUNT(U894:X894)=4,(W894-X894)/2,"")</f>
        <v/>
      </c>
      <c r="Z894" s="7" t="str">
        <f aca="false">IF(COUNT(U894:X894)=4,(U894-V894)/2,"")</f>
        <v/>
      </c>
      <c r="AA894" s="7" t="str">
        <f aca="false">IF(COUNT(U894:X894)=4,MAX(1,MIN(10,ROUNDUP(5-Z894,0))),"")</f>
        <v/>
      </c>
      <c r="AB894" s="7" t="str">
        <f aca="false">IF(COUNT(U894:X894)=4,MAX(1,MIN(10,ROUNDUP(Y894+5,0))),"")</f>
        <v/>
      </c>
      <c r="AC894" s="6"/>
      <c r="AD894" s="6"/>
    </row>
    <row r="895" customFormat="false" ht="15" hidden="false" customHeight="true" outlineLevel="0" collapsed="false">
      <c r="A895" s="5" t="n">
        <v>894</v>
      </c>
      <c r="B895" s="5" t="s">
        <v>2261</v>
      </c>
      <c r="C895" s="5" t="s">
        <v>108</v>
      </c>
      <c r="D895" s="5" t="s">
        <v>109</v>
      </c>
      <c r="E895" s="5" t="n">
        <v>125</v>
      </c>
      <c r="F895" s="5" t="s">
        <v>2261</v>
      </c>
      <c r="G895" s="5" t="n">
        <v>4</v>
      </c>
      <c r="H895" s="5" t="s">
        <v>53</v>
      </c>
      <c r="I895" s="5" t="s">
        <v>54</v>
      </c>
      <c r="J895" s="5" t="s">
        <v>117</v>
      </c>
      <c r="K895" s="5" t="s">
        <v>117</v>
      </c>
      <c r="L895" s="5" t="n">
        <v>3</v>
      </c>
      <c r="M895" s="5" t="n">
        <v>1</v>
      </c>
      <c r="N895" s="5" t="n">
        <v>1</v>
      </c>
      <c r="O895" s="5" t="n">
        <v>8</v>
      </c>
      <c r="P895" s="5" t="n">
        <v>-3.5</v>
      </c>
      <c r="Q895" s="5" t="n">
        <v>1</v>
      </c>
      <c r="R895" s="5" t="n">
        <v>4</v>
      </c>
      <c r="S895" s="5" t="n">
        <v>2</v>
      </c>
      <c r="T895" s="5" t="s">
        <v>92</v>
      </c>
      <c r="U895" s="6"/>
      <c r="V895" s="6"/>
      <c r="W895" s="6"/>
      <c r="X895" s="6"/>
      <c r="Y895" s="7" t="str">
        <f aca="false">IF(COUNT(U895:X895)=4,(W895-X895)/2,"")</f>
        <v/>
      </c>
      <c r="Z895" s="7" t="str">
        <f aca="false">IF(COUNT(U895:X895)=4,(U895-V895)/2,"")</f>
        <v/>
      </c>
      <c r="AA895" s="7" t="str">
        <f aca="false">IF(COUNT(U895:X895)=4,MAX(1,MIN(10,ROUNDUP(5-Z895,0))),"")</f>
        <v/>
      </c>
      <c r="AB895" s="7" t="str">
        <f aca="false">IF(COUNT(U895:X895)=4,MAX(1,MIN(10,ROUNDUP(Y895+5,0))),"")</f>
        <v/>
      </c>
      <c r="AC895" s="6"/>
      <c r="AD895" s="6"/>
    </row>
    <row r="896" customFormat="false" ht="15" hidden="false" customHeight="true" outlineLevel="0" collapsed="false">
      <c r="A896" s="5" t="n">
        <v>895</v>
      </c>
      <c r="B896" s="5" t="s">
        <v>2262</v>
      </c>
      <c r="C896" s="5" t="s">
        <v>203</v>
      </c>
      <c r="D896" s="5" t="s">
        <v>204</v>
      </c>
      <c r="E896" s="5" t="n">
        <v>125</v>
      </c>
      <c r="F896" s="5" t="s">
        <v>2263</v>
      </c>
      <c r="G896" s="5" t="n">
        <v>4</v>
      </c>
      <c r="H896" s="5" t="s">
        <v>53</v>
      </c>
      <c r="I896" s="5" t="s">
        <v>54</v>
      </c>
      <c r="J896" s="5" t="s">
        <v>117</v>
      </c>
      <c r="K896" s="5" t="s">
        <v>117</v>
      </c>
      <c r="L896" s="5" t="n">
        <v>6</v>
      </c>
      <c r="M896" s="5" t="n">
        <v>1</v>
      </c>
      <c r="N896" s="5" t="n">
        <v>2</v>
      </c>
      <c r="O896" s="5" t="n">
        <v>7</v>
      </c>
      <c r="P896" s="5" t="n">
        <v>-2.5</v>
      </c>
      <c r="Q896" s="5" t="n">
        <v>2.5</v>
      </c>
      <c r="R896" s="5" t="n">
        <v>3</v>
      </c>
      <c r="S896" s="5" t="n">
        <v>3</v>
      </c>
      <c r="T896" s="5" t="s">
        <v>952</v>
      </c>
      <c r="U896" s="6"/>
      <c r="V896" s="6"/>
      <c r="W896" s="6"/>
      <c r="X896" s="6"/>
      <c r="Y896" s="7" t="str">
        <f aca="false">IF(COUNT(U896:X896)=4,(W896-X896)/2,"")</f>
        <v/>
      </c>
      <c r="Z896" s="7" t="str">
        <f aca="false">IF(COUNT(U896:X896)=4,(U896-V896)/2,"")</f>
        <v/>
      </c>
      <c r="AA896" s="7" t="str">
        <f aca="false">IF(COUNT(U896:X896)=4,MAX(1,MIN(10,ROUNDUP(5-Z896,0))),"")</f>
        <v/>
      </c>
      <c r="AB896" s="7" t="str">
        <f aca="false">IF(COUNT(U896:X896)=4,MAX(1,MIN(10,ROUNDUP(Y896+5,0))),"")</f>
        <v/>
      </c>
      <c r="AC896" s="6"/>
      <c r="AD896" s="6"/>
    </row>
    <row r="897" customFormat="false" ht="15" hidden="false" customHeight="true" outlineLevel="0" collapsed="false">
      <c r="A897" s="5" t="n">
        <v>896</v>
      </c>
      <c r="B897" s="5" t="s">
        <v>2264</v>
      </c>
      <c r="C897" s="5" t="s">
        <v>203</v>
      </c>
      <c r="D897" s="5" t="s">
        <v>204</v>
      </c>
      <c r="E897" s="5" t="n">
        <v>125</v>
      </c>
      <c r="F897" s="5" t="s">
        <v>2265</v>
      </c>
      <c r="G897" s="5" t="n">
        <v>4</v>
      </c>
      <c r="H897" s="5" t="s">
        <v>53</v>
      </c>
      <c r="I897" s="5" t="s">
        <v>54</v>
      </c>
      <c r="J897" s="5" t="s">
        <v>117</v>
      </c>
      <c r="K897" s="5" t="s">
        <v>117</v>
      </c>
      <c r="L897" s="5" t="n">
        <v>5</v>
      </c>
      <c r="M897" s="5" t="n">
        <v>1</v>
      </c>
      <c r="N897" s="5" t="n">
        <v>8</v>
      </c>
      <c r="O897" s="5" t="n">
        <v>2</v>
      </c>
      <c r="P897" s="5" t="n">
        <v>3</v>
      </c>
      <c r="Q897" s="5" t="n">
        <v>2</v>
      </c>
      <c r="R897" s="5" t="n">
        <v>3</v>
      </c>
      <c r="S897" s="5" t="n">
        <v>8</v>
      </c>
      <c r="T897" s="5" t="s">
        <v>2266</v>
      </c>
      <c r="U897" s="6"/>
      <c r="V897" s="6"/>
      <c r="W897" s="6"/>
      <c r="X897" s="6"/>
      <c r="Y897" s="7" t="str">
        <f aca="false">IF(COUNT(U897:X897)=4,(W897-X897)/2,"")</f>
        <v/>
      </c>
      <c r="Z897" s="7" t="str">
        <f aca="false">IF(COUNT(U897:X897)=4,(U897-V897)/2,"")</f>
        <v/>
      </c>
      <c r="AA897" s="7" t="str">
        <f aca="false">IF(COUNT(U897:X897)=4,MAX(1,MIN(10,ROUNDUP(5-Z897,0))),"")</f>
        <v/>
      </c>
      <c r="AB897" s="7" t="str">
        <f aca="false">IF(COUNT(U897:X897)=4,MAX(1,MIN(10,ROUNDUP(Y897+5,0))),"")</f>
        <v/>
      </c>
      <c r="AC897" s="6"/>
      <c r="AD897" s="6"/>
    </row>
    <row r="898" customFormat="false" ht="15" hidden="false" customHeight="true" outlineLevel="0" collapsed="false">
      <c r="A898" s="5" t="n">
        <v>897</v>
      </c>
      <c r="B898" s="5" t="s">
        <v>2267</v>
      </c>
      <c r="C898" s="5" t="s">
        <v>171</v>
      </c>
      <c r="D898" s="5" t="s">
        <v>172</v>
      </c>
      <c r="E898" s="5" t="n">
        <v>125</v>
      </c>
      <c r="F898" s="5" t="s">
        <v>2268</v>
      </c>
      <c r="G898" s="5" t="n">
        <v>4</v>
      </c>
      <c r="H898" s="5" t="s">
        <v>53</v>
      </c>
      <c r="I898" s="5" t="s">
        <v>54</v>
      </c>
      <c r="J898" s="5" t="s">
        <v>181</v>
      </c>
      <c r="K898" s="5" t="s">
        <v>413</v>
      </c>
      <c r="L898" s="5" t="n">
        <v>10</v>
      </c>
      <c r="M898" s="5" t="n">
        <v>2</v>
      </c>
      <c r="N898" s="5" t="n">
        <v>3</v>
      </c>
      <c r="O898" s="5" t="n">
        <v>8</v>
      </c>
      <c r="P898" s="5" t="n">
        <v>-2.5</v>
      </c>
      <c r="Q898" s="5" t="n">
        <v>4</v>
      </c>
      <c r="R898" s="5" t="n">
        <v>1</v>
      </c>
      <c r="S898" s="5" t="n">
        <v>3</v>
      </c>
      <c r="T898" s="5" t="s">
        <v>2269</v>
      </c>
      <c r="U898" s="6"/>
      <c r="V898" s="6"/>
      <c r="W898" s="6"/>
      <c r="X898" s="6"/>
      <c r="Y898" s="7" t="str">
        <f aca="false">IF(COUNT(U898:X898)=4,(W898-X898)/2,"")</f>
        <v/>
      </c>
      <c r="Z898" s="7" t="str">
        <f aca="false">IF(COUNT(U898:X898)=4,(U898-V898)/2,"")</f>
        <v/>
      </c>
      <c r="AA898" s="7" t="str">
        <f aca="false">IF(COUNT(U898:X898)=4,MAX(1,MIN(10,ROUNDUP(5-Z898,0))),"")</f>
        <v/>
      </c>
      <c r="AB898" s="7" t="str">
        <f aca="false">IF(COUNT(U898:X898)=4,MAX(1,MIN(10,ROUNDUP(Y898+5,0))),"")</f>
        <v/>
      </c>
      <c r="AC898" s="6"/>
      <c r="AD898" s="6"/>
    </row>
    <row r="899" customFormat="false" ht="15" hidden="false" customHeight="true" outlineLevel="0" collapsed="false">
      <c r="A899" s="5" t="n">
        <v>898</v>
      </c>
      <c r="B899" s="5" t="s">
        <v>2270</v>
      </c>
      <c r="C899" s="5" t="s">
        <v>145</v>
      </c>
      <c r="D899" s="5" t="s">
        <v>51</v>
      </c>
      <c r="E899" s="5" t="n">
        <v>125</v>
      </c>
      <c r="F899" s="5" t="s">
        <v>2271</v>
      </c>
      <c r="G899" s="5" t="n">
        <v>4</v>
      </c>
      <c r="H899" s="5" t="s">
        <v>53</v>
      </c>
      <c r="I899" s="5" t="s">
        <v>54</v>
      </c>
      <c r="J899" s="5" t="s">
        <v>117</v>
      </c>
      <c r="K899" s="5" t="s">
        <v>117</v>
      </c>
      <c r="L899" s="5" t="n">
        <v>4</v>
      </c>
      <c r="M899" s="5" t="n">
        <v>3</v>
      </c>
      <c r="N899" s="5" t="n">
        <v>8</v>
      </c>
      <c r="O899" s="5" t="n">
        <v>2</v>
      </c>
      <c r="P899" s="5" t="n">
        <v>3</v>
      </c>
      <c r="Q899" s="5" t="n">
        <v>0.5</v>
      </c>
      <c r="R899" s="5" t="n">
        <v>5</v>
      </c>
      <c r="S899" s="5" t="n">
        <v>8</v>
      </c>
      <c r="T899" s="5" t="s">
        <v>2272</v>
      </c>
      <c r="U899" s="6"/>
      <c r="V899" s="6"/>
      <c r="W899" s="6"/>
      <c r="X899" s="6"/>
      <c r="Y899" s="7" t="str">
        <f aca="false">IF(COUNT(U899:X899)=4,(W899-X899)/2,"")</f>
        <v/>
      </c>
      <c r="Z899" s="7" t="str">
        <f aca="false">IF(COUNT(U899:X899)=4,(U899-V899)/2,"")</f>
        <v/>
      </c>
      <c r="AA899" s="7" t="str">
        <f aca="false">IF(COUNT(U899:X899)=4,MAX(1,MIN(10,ROUNDUP(5-Z899,0))),"")</f>
        <v/>
      </c>
      <c r="AB899" s="7" t="str">
        <f aca="false">IF(COUNT(U899:X899)=4,MAX(1,MIN(10,ROUNDUP(Y899+5,0))),"")</f>
        <v/>
      </c>
      <c r="AC899" s="6"/>
      <c r="AD899" s="6"/>
    </row>
    <row r="900" customFormat="false" ht="15" hidden="false" customHeight="true" outlineLevel="0" collapsed="false">
      <c r="A900" s="5" t="n">
        <v>899</v>
      </c>
      <c r="B900" s="5" t="s">
        <v>2273</v>
      </c>
      <c r="C900" s="5" t="s">
        <v>203</v>
      </c>
      <c r="D900" s="5" t="s">
        <v>204</v>
      </c>
      <c r="E900" s="5" t="n">
        <v>125</v>
      </c>
      <c r="F900" s="5" t="s">
        <v>2274</v>
      </c>
      <c r="G900" s="5" t="n">
        <v>4</v>
      </c>
      <c r="H900" s="5" t="s">
        <v>53</v>
      </c>
      <c r="I900" s="5" t="s">
        <v>54</v>
      </c>
      <c r="J900" s="5" t="s">
        <v>117</v>
      </c>
      <c r="K900" s="5" t="s">
        <v>117</v>
      </c>
      <c r="L900" s="5" t="n">
        <v>3</v>
      </c>
      <c r="M900" s="5" t="n">
        <v>3</v>
      </c>
      <c r="N900" s="5" t="n">
        <v>8</v>
      </c>
      <c r="O900" s="5" t="n">
        <v>2</v>
      </c>
      <c r="P900" s="5" t="n">
        <v>3</v>
      </c>
      <c r="Q900" s="5" t="n">
        <v>0</v>
      </c>
      <c r="R900" s="5" t="n">
        <v>5</v>
      </c>
      <c r="S900" s="5" t="n">
        <v>8</v>
      </c>
      <c r="T900" s="5" t="s">
        <v>2146</v>
      </c>
      <c r="U900" s="6"/>
      <c r="V900" s="6"/>
      <c r="W900" s="6"/>
      <c r="X900" s="6"/>
      <c r="Y900" s="7" t="str">
        <f aca="false">IF(COUNT(U900:X900)=4,(W900-X900)/2,"")</f>
        <v/>
      </c>
      <c r="Z900" s="7" t="str">
        <f aca="false">IF(COUNT(U900:X900)=4,(U900-V900)/2,"")</f>
        <v/>
      </c>
      <c r="AA900" s="7" t="str">
        <f aca="false">IF(COUNT(U900:X900)=4,MAX(1,MIN(10,ROUNDUP(5-Z900,0))),"")</f>
        <v/>
      </c>
      <c r="AB900" s="7" t="str">
        <f aca="false">IF(COUNT(U900:X900)=4,MAX(1,MIN(10,ROUNDUP(Y900+5,0))),"")</f>
        <v/>
      </c>
      <c r="AC900" s="6"/>
      <c r="AD900" s="6"/>
    </row>
    <row r="901" customFormat="false" ht="15" hidden="false" customHeight="true" outlineLevel="0" collapsed="false">
      <c r="A901" s="5" t="n">
        <v>900</v>
      </c>
      <c r="B901" s="5" t="s">
        <v>2275</v>
      </c>
      <c r="C901" s="5" t="s">
        <v>79</v>
      </c>
      <c r="D901" s="5" t="s">
        <v>80</v>
      </c>
      <c r="E901" s="5" t="n">
        <v>125</v>
      </c>
      <c r="F901" s="5" t="s">
        <v>2275</v>
      </c>
      <c r="G901" s="5" t="n">
        <v>3</v>
      </c>
      <c r="H901" s="5" t="s">
        <v>53</v>
      </c>
      <c r="I901" s="5" t="s">
        <v>81</v>
      </c>
      <c r="J901" s="5" t="s">
        <v>79</v>
      </c>
      <c r="K901" s="5" t="s">
        <v>82</v>
      </c>
      <c r="L901" s="5" t="n">
        <v>7</v>
      </c>
      <c r="M901" s="5" t="n">
        <v>2</v>
      </c>
      <c r="N901" s="5" t="n">
        <v>3</v>
      </c>
      <c r="O901" s="5" t="n">
        <v>7</v>
      </c>
      <c r="P901" s="5" t="n">
        <v>-2</v>
      </c>
      <c r="Q901" s="5" t="n">
        <v>2.5</v>
      </c>
      <c r="R901" s="5" t="n">
        <v>3</v>
      </c>
      <c r="S901" s="5" t="n">
        <v>3</v>
      </c>
      <c r="T901" s="5" t="s">
        <v>700</v>
      </c>
      <c r="U901" s="6"/>
      <c r="V901" s="6"/>
      <c r="W901" s="6"/>
      <c r="X901" s="6"/>
      <c r="Y901" s="7" t="str">
        <f aca="false">IF(COUNT(U901:X901)=4,(W901-X901)/2,"")</f>
        <v/>
      </c>
      <c r="Z901" s="7" t="str">
        <f aca="false">IF(COUNT(U901:X901)=4,(U901-V901)/2,"")</f>
        <v/>
      </c>
      <c r="AA901" s="7" t="str">
        <f aca="false">IF(COUNT(U901:X901)=4,MAX(1,MIN(10,ROUNDUP(5-Z901,0))),"")</f>
        <v/>
      </c>
      <c r="AB901" s="7" t="str">
        <f aca="false">IF(COUNT(U901:X901)=4,MAX(1,MIN(10,ROUNDUP(Y901+5,0))),"")</f>
        <v/>
      </c>
      <c r="AC901" s="6"/>
      <c r="AD901" s="6"/>
    </row>
    <row r="902" customFormat="false" ht="15" hidden="false" customHeight="true" outlineLevel="0" collapsed="false">
      <c r="A902" s="5" t="n">
        <v>901</v>
      </c>
      <c r="B902" s="5" t="s">
        <v>2276</v>
      </c>
      <c r="C902" s="5" t="s">
        <v>171</v>
      </c>
      <c r="D902" s="5" t="s">
        <v>172</v>
      </c>
      <c r="E902" s="5" t="n">
        <v>125</v>
      </c>
      <c r="F902" s="5" t="s">
        <v>2277</v>
      </c>
      <c r="G902" s="5" t="n">
        <v>4</v>
      </c>
      <c r="H902" s="5" t="s">
        <v>53</v>
      </c>
      <c r="I902" s="5" t="s">
        <v>54</v>
      </c>
      <c r="J902" s="5" t="s">
        <v>181</v>
      </c>
      <c r="K902" s="5" t="s">
        <v>333</v>
      </c>
      <c r="L902" s="5" t="n">
        <v>2</v>
      </c>
      <c r="M902" s="5" t="n">
        <v>5</v>
      </c>
      <c r="N902" s="5" t="n">
        <v>9</v>
      </c>
      <c r="O902" s="5" t="n">
        <v>2</v>
      </c>
      <c r="P902" s="5" t="n">
        <v>3.5</v>
      </c>
      <c r="Q902" s="5" t="n">
        <v>-1.5</v>
      </c>
      <c r="R902" s="5" t="n">
        <v>7</v>
      </c>
      <c r="S902" s="5" t="n">
        <v>9</v>
      </c>
      <c r="T902" s="5" t="s">
        <v>1258</v>
      </c>
      <c r="U902" s="6"/>
      <c r="V902" s="6"/>
      <c r="W902" s="6"/>
      <c r="X902" s="6"/>
      <c r="Y902" s="7" t="str">
        <f aca="false">IF(COUNT(U902:X902)=4,(W902-X902)/2,"")</f>
        <v/>
      </c>
      <c r="Z902" s="7" t="str">
        <f aca="false">IF(COUNT(U902:X902)=4,(U902-V902)/2,"")</f>
        <v/>
      </c>
      <c r="AA902" s="7" t="str">
        <f aca="false">IF(COUNT(U902:X902)=4,MAX(1,MIN(10,ROUNDUP(5-Z902,0))),"")</f>
        <v/>
      </c>
      <c r="AB902" s="7" t="str">
        <f aca="false">IF(COUNT(U902:X902)=4,MAX(1,MIN(10,ROUNDUP(Y902+5,0))),"")</f>
        <v/>
      </c>
      <c r="AC902" s="6"/>
      <c r="AD902" s="6"/>
    </row>
    <row r="903" customFormat="false" ht="15" hidden="false" customHeight="true" outlineLevel="0" collapsed="false">
      <c r="A903" s="5" t="n">
        <v>902</v>
      </c>
      <c r="B903" s="5" t="s">
        <v>2278</v>
      </c>
      <c r="C903" s="5" t="s">
        <v>171</v>
      </c>
      <c r="D903" s="5" t="s">
        <v>172</v>
      </c>
      <c r="E903" s="5" t="n">
        <v>125</v>
      </c>
      <c r="F903" s="5" t="s">
        <v>2279</v>
      </c>
      <c r="G903" s="5" t="n">
        <v>4</v>
      </c>
      <c r="H903" s="5" t="s">
        <v>53</v>
      </c>
      <c r="I903" s="5" t="s">
        <v>81</v>
      </c>
      <c r="J903" s="5" t="s">
        <v>174</v>
      </c>
      <c r="K903" s="5" t="s">
        <v>347</v>
      </c>
      <c r="L903" s="5" t="n">
        <v>5</v>
      </c>
      <c r="M903" s="5" t="n">
        <v>2</v>
      </c>
      <c r="N903" s="5" t="n">
        <v>9</v>
      </c>
      <c r="O903" s="5" t="n">
        <v>2</v>
      </c>
      <c r="P903" s="5" t="n">
        <v>3.5</v>
      </c>
      <c r="Q903" s="5" t="n">
        <v>1.5</v>
      </c>
      <c r="R903" s="5" t="n">
        <v>4</v>
      </c>
      <c r="S903" s="5" t="n">
        <v>9</v>
      </c>
      <c r="T903" s="5" t="s">
        <v>2280</v>
      </c>
      <c r="U903" s="6"/>
      <c r="V903" s="6"/>
      <c r="W903" s="6"/>
      <c r="X903" s="6"/>
      <c r="Y903" s="7" t="str">
        <f aca="false">IF(COUNT(U903:X903)=4,(W903-X903)/2,"")</f>
        <v/>
      </c>
      <c r="Z903" s="7" t="str">
        <f aca="false">IF(COUNT(U903:X903)=4,(U903-V903)/2,"")</f>
        <v/>
      </c>
      <c r="AA903" s="7" t="str">
        <f aca="false">IF(COUNT(U903:X903)=4,MAX(1,MIN(10,ROUNDUP(5-Z903,0))),"")</f>
        <v/>
      </c>
      <c r="AB903" s="7" t="str">
        <f aca="false">IF(COUNT(U903:X903)=4,MAX(1,MIN(10,ROUNDUP(Y903+5,0))),"")</f>
        <v/>
      </c>
      <c r="AC903" s="6"/>
      <c r="AD903" s="6"/>
    </row>
    <row r="904" customFormat="false" ht="15" hidden="false" customHeight="true" outlineLevel="0" collapsed="false">
      <c r="A904" s="5" t="n">
        <v>903</v>
      </c>
      <c r="B904" s="5" t="s">
        <v>2281</v>
      </c>
      <c r="C904" s="5" t="s">
        <v>171</v>
      </c>
      <c r="D904" s="5" t="s">
        <v>172</v>
      </c>
      <c r="E904" s="5" t="n">
        <v>125</v>
      </c>
      <c r="F904" s="5" t="s">
        <v>2282</v>
      </c>
      <c r="G904" s="5" t="n">
        <v>4</v>
      </c>
      <c r="H904" s="5" t="s">
        <v>53</v>
      </c>
      <c r="I904" s="5" t="s">
        <v>54</v>
      </c>
      <c r="J904" s="5" t="s">
        <v>181</v>
      </c>
      <c r="K904" s="5" t="s">
        <v>333</v>
      </c>
      <c r="L904" s="5" t="n">
        <v>2</v>
      </c>
      <c r="M904" s="5" t="n">
        <v>4</v>
      </c>
      <c r="N904" s="5" t="n">
        <v>8</v>
      </c>
      <c r="O904" s="5" t="n">
        <v>2</v>
      </c>
      <c r="P904" s="5" t="n">
        <v>3</v>
      </c>
      <c r="Q904" s="5" t="n">
        <v>-1</v>
      </c>
      <c r="R904" s="5" t="n">
        <v>6</v>
      </c>
      <c r="S904" s="5" t="n">
        <v>8</v>
      </c>
      <c r="T904" s="5" t="s">
        <v>1391</v>
      </c>
      <c r="U904" s="6"/>
      <c r="V904" s="6"/>
      <c r="W904" s="6"/>
      <c r="X904" s="6"/>
      <c r="Y904" s="7" t="str">
        <f aca="false">IF(COUNT(U904:X904)=4,(W904-X904)/2,"")</f>
        <v/>
      </c>
      <c r="Z904" s="7" t="str">
        <f aca="false">IF(COUNT(U904:X904)=4,(U904-V904)/2,"")</f>
        <v/>
      </c>
      <c r="AA904" s="7" t="str">
        <f aca="false">IF(COUNT(U904:X904)=4,MAX(1,MIN(10,ROUNDUP(5-Z904,0))),"")</f>
        <v/>
      </c>
      <c r="AB904" s="7" t="str">
        <f aca="false">IF(COUNT(U904:X904)=4,MAX(1,MIN(10,ROUNDUP(Y904+5,0))),"")</f>
        <v/>
      </c>
      <c r="AC904" s="6"/>
      <c r="AD904" s="6"/>
    </row>
    <row r="905" customFormat="false" ht="15" hidden="false" customHeight="true" outlineLevel="0" collapsed="false">
      <c r="A905" s="5" t="n">
        <v>904</v>
      </c>
      <c r="B905" s="5" t="s">
        <v>2283</v>
      </c>
      <c r="C905" s="5" t="s">
        <v>171</v>
      </c>
      <c r="D905" s="5" t="s">
        <v>172</v>
      </c>
      <c r="E905" s="5" t="n">
        <v>125</v>
      </c>
      <c r="F905" s="5" t="s">
        <v>2284</v>
      </c>
      <c r="G905" s="5" t="n">
        <v>4</v>
      </c>
      <c r="H905" s="5" t="s">
        <v>53</v>
      </c>
      <c r="I905" s="5" t="s">
        <v>54</v>
      </c>
      <c r="J905" s="5" t="s">
        <v>181</v>
      </c>
      <c r="K905" s="5" t="s">
        <v>182</v>
      </c>
      <c r="L905" s="5" t="n">
        <v>2</v>
      </c>
      <c r="M905" s="5" t="n">
        <v>6</v>
      </c>
      <c r="N905" s="5" t="n">
        <v>7</v>
      </c>
      <c r="O905" s="5" t="n">
        <v>3</v>
      </c>
      <c r="P905" s="5" t="n">
        <v>2</v>
      </c>
      <c r="Q905" s="5" t="n">
        <v>-2</v>
      </c>
      <c r="R905" s="5" t="n">
        <v>7</v>
      </c>
      <c r="S905" s="5" t="n">
        <v>7</v>
      </c>
      <c r="T905" s="5" t="s">
        <v>2285</v>
      </c>
      <c r="U905" s="6"/>
      <c r="V905" s="6"/>
      <c r="W905" s="6"/>
      <c r="X905" s="6"/>
      <c r="Y905" s="7" t="str">
        <f aca="false">IF(COUNT(U905:X905)=4,(W905-X905)/2,"")</f>
        <v/>
      </c>
      <c r="Z905" s="7" t="str">
        <f aca="false">IF(COUNT(U905:X905)=4,(U905-V905)/2,"")</f>
        <v/>
      </c>
      <c r="AA905" s="7" t="str">
        <f aca="false">IF(COUNT(U905:X905)=4,MAX(1,MIN(10,ROUNDUP(5-Z905,0))),"")</f>
        <v/>
      </c>
      <c r="AB905" s="7" t="str">
        <f aca="false">IF(COUNT(U905:X905)=4,MAX(1,MIN(10,ROUNDUP(Y905+5,0))),"")</f>
        <v/>
      </c>
      <c r="AC905" s="6"/>
      <c r="AD905" s="6"/>
    </row>
    <row r="906" customFormat="false" ht="15" hidden="false" customHeight="true" outlineLevel="0" collapsed="false">
      <c r="A906" s="5" t="n">
        <v>905</v>
      </c>
      <c r="B906" s="5" t="s">
        <v>2286</v>
      </c>
      <c r="C906" s="5" t="s">
        <v>171</v>
      </c>
      <c r="D906" s="5" t="s">
        <v>172</v>
      </c>
      <c r="E906" s="5" t="n">
        <v>124</v>
      </c>
      <c r="F906" s="5" t="s">
        <v>2287</v>
      </c>
      <c r="G906" s="5" t="n">
        <v>4</v>
      </c>
      <c r="H906" s="5" t="s">
        <v>53</v>
      </c>
      <c r="I906" s="5" t="s">
        <v>54</v>
      </c>
      <c r="J906" s="5" t="s">
        <v>181</v>
      </c>
      <c r="K906" s="5" t="s">
        <v>223</v>
      </c>
      <c r="L906" s="5" t="n">
        <v>4</v>
      </c>
      <c r="M906" s="5" t="n">
        <v>4</v>
      </c>
      <c r="N906" s="5" t="n">
        <v>6</v>
      </c>
      <c r="O906" s="5" t="n">
        <v>5</v>
      </c>
      <c r="P906" s="5" t="n">
        <v>0.5</v>
      </c>
      <c r="Q906" s="5" t="n">
        <v>0</v>
      </c>
      <c r="R906" s="5" t="n">
        <v>5</v>
      </c>
      <c r="S906" s="5" t="n">
        <v>6</v>
      </c>
      <c r="T906" s="5" t="s">
        <v>257</v>
      </c>
      <c r="U906" s="6"/>
      <c r="V906" s="6"/>
      <c r="W906" s="6"/>
      <c r="X906" s="6"/>
      <c r="Y906" s="7" t="str">
        <f aca="false">IF(COUNT(U906:X906)=4,(W906-X906)/2,"")</f>
        <v/>
      </c>
      <c r="Z906" s="7" t="str">
        <f aca="false">IF(COUNT(U906:X906)=4,(U906-V906)/2,"")</f>
        <v/>
      </c>
      <c r="AA906" s="7" t="str">
        <f aca="false">IF(COUNT(U906:X906)=4,MAX(1,MIN(10,ROUNDUP(5-Z906,0))),"")</f>
        <v/>
      </c>
      <c r="AB906" s="7" t="str">
        <f aca="false">IF(COUNT(U906:X906)=4,MAX(1,MIN(10,ROUNDUP(Y906+5,0))),"")</f>
        <v/>
      </c>
      <c r="AC906" s="6"/>
      <c r="AD906" s="6"/>
    </row>
    <row r="907" customFormat="false" ht="15" hidden="false" customHeight="true" outlineLevel="0" collapsed="false">
      <c r="A907" s="5" t="n">
        <v>906</v>
      </c>
      <c r="B907" s="5" t="s">
        <v>2288</v>
      </c>
      <c r="C907" s="5" t="s">
        <v>171</v>
      </c>
      <c r="D907" s="5" t="s">
        <v>172</v>
      </c>
      <c r="E907" s="5" t="n">
        <v>123</v>
      </c>
      <c r="F907" s="5" t="s">
        <v>2289</v>
      </c>
      <c r="G907" s="5" t="n">
        <v>4</v>
      </c>
      <c r="H907" s="5" t="s">
        <v>53</v>
      </c>
      <c r="I907" s="5" t="s">
        <v>81</v>
      </c>
      <c r="J907" s="5" t="s">
        <v>174</v>
      </c>
      <c r="K907" s="5" t="s">
        <v>347</v>
      </c>
      <c r="L907" s="5" t="n">
        <v>4</v>
      </c>
      <c r="M907" s="5" t="n">
        <v>8</v>
      </c>
      <c r="N907" s="5" t="n">
        <v>8</v>
      </c>
      <c r="O907" s="5" t="n">
        <v>3</v>
      </c>
      <c r="P907" s="5" t="n">
        <v>2.5</v>
      </c>
      <c r="Q907" s="5" t="n">
        <v>-2</v>
      </c>
      <c r="R907" s="5" t="n">
        <v>7</v>
      </c>
      <c r="S907" s="5" t="n">
        <v>8</v>
      </c>
      <c r="T907" s="5" t="s">
        <v>396</v>
      </c>
      <c r="U907" s="6"/>
      <c r="V907" s="6"/>
      <c r="W907" s="6"/>
      <c r="X907" s="6"/>
      <c r="Y907" s="7" t="str">
        <f aca="false">IF(COUNT(U907:X907)=4,(W907-X907)/2,"")</f>
        <v/>
      </c>
      <c r="Z907" s="7" t="str">
        <f aca="false">IF(COUNT(U907:X907)=4,(U907-V907)/2,"")</f>
        <v/>
      </c>
      <c r="AA907" s="7" t="str">
        <f aca="false">IF(COUNT(U907:X907)=4,MAX(1,MIN(10,ROUNDUP(5-Z907,0))),"")</f>
        <v/>
      </c>
      <c r="AB907" s="7" t="str">
        <f aca="false">IF(COUNT(U907:X907)=4,MAX(1,MIN(10,ROUNDUP(Y907+5,0))),"")</f>
        <v/>
      </c>
      <c r="AC907" s="6"/>
      <c r="AD907" s="6"/>
    </row>
    <row r="908" customFormat="false" ht="15" hidden="false" customHeight="true" outlineLevel="0" collapsed="false">
      <c r="A908" s="5" t="n">
        <v>907</v>
      </c>
      <c r="B908" s="5" t="s">
        <v>2290</v>
      </c>
      <c r="C908" s="5" t="s">
        <v>145</v>
      </c>
      <c r="D908" s="5" t="s">
        <v>51</v>
      </c>
      <c r="E908" s="5" t="n">
        <v>123</v>
      </c>
      <c r="F908" s="5" t="s">
        <v>2291</v>
      </c>
      <c r="G908" s="5" t="n">
        <v>4</v>
      </c>
      <c r="H908" s="5" t="s">
        <v>53</v>
      </c>
      <c r="I908" s="5" t="s">
        <v>54</v>
      </c>
      <c r="J908" s="5" t="s">
        <v>55</v>
      </c>
      <c r="K908" s="5" t="s">
        <v>55</v>
      </c>
      <c r="L908" s="5" t="n">
        <v>4</v>
      </c>
      <c r="M908" s="5" t="n">
        <v>2</v>
      </c>
      <c r="N908" s="5" t="n">
        <v>10</v>
      </c>
      <c r="O908" s="5" t="n">
        <v>1</v>
      </c>
      <c r="P908" s="5" t="n">
        <v>4.5</v>
      </c>
      <c r="Q908" s="5" t="n">
        <v>1</v>
      </c>
      <c r="R908" s="5" t="n">
        <v>4</v>
      </c>
      <c r="S908" s="5" t="n">
        <v>10</v>
      </c>
      <c r="T908" s="5" t="s">
        <v>2292</v>
      </c>
      <c r="U908" s="6"/>
      <c r="V908" s="6"/>
      <c r="W908" s="6"/>
      <c r="X908" s="6"/>
      <c r="Y908" s="7" t="str">
        <f aca="false">IF(COUNT(U908:X908)=4,(W908-X908)/2,"")</f>
        <v/>
      </c>
      <c r="Z908" s="7" t="str">
        <f aca="false">IF(COUNT(U908:X908)=4,(U908-V908)/2,"")</f>
        <v/>
      </c>
      <c r="AA908" s="7" t="str">
        <f aca="false">IF(COUNT(U908:X908)=4,MAX(1,MIN(10,ROUNDUP(5-Z908,0))),"")</f>
        <v/>
      </c>
      <c r="AB908" s="7" t="str">
        <f aca="false">IF(COUNT(U908:X908)=4,MAX(1,MIN(10,ROUNDUP(Y908+5,0))),"")</f>
        <v/>
      </c>
      <c r="AC908" s="6"/>
      <c r="AD908" s="6"/>
    </row>
    <row r="909" customFormat="false" ht="15" hidden="false" customHeight="true" outlineLevel="0" collapsed="false">
      <c r="A909" s="5" t="n">
        <v>908</v>
      </c>
      <c r="B909" s="5" t="s">
        <v>2293</v>
      </c>
      <c r="C909" s="5" t="s">
        <v>108</v>
      </c>
      <c r="D909" s="5" t="s">
        <v>109</v>
      </c>
      <c r="E909" s="5" t="n">
        <v>123</v>
      </c>
      <c r="F909" s="5" t="s">
        <v>2293</v>
      </c>
      <c r="G909" s="5" t="n">
        <v>4</v>
      </c>
      <c r="H909" s="5" t="s">
        <v>53</v>
      </c>
      <c r="I909" s="5" t="s">
        <v>54</v>
      </c>
      <c r="J909" s="5" t="s">
        <v>117</v>
      </c>
      <c r="K909" s="5" t="s">
        <v>117</v>
      </c>
      <c r="L909" s="5" t="n">
        <v>3</v>
      </c>
      <c r="M909" s="5" t="n">
        <v>2</v>
      </c>
      <c r="N909" s="5" t="n">
        <v>2</v>
      </c>
      <c r="O909" s="5" t="n">
        <v>7</v>
      </c>
      <c r="P909" s="5" t="n">
        <v>-2.5</v>
      </c>
      <c r="Q909" s="5" t="n">
        <v>0.5</v>
      </c>
      <c r="R909" s="5" t="n">
        <v>5</v>
      </c>
      <c r="S909" s="5" t="n">
        <v>3</v>
      </c>
      <c r="T909" s="5" t="s">
        <v>2294</v>
      </c>
      <c r="U909" s="6"/>
      <c r="V909" s="6"/>
      <c r="W909" s="6"/>
      <c r="X909" s="6"/>
      <c r="Y909" s="7" t="str">
        <f aca="false">IF(COUNT(U909:X909)=4,(W909-X909)/2,"")</f>
        <v/>
      </c>
      <c r="Z909" s="7" t="str">
        <f aca="false">IF(COUNT(U909:X909)=4,(U909-V909)/2,"")</f>
        <v/>
      </c>
      <c r="AA909" s="7" t="str">
        <f aca="false">IF(COUNT(U909:X909)=4,MAX(1,MIN(10,ROUNDUP(5-Z909,0))),"")</f>
        <v/>
      </c>
      <c r="AB909" s="7" t="str">
        <f aca="false">IF(COUNT(U909:X909)=4,MAX(1,MIN(10,ROUNDUP(Y909+5,0))),"")</f>
        <v/>
      </c>
      <c r="AC909" s="6"/>
      <c r="AD909" s="6"/>
    </row>
    <row r="910" customFormat="false" ht="15" hidden="false" customHeight="true" outlineLevel="0" collapsed="false">
      <c r="A910" s="5" t="n">
        <v>909</v>
      </c>
      <c r="B910" s="5" t="s">
        <v>2295</v>
      </c>
      <c r="C910" s="5" t="s">
        <v>145</v>
      </c>
      <c r="D910" s="5" t="s">
        <v>51</v>
      </c>
      <c r="E910" s="5" t="n">
        <v>123</v>
      </c>
      <c r="F910" s="5" t="s">
        <v>2296</v>
      </c>
      <c r="G910" s="5" t="n">
        <v>4</v>
      </c>
      <c r="H910" s="5" t="s">
        <v>53</v>
      </c>
      <c r="I910" s="5" t="s">
        <v>54</v>
      </c>
      <c r="J910" s="5" t="s">
        <v>181</v>
      </c>
      <c r="K910" s="5" t="s">
        <v>443</v>
      </c>
      <c r="L910" s="5" t="n">
        <v>5</v>
      </c>
      <c r="M910" s="5" t="n">
        <v>3</v>
      </c>
      <c r="N910" s="5" t="n">
        <v>4</v>
      </c>
      <c r="O910" s="5" t="n">
        <v>8</v>
      </c>
      <c r="P910" s="5" t="n">
        <v>-2</v>
      </c>
      <c r="Q910" s="5" t="n">
        <v>1</v>
      </c>
      <c r="R910" s="5" t="n">
        <v>4</v>
      </c>
      <c r="S910" s="5" t="n">
        <v>3</v>
      </c>
      <c r="T910" s="5" t="s">
        <v>1998</v>
      </c>
      <c r="U910" s="6"/>
      <c r="V910" s="6"/>
      <c r="W910" s="6"/>
      <c r="X910" s="6"/>
      <c r="Y910" s="7" t="str">
        <f aca="false">IF(COUNT(U910:X910)=4,(W910-X910)/2,"")</f>
        <v/>
      </c>
      <c r="Z910" s="7" t="str">
        <f aca="false">IF(COUNT(U910:X910)=4,(U910-V910)/2,"")</f>
        <v/>
      </c>
      <c r="AA910" s="7" t="str">
        <f aca="false">IF(COUNT(U910:X910)=4,MAX(1,MIN(10,ROUNDUP(5-Z910,0))),"")</f>
        <v/>
      </c>
      <c r="AB910" s="7" t="str">
        <f aca="false">IF(COUNT(U910:X910)=4,MAX(1,MIN(10,ROUNDUP(Y910+5,0))),"")</f>
        <v/>
      </c>
      <c r="AC910" s="6"/>
      <c r="AD910" s="6"/>
    </row>
    <row r="911" customFormat="false" ht="15" hidden="false" customHeight="true" outlineLevel="0" collapsed="false">
      <c r="A911" s="5" t="n">
        <v>910</v>
      </c>
      <c r="B911" s="5" t="s">
        <v>2297</v>
      </c>
      <c r="C911" s="5" t="s">
        <v>108</v>
      </c>
      <c r="D911" s="5" t="s">
        <v>109</v>
      </c>
      <c r="E911" s="5" t="n">
        <v>123</v>
      </c>
      <c r="F911" s="5" t="s">
        <v>2297</v>
      </c>
      <c r="G911" s="5" t="n">
        <v>4</v>
      </c>
      <c r="H911" s="5" t="s">
        <v>53</v>
      </c>
      <c r="I911" s="5" t="s">
        <v>54</v>
      </c>
      <c r="J911" s="5" t="s">
        <v>117</v>
      </c>
      <c r="K911" s="5" t="s">
        <v>117</v>
      </c>
      <c r="L911" s="5" t="n">
        <v>3</v>
      </c>
      <c r="M911" s="5" t="n">
        <v>2</v>
      </c>
      <c r="N911" s="5" t="n">
        <v>2</v>
      </c>
      <c r="O911" s="5" t="n">
        <v>7</v>
      </c>
      <c r="P911" s="5" t="n">
        <v>-2.5</v>
      </c>
      <c r="Q911" s="5" t="n">
        <v>0.5</v>
      </c>
      <c r="R911" s="5" t="n">
        <v>5</v>
      </c>
      <c r="S911" s="5" t="n">
        <v>3</v>
      </c>
      <c r="T911" s="5" t="s">
        <v>2298</v>
      </c>
      <c r="U911" s="6"/>
      <c r="V911" s="6"/>
      <c r="W911" s="6"/>
      <c r="X911" s="6"/>
      <c r="Y911" s="7" t="str">
        <f aca="false">IF(COUNT(U911:X911)=4,(W911-X911)/2,"")</f>
        <v/>
      </c>
      <c r="Z911" s="7" t="str">
        <f aca="false">IF(COUNT(U911:X911)=4,(U911-V911)/2,"")</f>
        <v/>
      </c>
      <c r="AA911" s="7" t="str">
        <f aca="false">IF(COUNT(U911:X911)=4,MAX(1,MIN(10,ROUNDUP(5-Z911,0))),"")</f>
        <v/>
      </c>
      <c r="AB911" s="7" t="str">
        <f aca="false">IF(COUNT(U911:X911)=4,MAX(1,MIN(10,ROUNDUP(Y911+5,0))),"")</f>
        <v/>
      </c>
      <c r="AC911" s="6"/>
      <c r="AD911" s="6"/>
    </row>
    <row r="912" customFormat="false" ht="15" hidden="false" customHeight="true" outlineLevel="0" collapsed="false">
      <c r="A912" s="5" t="n">
        <v>911</v>
      </c>
      <c r="B912" s="5" t="s">
        <v>2299</v>
      </c>
      <c r="C912" s="5" t="s">
        <v>145</v>
      </c>
      <c r="D912" s="5" t="s">
        <v>51</v>
      </c>
      <c r="E912" s="5" t="n">
        <v>123</v>
      </c>
      <c r="F912" s="5" t="s">
        <v>2300</v>
      </c>
      <c r="G912" s="5" t="n">
        <v>4</v>
      </c>
      <c r="H912" s="5" t="s">
        <v>53</v>
      </c>
      <c r="I912" s="5" t="s">
        <v>54</v>
      </c>
      <c r="J912" s="5" t="s">
        <v>55</v>
      </c>
      <c r="K912" s="5" t="s">
        <v>55</v>
      </c>
      <c r="L912" s="5" t="n">
        <v>6</v>
      </c>
      <c r="M912" s="5" t="n">
        <v>1</v>
      </c>
      <c r="N912" s="5" t="n">
        <v>6</v>
      </c>
      <c r="O912" s="5" t="n">
        <v>5</v>
      </c>
      <c r="P912" s="5" t="n">
        <v>0.5</v>
      </c>
      <c r="Q912" s="5" t="n">
        <v>2.5</v>
      </c>
      <c r="R912" s="5" t="n">
        <v>3</v>
      </c>
      <c r="S912" s="5" t="n">
        <v>6</v>
      </c>
      <c r="T912" s="5" t="s">
        <v>2301</v>
      </c>
      <c r="U912" s="6"/>
      <c r="V912" s="6"/>
      <c r="W912" s="6"/>
      <c r="X912" s="6"/>
      <c r="Y912" s="7" t="str">
        <f aca="false">IF(COUNT(U912:X912)=4,(W912-X912)/2,"")</f>
        <v/>
      </c>
      <c r="Z912" s="7" t="str">
        <f aca="false">IF(COUNT(U912:X912)=4,(U912-V912)/2,"")</f>
        <v/>
      </c>
      <c r="AA912" s="7" t="str">
        <f aca="false">IF(COUNT(U912:X912)=4,MAX(1,MIN(10,ROUNDUP(5-Z912,0))),"")</f>
        <v/>
      </c>
      <c r="AB912" s="7" t="str">
        <f aca="false">IF(COUNT(U912:X912)=4,MAX(1,MIN(10,ROUNDUP(Y912+5,0))),"")</f>
        <v/>
      </c>
      <c r="AC912" s="6"/>
      <c r="AD912" s="6"/>
    </row>
    <row r="913" customFormat="false" ht="15" hidden="false" customHeight="true" outlineLevel="0" collapsed="false">
      <c r="A913" s="5" t="n">
        <v>912</v>
      </c>
      <c r="B913" s="5" t="s">
        <v>2302</v>
      </c>
      <c r="C913" s="5" t="s">
        <v>171</v>
      </c>
      <c r="D913" s="5" t="s">
        <v>172</v>
      </c>
      <c r="E913" s="5" t="n">
        <v>123</v>
      </c>
      <c r="F913" s="5" t="s">
        <v>2303</v>
      </c>
      <c r="G913" s="5" t="n">
        <v>4</v>
      </c>
      <c r="H913" s="5" t="s">
        <v>53</v>
      </c>
      <c r="I913" s="5" t="s">
        <v>81</v>
      </c>
      <c r="J913" s="5" t="s">
        <v>174</v>
      </c>
      <c r="K913" s="5" t="s">
        <v>347</v>
      </c>
      <c r="L913" s="5" t="n">
        <v>5</v>
      </c>
      <c r="M913" s="5" t="n">
        <v>2</v>
      </c>
      <c r="N913" s="5" t="n">
        <v>9</v>
      </c>
      <c r="O913" s="5" t="n">
        <v>2</v>
      </c>
      <c r="P913" s="5" t="n">
        <v>3.5</v>
      </c>
      <c r="Q913" s="5" t="n">
        <v>1.5</v>
      </c>
      <c r="R913" s="5" t="n">
        <v>4</v>
      </c>
      <c r="S913" s="5" t="n">
        <v>9</v>
      </c>
      <c r="T913" s="5" t="s">
        <v>405</v>
      </c>
      <c r="U913" s="6"/>
      <c r="V913" s="6"/>
      <c r="W913" s="6"/>
      <c r="X913" s="6"/>
      <c r="Y913" s="7" t="str">
        <f aca="false">IF(COUNT(U913:X913)=4,(W913-X913)/2,"")</f>
        <v/>
      </c>
      <c r="Z913" s="7" t="str">
        <f aca="false">IF(COUNT(U913:X913)=4,(U913-V913)/2,"")</f>
        <v/>
      </c>
      <c r="AA913" s="7" t="str">
        <f aca="false">IF(COUNT(U913:X913)=4,MAX(1,MIN(10,ROUNDUP(5-Z913,0))),"")</f>
        <v/>
      </c>
      <c r="AB913" s="7" t="str">
        <f aca="false">IF(COUNT(U913:X913)=4,MAX(1,MIN(10,ROUNDUP(Y913+5,0))),"")</f>
        <v/>
      </c>
      <c r="AC913" s="6"/>
      <c r="AD913" s="6"/>
    </row>
    <row r="914" customFormat="false" ht="15" hidden="false" customHeight="true" outlineLevel="0" collapsed="false">
      <c r="A914" s="5" t="n">
        <v>913</v>
      </c>
      <c r="B914" s="5" t="s">
        <v>2304</v>
      </c>
      <c r="C914" s="5" t="s">
        <v>203</v>
      </c>
      <c r="D914" s="5" t="s">
        <v>204</v>
      </c>
      <c r="E914" s="5" t="n">
        <v>122</v>
      </c>
      <c r="F914" s="5" t="s">
        <v>2304</v>
      </c>
      <c r="G914" s="5" t="n">
        <v>4</v>
      </c>
      <c r="H914" s="5" t="s">
        <v>53</v>
      </c>
      <c r="I914" s="5" t="s">
        <v>54</v>
      </c>
      <c r="J914" s="5" t="s">
        <v>117</v>
      </c>
      <c r="K914" s="5" t="s">
        <v>117</v>
      </c>
      <c r="L914" s="5" t="n">
        <v>5</v>
      </c>
      <c r="M914" s="5" t="n">
        <v>2</v>
      </c>
      <c r="N914" s="5" t="n">
        <v>2</v>
      </c>
      <c r="O914" s="5" t="n">
        <v>8</v>
      </c>
      <c r="P914" s="5" t="n">
        <v>-3</v>
      </c>
      <c r="Q914" s="5" t="n">
        <v>1.5</v>
      </c>
      <c r="R914" s="5" t="n">
        <v>4</v>
      </c>
      <c r="S914" s="5" t="n">
        <v>2</v>
      </c>
      <c r="T914" s="5" t="s">
        <v>2305</v>
      </c>
      <c r="U914" s="6"/>
      <c r="V914" s="6"/>
      <c r="W914" s="6"/>
      <c r="X914" s="6"/>
      <c r="Y914" s="7" t="str">
        <f aca="false">IF(COUNT(U914:X914)=4,(W914-X914)/2,"")</f>
        <v/>
      </c>
      <c r="Z914" s="7" t="str">
        <f aca="false">IF(COUNT(U914:X914)=4,(U914-V914)/2,"")</f>
        <v/>
      </c>
      <c r="AA914" s="7" t="str">
        <f aca="false">IF(COUNT(U914:X914)=4,MAX(1,MIN(10,ROUNDUP(5-Z914,0))),"")</f>
        <v/>
      </c>
      <c r="AB914" s="7" t="str">
        <f aca="false">IF(COUNT(U914:X914)=4,MAX(1,MIN(10,ROUNDUP(Y914+5,0))),"")</f>
        <v/>
      </c>
      <c r="AC914" s="6"/>
      <c r="AD914" s="6"/>
    </row>
    <row r="915" customFormat="false" ht="15" hidden="false" customHeight="true" outlineLevel="0" collapsed="false">
      <c r="A915" s="5" t="n">
        <v>914</v>
      </c>
      <c r="B915" s="5" t="s">
        <v>2306</v>
      </c>
      <c r="C915" s="5" t="s">
        <v>171</v>
      </c>
      <c r="D915" s="5" t="s">
        <v>172</v>
      </c>
      <c r="E915" s="5" t="n">
        <v>122</v>
      </c>
      <c r="F915" s="5" t="s">
        <v>2307</v>
      </c>
      <c r="G915" s="5" t="n">
        <v>4</v>
      </c>
      <c r="H915" s="5" t="s">
        <v>53</v>
      </c>
      <c r="I915" s="5" t="s">
        <v>54</v>
      </c>
      <c r="J915" s="5" t="s">
        <v>181</v>
      </c>
      <c r="K915" s="5" t="s">
        <v>235</v>
      </c>
      <c r="L915" s="5" t="n">
        <v>4</v>
      </c>
      <c r="M915" s="5" t="n">
        <v>6</v>
      </c>
      <c r="N915" s="5" t="n">
        <v>7</v>
      </c>
      <c r="O915" s="5" t="n">
        <v>4</v>
      </c>
      <c r="P915" s="5" t="n">
        <v>1.5</v>
      </c>
      <c r="Q915" s="5" t="n">
        <v>-1</v>
      </c>
      <c r="R915" s="5" t="n">
        <v>6</v>
      </c>
      <c r="S915" s="5" t="n">
        <v>7</v>
      </c>
      <c r="T915" s="5" t="s">
        <v>1074</v>
      </c>
      <c r="U915" s="6"/>
      <c r="V915" s="6"/>
      <c r="W915" s="6"/>
      <c r="X915" s="6"/>
      <c r="Y915" s="7" t="str">
        <f aca="false">IF(COUNT(U915:X915)=4,(W915-X915)/2,"")</f>
        <v/>
      </c>
      <c r="Z915" s="7" t="str">
        <f aca="false">IF(COUNT(U915:X915)=4,(U915-V915)/2,"")</f>
        <v/>
      </c>
      <c r="AA915" s="7" t="str">
        <f aca="false">IF(COUNT(U915:X915)=4,MAX(1,MIN(10,ROUNDUP(5-Z915,0))),"")</f>
        <v/>
      </c>
      <c r="AB915" s="7" t="str">
        <f aca="false">IF(COUNT(U915:X915)=4,MAX(1,MIN(10,ROUNDUP(Y915+5,0))),"")</f>
        <v/>
      </c>
      <c r="AC915" s="6"/>
      <c r="AD915" s="6"/>
    </row>
    <row r="916" customFormat="false" ht="15" hidden="false" customHeight="true" outlineLevel="0" collapsed="false">
      <c r="A916" s="5" t="n">
        <v>915</v>
      </c>
      <c r="B916" s="5" t="s">
        <v>2308</v>
      </c>
      <c r="C916" s="5" t="s">
        <v>171</v>
      </c>
      <c r="D916" s="5" t="s">
        <v>172</v>
      </c>
      <c r="E916" s="5" t="n">
        <v>122</v>
      </c>
      <c r="F916" s="5" t="s">
        <v>2309</v>
      </c>
      <c r="G916" s="5" t="n">
        <v>4</v>
      </c>
      <c r="H916" s="5" t="s">
        <v>53</v>
      </c>
      <c r="I916" s="5" t="s">
        <v>54</v>
      </c>
      <c r="J916" s="5" t="s">
        <v>181</v>
      </c>
      <c r="K916" s="5" t="s">
        <v>309</v>
      </c>
      <c r="L916" s="5" t="n">
        <v>2</v>
      </c>
      <c r="M916" s="5" t="n">
        <v>5</v>
      </c>
      <c r="N916" s="5" t="n">
        <v>5</v>
      </c>
      <c r="O916" s="5" t="n">
        <v>4</v>
      </c>
      <c r="P916" s="5" t="n">
        <v>0.5</v>
      </c>
      <c r="Q916" s="5" t="n">
        <v>-1.5</v>
      </c>
      <c r="R916" s="5" t="n">
        <v>7</v>
      </c>
      <c r="S916" s="5" t="n">
        <v>6</v>
      </c>
      <c r="T916" s="5" t="s">
        <v>610</v>
      </c>
      <c r="U916" s="6"/>
      <c r="V916" s="6"/>
      <c r="W916" s="6"/>
      <c r="X916" s="6"/>
      <c r="Y916" s="7" t="str">
        <f aca="false">IF(COUNT(U916:X916)=4,(W916-X916)/2,"")</f>
        <v/>
      </c>
      <c r="Z916" s="7" t="str">
        <f aca="false">IF(COUNT(U916:X916)=4,(U916-V916)/2,"")</f>
        <v/>
      </c>
      <c r="AA916" s="7" t="str">
        <f aca="false">IF(COUNT(U916:X916)=4,MAX(1,MIN(10,ROUNDUP(5-Z916,0))),"")</f>
        <v/>
      </c>
      <c r="AB916" s="7" t="str">
        <f aca="false">IF(COUNT(U916:X916)=4,MAX(1,MIN(10,ROUNDUP(Y916+5,0))),"")</f>
        <v/>
      </c>
      <c r="AC916" s="6"/>
      <c r="AD916" s="6"/>
    </row>
    <row r="917" customFormat="false" ht="15" hidden="false" customHeight="true" outlineLevel="0" collapsed="false">
      <c r="A917" s="5" t="n">
        <v>916</v>
      </c>
      <c r="B917" s="5" t="s">
        <v>2310</v>
      </c>
      <c r="C917" s="5" t="s">
        <v>145</v>
      </c>
      <c r="D917" s="5" t="s">
        <v>51</v>
      </c>
      <c r="E917" s="5" t="n">
        <v>122</v>
      </c>
      <c r="F917" s="5" t="s">
        <v>2311</v>
      </c>
      <c r="G917" s="5" t="n">
        <v>4</v>
      </c>
      <c r="H917" s="5" t="s">
        <v>53</v>
      </c>
      <c r="I917" s="5" t="s">
        <v>54</v>
      </c>
      <c r="J917" s="5" t="s">
        <v>55</v>
      </c>
      <c r="K917" s="5" t="s">
        <v>55</v>
      </c>
      <c r="L917" s="5" t="n">
        <v>5</v>
      </c>
      <c r="M917" s="5" t="n">
        <v>2</v>
      </c>
      <c r="N917" s="5" t="n">
        <v>9</v>
      </c>
      <c r="O917" s="5" t="n">
        <v>2</v>
      </c>
      <c r="P917" s="5" t="n">
        <v>3.5</v>
      </c>
      <c r="Q917" s="5" t="n">
        <v>1.5</v>
      </c>
      <c r="R917" s="5" t="n">
        <v>4</v>
      </c>
      <c r="S917" s="5" t="n">
        <v>9</v>
      </c>
      <c r="T917" s="5" t="s">
        <v>1288</v>
      </c>
      <c r="U917" s="6"/>
      <c r="V917" s="6"/>
      <c r="W917" s="6"/>
      <c r="X917" s="6"/>
      <c r="Y917" s="7" t="str">
        <f aca="false">IF(COUNT(U917:X917)=4,(W917-X917)/2,"")</f>
        <v/>
      </c>
      <c r="Z917" s="7" t="str">
        <f aca="false">IF(COUNT(U917:X917)=4,(U917-V917)/2,"")</f>
        <v/>
      </c>
      <c r="AA917" s="7" t="str">
        <f aca="false">IF(COUNT(U917:X917)=4,MAX(1,MIN(10,ROUNDUP(5-Z917,0))),"")</f>
        <v/>
      </c>
      <c r="AB917" s="7" t="str">
        <f aca="false">IF(COUNT(U917:X917)=4,MAX(1,MIN(10,ROUNDUP(Y917+5,0))),"")</f>
        <v/>
      </c>
      <c r="AC917" s="6"/>
      <c r="AD917" s="6"/>
    </row>
    <row r="918" customFormat="false" ht="15" hidden="false" customHeight="true" outlineLevel="0" collapsed="false">
      <c r="A918" s="5" t="n">
        <v>917</v>
      </c>
      <c r="B918" s="5" t="s">
        <v>2312</v>
      </c>
      <c r="C918" s="5" t="s">
        <v>171</v>
      </c>
      <c r="D918" s="5" t="s">
        <v>172</v>
      </c>
      <c r="E918" s="5" t="n">
        <v>122</v>
      </c>
      <c r="F918" s="5" t="s">
        <v>2313</v>
      </c>
      <c r="G918" s="5" t="n">
        <v>4</v>
      </c>
      <c r="H918" s="5" t="s">
        <v>53</v>
      </c>
      <c r="I918" s="5" t="s">
        <v>54</v>
      </c>
      <c r="J918" s="5" t="s">
        <v>181</v>
      </c>
      <c r="K918" s="5" t="s">
        <v>223</v>
      </c>
      <c r="L918" s="5" t="n">
        <v>3</v>
      </c>
      <c r="M918" s="5" t="n">
        <v>5</v>
      </c>
      <c r="N918" s="5" t="n">
        <v>7</v>
      </c>
      <c r="O918" s="5" t="n">
        <v>3</v>
      </c>
      <c r="P918" s="5" t="n">
        <v>2</v>
      </c>
      <c r="Q918" s="5" t="n">
        <v>-1</v>
      </c>
      <c r="R918" s="5" t="n">
        <v>6</v>
      </c>
      <c r="S918" s="5" t="n">
        <v>7</v>
      </c>
      <c r="T918" s="5" t="s">
        <v>2314</v>
      </c>
      <c r="U918" s="6"/>
      <c r="V918" s="6"/>
      <c r="W918" s="6"/>
      <c r="X918" s="6"/>
      <c r="Y918" s="7" t="str">
        <f aca="false">IF(COUNT(U918:X918)=4,(W918-X918)/2,"")</f>
        <v/>
      </c>
      <c r="Z918" s="7" t="str">
        <f aca="false">IF(COUNT(U918:X918)=4,(U918-V918)/2,"")</f>
        <v/>
      </c>
      <c r="AA918" s="7" t="str">
        <f aca="false">IF(COUNT(U918:X918)=4,MAX(1,MIN(10,ROUNDUP(5-Z918,0))),"")</f>
        <v/>
      </c>
      <c r="AB918" s="7" t="str">
        <f aca="false">IF(COUNT(U918:X918)=4,MAX(1,MIN(10,ROUNDUP(Y918+5,0))),"")</f>
        <v/>
      </c>
      <c r="AC918" s="6"/>
      <c r="AD918" s="6"/>
    </row>
    <row r="919" customFormat="false" ht="15" hidden="false" customHeight="true" outlineLevel="0" collapsed="false">
      <c r="A919" s="5" t="n">
        <v>918</v>
      </c>
      <c r="B919" s="5" t="s">
        <v>2315</v>
      </c>
      <c r="C919" s="5" t="s">
        <v>145</v>
      </c>
      <c r="D919" s="5" t="s">
        <v>51</v>
      </c>
      <c r="E919" s="5" t="n">
        <v>122</v>
      </c>
      <c r="F919" s="5" t="s">
        <v>2316</v>
      </c>
      <c r="G919" s="5" t="n">
        <v>4</v>
      </c>
      <c r="H919" s="5" t="s">
        <v>53</v>
      </c>
      <c r="I919" s="5" t="s">
        <v>54</v>
      </c>
      <c r="J919" s="5" t="s">
        <v>55</v>
      </c>
      <c r="K919" s="5" t="s">
        <v>55</v>
      </c>
      <c r="L919" s="5" t="n">
        <v>4</v>
      </c>
      <c r="M919" s="5" t="n">
        <v>2</v>
      </c>
      <c r="N919" s="5" t="n">
        <v>10</v>
      </c>
      <c r="O919" s="5" t="n">
        <v>1</v>
      </c>
      <c r="P919" s="5" t="n">
        <v>4.5</v>
      </c>
      <c r="Q919" s="5" t="n">
        <v>1</v>
      </c>
      <c r="R919" s="5" t="n">
        <v>4</v>
      </c>
      <c r="S919" s="5" t="n">
        <v>10</v>
      </c>
      <c r="T919" s="5" t="s">
        <v>2317</v>
      </c>
      <c r="U919" s="6"/>
      <c r="V919" s="6"/>
      <c r="W919" s="6"/>
      <c r="X919" s="6"/>
      <c r="Y919" s="7" t="str">
        <f aca="false">IF(COUNT(U919:X919)=4,(W919-X919)/2,"")</f>
        <v/>
      </c>
      <c r="Z919" s="7" t="str">
        <f aca="false">IF(COUNT(U919:X919)=4,(U919-V919)/2,"")</f>
        <v/>
      </c>
      <c r="AA919" s="7" t="str">
        <f aca="false">IF(COUNT(U919:X919)=4,MAX(1,MIN(10,ROUNDUP(5-Z919,0))),"")</f>
        <v/>
      </c>
      <c r="AB919" s="7" t="str">
        <f aca="false">IF(COUNT(U919:X919)=4,MAX(1,MIN(10,ROUNDUP(Y919+5,0))),"")</f>
        <v/>
      </c>
      <c r="AC919" s="6"/>
      <c r="AD919" s="6"/>
    </row>
    <row r="920" customFormat="false" ht="15" hidden="false" customHeight="true" outlineLevel="0" collapsed="false">
      <c r="A920" s="5" t="n">
        <v>919</v>
      </c>
      <c r="B920" s="5" t="s">
        <v>2318</v>
      </c>
      <c r="C920" s="5" t="s">
        <v>171</v>
      </c>
      <c r="D920" s="5" t="s">
        <v>172</v>
      </c>
      <c r="E920" s="5" t="n">
        <v>122</v>
      </c>
      <c r="F920" s="5" t="s">
        <v>2319</v>
      </c>
      <c r="G920" s="5" t="n">
        <v>4</v>
      </c>
      <c r="H920" s="5" t="s">
        <v>53</v>
      </c>
      <c r="I920" s="5" t="s">
        <v>54</v>
      </c>
      <c r="J920" s="5" t="s">
        <v>181</v>
      </c>
      <c r="K920" s="5" t="s">
        <v>221</v>
      </c>
      <c r="L920" s="5" t="n">
        <v>2</v>
      </c>
      <c r="M920" s="5" t="n">
        <v>5</v>
      </c>
      <c r="N920" s="5" t="n">
        <v>6</v>
      </c>
      <c r="O920" s="5" t="n">
        <v>5</v>
      </c>
      <c r="P920" s="5" t="n">
        <v>0.5</v>
      </c>
      <c r="Q920" s="5" t="n">
        <v>-1.5</v>
      </c>
      <c r="R920" s="5" t="n">
        <v>7</v>
      </c>
      <c r="S920" s="5" t="n">
        <v>6</v>
      </c>
      <c r="T920" s="5" t="s">
        <v>2320</v>
      </c>
      <c r="U920" s="6"/>
      <c r="V920" s="6"/>
      <c r="W920" s="6"/>
      <c r="X920" s="6"/>
      <c r="Y920" s="7" t="str">
        <f aca="false">IF(COUNT(U920:X920)=4,(W920-X920)/2,"")</f>
        <v/>
      </c>
      <c r="Z920" s="7" t="str">
        <f aca="false">IF(COUNT(U920:X920)=4,(U920-V920)/2,"")</f>
        <v/>
      </c>
      <c r="AA920" s="7" t="str">
        <f aca="false">IF(COUNT(U920:X920)=4,MAX(1,MIN(10,ROUNDUP(5-Z920,0))),"")</f>
        <v/>
      </c>
      <c r="AB920" s="7" t="str">
        <f aca="false">IF(COUNT(U920:X920)=4,MAX(1,MIN(10,ROUNDUP(Y920+5,0))),"")</f>
        <v/>
      </c>
      <c r="AC920" s="6"/>
      <c r="AD920" s="6"/>
    </row>
    <row r="921" customFormat="false" ht="15" hidden="false" customHeight="true" outlineLevel="0" collapsed="false">
      <c r="A921" s="5" t="n">
        <v>920</v>
      </c>
      <c r="B921" s="5" t="s">
        <v>2321</v>
      </c>
      <c r="C921" s="5" t="s">
        <v>171</v>
      </c>
      <c r="D921" s="5" t="s">
        <v>172</v>
      </c>
      <c r="E921" s="5" t="n">
        <v>122</v>
      </c>
      <c r="F921" s="5" t="s">
        <v>2322</v>
      </c>
      <c r="G921" s="5" t="n">
        <v>4</v>
      </c>
      <c r="H921" s="5" t="s">
        <v>53</v>
      </c>
      <c r="I921" s="5" t="s">
        <v>54</v>
      </c>
      <c r="J921" s="5" t="s">
        <v>181</v>
      </c>
      <c r="K921" s="5" t="s">
        <v>279</v>
      </c>
      <c r="L921" s="5" t="n">
        <v>4</v>
      </c>
      <c r="M921" s="5" t="n">
        <v>4</v>
      </c>
      <c r="N921" s="5" t="n">
        <v>5</v>
      </c>
      <c r="O921" s="5" t="n">
        <v>7</v>
      </c>
      <c r="P921" s="5" t="n">
        <v>-1</v>
      </c>
      <c r="Q921" s="5" t="n">
        <v>0</v>
      </c>
      <c r="R921" s="5" t="n">
        <v>5</v>
      </c>
      <c r="S921" s="5" t="n">
        <v>4</v>
      </c>
      <c r="T921" s="5" t="s">
        <v>2323</v>
      </c>
      <c r="U921" s="6"/>
      <c r="V921" s="6"/>
      <c r="W921" s="6"/>
      <c r="X921" s="6"/>
      <c r="Y921" s="7" t="str">
        <f aca="false">IF(COUNT(U921:X921)=4,(W921-X921)/2,"")</f>
        <v/>
      </c>
      <c r="Z921" s="7" t="str">
        <f aca="false">IF(COUNT(U921:X921)=4,(U921-V921)/2,"")</f>
        <v/>
      </c>
      <c r="AA921" s="7" t="str">
        <f aca="false">IF(COUNT(U921:X921)=4,MAX(1,MIN(10,ROUNDUP(5-Z921,0))),"")</f>
        <v/>
      </c>
      <c r="AB921" s="7" t="str">
        <f aca="false">IF(COUNT(U921:X921)=4,MAX(1,MIN(10,ROUNDUP(Y921+5,0))),"")</f>
        <v/>
      </c>
      <c r="AC921" s="6"/>
      <c r="AD921" s="6"/>
    </row>
    <row r="922" customFormat="false" ht="15" hidden="false" customHeight="true" outlineLevel="0" collapsed="false">
      <c r="A922" s="5" t="n">
        <v>921</v>
      </c>
      <c r="B922" s="5" t="s">
        <v>2324</v>
      </c>
      <c r="C922" s="5" t="s">
        <v>67</v>
      </c>
      <c r="D922" s="5" t="s">
        <v>68</v>
      </c>
      <c r="E922" s="5" t="n">
        <v>122</v>
      </c>
      <c r="F922" s="5" t="s">
        <v>2324</v>
      </c>
      <c r="G922" s="5" t="n">
        <v>1</v>
      </c>
      <c r="H922" s="5" t="s">
        <v>47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 t="s">
        <v>2325</v>
      </c>
      <c r="U922" s="6"/>
      <c r="V922" s="6"/>
      <c r="W922" s="6"/>
      <c r="X922" s="6"/>
      <c r="Y922" s="7" t="str">
        <f aca="false">IF(COUNT(U922:X922)=4,(W922-X922)/2,"")</f>
        <v/>
      </c>
      <c r="Z922" s="7" t="str">
        <f aca="false">IF(COUNT(U922:X922)=4,(U922-V922)/2,"")</f>
        <v/>
      </c>
      <c r="AA922" s="7" t="str">
        <f aca="false">IF(COUNT(U922:X922)=4,MAX(1,MIN(10,ROUNDUP(5-Z922,0))),"")</f>
        <v/>
      </c>
      <c r="AB922" s="7" t="str">
        <f aca="false">IF(COUNT(U922:X922)=4,MAX(1,MIN(10,ROUNDUP(Y922+5,0))),"")</f>
        <v/>
      </c>
      <c r="AC922" s="6"/>
      <c r="AD922" s="6"/>
    </row>
    <row r="923" customFormat="false" ht="15" hidden="false" customHeight="true" outlineLevel="0" collapsed="false">
      <c r="A923" s="5" t="n">
        <v>922</v>
      </c>
      <c r="B923" s="5" t="s">
        <v>2326</v>
      </c>
      <c r="C923" s="5" t="s">
        <v>171</v>
      </c>
      <c r="D923" s="5" t="s">
        <v>172</v>
      </c>
      <c r="E923" s="5" t="n">
        <v>122</v>
      </c>
      <c r="F923" s="5" t="s">
        <v>2327</v>
      </c>
      <c r="G923" s="5" t="n">
        <v>4</v>
      </c>
      <c r="H923" s="5" t="s">
        <v>53</v>
      </c>
      <c r="I923" s="5" t="s">
        <v>81</v>
      </c>
      <c r="J923" s="5" t="s">
        <v>174</v>
      </c>
      <c r="K923" s="5" t="s">
        <v>175</v>
      </c>
      <c r="L923" s="5" t="n">
        <v>6</v>
      </c>
      <c r="M923" s="5" t="n">
        <v>5</v>
      </c>
      <c r="N923" s="5" t="n">
        <v>3</v>
      </c>
      <c r="O923" s="5" t="n">
        <v>9</v>
      </c>
      <c r="P923" s="5" t="n">
        <v>-3</v>
      </c>
      <c r="Q923" s="5" t="n">
        <v>0.5</v>
      </c>
      <c r="R923" s="5" t="n">
        <v>5</v>
      </c>
      <c r="S923" s="5" t="n">
        <v>2</v>
      </c>
      <c r="T923" s="5" t="s">
        <v>123</v>
      </c>
      <c r="U923" s="6"/>
      <c r="V923" s="6"/>
      <c r="W923" s="6"/>
      <c r="X923" s="6"/>
      <c r="Y923" s="7" t="str">
        <f aca="false">IF(COUNT(U923:X923)=4,(W923-X923)/2,"")</f>
        <v/>
      </c>
      <c r="Z923" s="7" t="str">
        <f aca="false">IF(COUNT(U923:X923)=4,(U923-V923)/2,"")</f>
        <v/>
      </c>
      <c r="AA923" s="7" t="str">
        <f aca="false">IF(COUNT(U923:X923)=4,MAX(1,MIN(10,ROUNDUP(5-Z923,0))),"")</f>
        <v/>
      </c>
      <c r="AB923" s="7" t="str">
        <f aca="false">IF(COUNT(U923:X923)=4,MAX(1,MIN(10,ROUNDUP(Y923+5,0))),"")</f>
        <v/>
      </c>
      <c r="AC923" s="6"/>
      <c r="AD923" s="6"/>
    </row>
    <row r="924" customFormat="false" ht="15" hidden="false" customHeight="true" outlineLevel="0" collapsed="false">
      <c r="A924" s="5" t="n">
        <v>923</v>
      </c>
      <c r="B924" s="5" t="s">
        <v>2328</v>
      </c>
      <c r="C924" s="5" t="s">
        <v>171</v>
      </c>
      <c r="D924" s="5" t="s">
        <v>172</v>
      </c>
      <c r="E924" s="5" t="n">
        <v>121</v>
      </c>
      <c r="F924" s="5" t="s">
        <v>2329</v>
      </c>
      <c r="G924" s="5" t="n">
        <v>4</v>
      </c>
      <c r="H924" s="5" t="s">
        <v>53</v>
      </c>
      <c r="I924" s="5" t="s">
        <v>54</v>
      </c>
      <c r="J924" s="5" t="s">
        <v>181</v>
      </c>
      <c r="K924" s="5" t="s">
        <v>443</v>
      </c>
      <c r="L924" s="5" t="n">
        <v>5</v>
      </c>
      <c r="M924" s="5" t="n">
        <v>3</v>
      </c>
      <c r="N924" s="5" t="n">
        <v>4</v>
      </c>
      <c r="O924" s="5" t="n">
        <v>8</v>
      </c>
      <c r="P924" s="5" t="n">
        <v>-2</v>
      </c>
      <c r="Q924" s="5" t="n">
        <v>1</v>
      </c>
      <c r="R924" s="5" t="n">
        <v>4</v>
      </c>
      <c r="S924" s="5" t="n">
        <v>3</v>
      </c>
      <c r="T924" s="5" t="s">
        <v>2330</v>
      </c>
      <c r="U924" s="6"/>
      <c r="V924" s="6"/>
      <c r="W924" s="6"/>
      <c r="X924" s="6"/>
      <c r="Y924" s="7" t="str">
        <f aca="false">IF(COUNT(U924:X924)=4,(W924-X924)/2,"")</f>
        <v/>
      </c>
      <c r="Z924" s="7" t="str">
        <f aca="false">IF(COUNT(U924:X924)=4,(U924-V924)/2,"")</f>
        <v/>
      </c>
      <c r="AA924" s="7" t="str">
        <f aca="false">IF(COUNT(U924:X924)=4,MAX(1,MIN(10,ROUNDUP(5-Z924,0))),"")</f>
        <v/>
      </c>
      <c r="AB924" s="7" t="str">
        <f aca="false">IF(COUNT(U924:X924)=4,MAX(1,MIN(10,ROUNDUP(Y924+5,0))),"")</f>
        <v/>
      </c>
      <c r="AC924" s="6"/>
      <c r="AD924" s="6"/>
    </row>
    <row r="925" customFormat="false" ht="15" hidden="false" customHeight="true" outlineLevel="0" collapsed="false">
      <c r="A925" s="5" t="n">
        <v>924</v>
      </c>
      <c r="B925" s="5" t="s">
        <v>2331</v>
      </c>
      <c r="C925" s="5" t="s">
        <v>171</v>
      </c>
      <c r="D925" s="5" t="s">
        <v>172</v>
      </c>
      <c r="E925" s="5" t="n">
        <v>121</v>
      </c>
      <c r="F925" s="5" t="s">
        <v>2332</v>
      </c>
      <c r="G925" s="5" t="n">
        <v>4</v>
      </c>
      <c r="H925" s="5" t="s">
        <v>53</v>
      </c>
      <c r="I925" s="5" t="s">
        <v>54</v>
      </c>
      <c r="J925" s="5" t="s">
        <v>181</v>
      </c>
      <c r="K925" s="5" t="s">
        <v>235</v>
      </c>
      <c r="L925" s="5" t="n">
        <v>4</v>
      </c>
      <c r="M925" s="5" t="n">
        <v>4</v>
      </c>
      <c r="N925" s="5" t="n">
        <v>7</v>
      </c>
      <c r="O925" s="5" t="n">
        <v>4</v>
      </c>
      <c r="P925" s="5" t="n">
        <v>1.5</v>
      </c>
      <c r="Q925" s="5" t="n">
        <v>0</v>
      </c>
      <c r="R925" s="5" t="n">
        <v>5</v>
      </c>
      <c r="S925" s="5" t="n">
        <v>7</v>
      </c>
      <c r="T925" s="5" t="s">
        <v>2333</v>
      </c>
      <c r="U925" s="6"/>
      <c r="V925" s="6"/>
      <c r="W925" s="6"/>
      <c r="X925" s="6"/>
      <c r="Y925" s="7" t="str">
        <f aca="false">IF(COUNT(U925:X925)=4,(W925-X925)/2,"")</f>
        <v/>
      </c>
      <c r="Z925" s="7" t="str">
        <f aca="false">IF(COUNT(U925:X925)=4,(U925-V925)/2,"")</f>
        <v/>
      </c>
      <c r="AA925" s="7" t="str">
        <f aca="false">IF(COUNT(U925:X925)=4,MAX(1,MIN(10,ROUNDUP(5-Z925,0))),"")</f>
        <v/>
      </c>
      <c r="AB925" s="7" t="str">
        <f aca="false">IF(COUNT(U925:X925)=4,MAX(1,MIN(10,ROUNDUP(Y925+5,0))),"")</f>
        <v/>
      </c>
      <c r="AC925" s="6"/>
      <c r="AD925" s="6"/>
    </row>
    <row r="926" customFormat="false" ht="15" hidden="false" customHeight="true" outlineLevel="0" collapsed="false">
      <c r="A926" s="5" t="n">
        <v>925</v>
      </c>
      <c r="B926" s="5" t="s">
        <v>2334</v>
      </c>
      <c r="C926" s="5" t="s">
        <v>171</v>
      </c>
      <c r="D926" s="5" t="s">
        <v>172</v>
      </c>
      <c r="E926" s="5" t="n">
        <v>121</v>
      </c>
      <c r="F926" s="5" t="s">
        <v>2335</v>
      </c>
      <c r="G926" s="5" t="n">
        <v>4</v>
      </c>
      <c r="H926" s="5" t="s">
        <v>53</v>
      </c>
      <c r="I926" s="5" t="s">
        <v>54</v>
      </c>
      <c r="J926" s="5" t="s">
        <v>181</v>
      </c>
      <c r="K926" s="5" t="s">
        <v>309</v>
      </c>
      <c r="L926" s="5" t="n">
        <v>2</v>
      </c>
      <c r="M926" s="5" t="n">
        <v>5</v>
      </c>
      <c r="N926" s="5" t="n">
        <v>5</v>
      </c>
      <c r="O926" s="5" t="n">
        <v>4</v>
      </c>
      <c r="P926" s="5" t="n">
        <v>0.5</v>
      </c>
      <c r="Q926" s="5" t="n">
        <v>-1.5</v>
      </c>
      <c r="R926" s="5" t="n">
        <v>7</v>
      </c>
      <c r="S926" s="5" t="n">
        <v>6</v>
      </c>
      <c r="T926" s="5" t="s">
        <v>2336</v>
      </c>
      <c r="U926" s="6"/>
      <c r="V926" s="6"/>
      <c r="W926" s="6"/>
      <c r="X926" s="6"/>
      <c r="Y926" s="7" t="str">
        <f aca="false">IF(COUNT(U926:X926)=4,(W926-X926)/2,"")</f>
        <v/>
      </c>
      <c r="Z926" s="7" t="str">
        <f aca="false">IF(COUNT(U926:X926)=4,(U926-V926)/2,"")</f>
        <v/>
      </c>
      <c r="AA926" s="7" t="str">
        <f aca="false">IF(COUNT(U926:X926)=4,MAX(1,MIN(10,ROUNDUP(5-Z926,0))),"")</f>
        <v/>
      </c>
      <c r="AB926" s="7" t="str">
        <f aca="false">IF(COUNT(U926:X926)=4,MAX(1,MIN(10,ROUNDUP(Y926+5,0))),"")</f>
        <v/>
      </c>
      <c r="AC926" s="6"/>
      <c r="AD926" s="6"/>
    </row>
    <row r="927" customFormat="false" ht="15" hidden="false" customHeight="true" outlineLevel="0" collapsed="false">
      <c r="A927" s="5" t="n">
        <v>926</v>
      </c>
      <c r="B927" s="5" t="s">
        <v>2337</v>
      </c>
      <c r="C927" s="5" t="s">
        <v>145</v>
      </c>
      <c r="D927" s="5" t="s">
        <v>51</v>
      </c>
      <c r="E927" s="5" t="n">
        <v>121</v>
      </c>
      <c r="F927" s="5" t="s">
        <v>2338</v>
      </c>
      <c r="G927" s="5" t="n">
        <v>4</v>
      </c>
      <c r="H927" s="5" t="s">
        <v>53</v>
      </c>
      <c r="I927" s="5" t="s">
        <v>54</v>
      </c>
      <c r="J927" s="5" t="s">
        <v>55</v>
      </c>
      <c r="K927" s="5" t="s">
        <v>55</v>
      </c>
      <c r="L927" s="5" t="n">
        <v>6</v>
      </c>
      <c r="M927" s="5" t="n">
        <v>3</v>
      </c>
      <c r="N927" s="5" t="n">
        <v>6</v>
      </c>
      <c r="O927" s="5" t="n">
        <v>4</v>
      </c>
      <c r="P927" s="5" t="n">
        <v>1</v>
      </c>
      <c r="Q927" s="5" t="n">
        <v>1.5</v>
      </c>
      <c r="R927" s="5" t="n">
        <v>4</v>
      </c>
      <c r="S927" s="5" t="n">
        <v>6</v>
      </c>
      <c r="T927" s="5" t="s">
        <v>2339</v>
      </c>
      <c r="U927" s="6"/>
      <c r="V927" s="6"/>
      <c r="W927" s="6"/>
      <c r="X927" s="6"/>
      <c r="Y927" s="7" t="str">
        <f aca="false">IF(COUNT(U927:X927)=4,(W927-X927)/2,"")</f>
        <v/>
      </c>
      <c r="Z927" s="7" t="str">
        <f aca="false">IF(COUNT(U927:X927)=4,(U927-V927)/2,"")</f>
        <v/>
      </c>
      <c r="AA927" s="7" t="str">
        <f aca="false">IF(COUNT(U927:X927)=4,MAX(1,MIN(10,ROUNDUP(5-Z927,0))),"")</f>
        <v/>
      </c>
      <c r="AB927" s="7" t="str">
        <f aca="false">IF(COUNT(U927:X927)=4,MAX(1,MIN(10,ROUNDUP(Y927+5,0))),"")</f>
        <v/>
      </c>
      <c r="AC927" s="6"/>
      <c r="AD927" s="6"/>
    </row>
    <row r="928" customFormat="false" ht="15" hidden="false" customHeight="true" outlineLevel="0" collapsed="false">
      <c r="A928" s="5" t="n">
        <v>927</v>
      </c>
      <c r="B928" s="5" t="s">
        <v>2340</v>
      </c>
      <c r="C928" s="5" t="s">
        <v>171</v>
      </c>
      <c r="D928" s="5" t="s">
        <v>172</v>
      </c>
      <c r="E928" s="5" t="n">
        <v>121</v>
      </c>
      <c r="F928" s="5" t="s">
        <v>2341</v>
      </c>
      <c r="G928" s="5" t="n">
        <v>4</v>
      </c>
      <c r="H928" s="5" t="s">
        <v>53</v>
      </c>
      <c r="I928" s="5" t="s">
        <v>81</v>
      </c>
      <c r="J928" s="5" t="s">
        <v>174</v>
      </c>
      <c r="K928" s="5" t="s">
        <v>175</v>
      </c>
      <c r="L928" s="5" t="n">
        <v>8</v>
      </c>
      <c r="M928" s="5" t="n">
        <v>2</v>
      </c>
      <c r="N928" s="5" t="n">
        <v>3</v>
      </c>
      <c r="O928" s="5" t="n">
        <v>8</v>
      </c>
      <c r="P928" s="5" t="n">
        <v>-2.5</v>
      </c>
      <c r="Q928" s="5" t="n">
        <v>3</v>
      </c>
      <c r="R928" s="5" t="n">
        <v>2</v>
      </c>
      <c r="S928" s="5" t="n">
        <v>3</v>
      </c>
      <c r="T928" s="5" t="s">
        <v>2342</v>
      </c>
      <c r="U928" s="6"/>
      <c r="V928" s="6"/>
      <c r="W928" s="6"/>
      <c r="X928" s="6"/>
      <c r="Y928" s="7" t="str">
        <f aca="false">IF(COUNT(U928:X928)=4,(W928-X928)/2,"")</f>
        <v/>
      </c>
      <c r="Z928" s="7" t="str">
        <f aca="false">IF(COUNT(U928:X928)=4,(U928-V928)/2,"")</f>
        <v/>
      </c>
      <c r="AA928" s="7" t="str">
        <f aca="false">IF(COUNT(U928:X928)=4,MAX(1,MIN(10,ROUNDUP(5-Z928,0))),"")</f>
        <v/>
      </c>
      <c r="AB928" s="7" t="str">
        <f aca="false">IF(COUNT(U928:X928)=4,MAX(1,MIN(10,ROUNDUP(Y928+5,0))),"")</f>
        <v/>
      </c>
      <c r="AC928" s="6"/>
      <c r="AD928" s="6"/>
    </row>
    <row r="929" customFormat="false" ht="15" hidden="false" customHeight="true" outlineLevel="0" collapsed="false">
      <c r="A929" s="5" t="n">
        <v>928</v>
      </c>
      <c r="B929" s="5" t="s">
        <v>2343</v>
      </c>
      <c r="C929" s="5" t="s">
        <v>171</v>
      </c>
      <c r="D929" s="5" t="s">
        <v>172</v>
      </c>
      <c r="E929" s="5" t="n">
        <v>121</v>
      </c>
      <c r="F929" s="5" t="s">
        <v>2344</v>
      </c>
      <c r="G929" s="5" t="n">
        <v>4</v>
      </c>
      <c r="H929" s="5" t="s">
        <v>53</v>
      </c>
      <c r="I929" s="5" t="s">
        <v>54</v>
      </c>
      <c r="J929" s="5" t="s">
        <v>181</v>
      </c>
      <c r="K929" s="5" t="s">
        <v>279</v>
      </c>
      <c r="L929" s="5" t="n">
        <v>4</v>
      </c>
      <c r="M929" s="5" t="n">
        <v>4</v>
      </c>
      <c r="N929" s="5" t="n">
        <v>5</v>
      </c>
      <c r="O929" s="5" t="n">
        <v>7</v>
      </c>
      <c r="P929" s="5" t="n">
        <v>-1</v>
      </c>
      <c r="Q929" s="5" t="n">
        <v>0</v>
      </c>
      <c r="R929" s="5" t="n">
        <v>5</v>
      </c>
      <c r="S929" s="5" t="n">
        <v>4</v>
      </c>
      <c r="T929" s="5" t="s">
        <v>2345</v>
      </c>
      <c r="U929" s="6"/>
      <c r="V929" s="6"/>
      <c r="W929" s="6"/>
      <c r="X929" s="6"/>
      <c r="Y929" s="7" t="str">
        <f aca="false">IF(COUNT(U929:X929)=4,(W929-X929)/2,"")</f>
        <v/>
      </c>
      <c r="Z929" s="7" t="str">
        <f aca="false">IF(COUNT(U929:X929)=4,(U929-V929)/2,"")</f>
        <v/>
      </c>
      <c r="AA929" s="7" t="str">
        <f aca="false">IF(COUNT(U929:X929)=4,MAX(1,MIN(10,ROUNDUP(5-Z929,0))),"")</f>
        <v/>
      </c>
      <c r="AB929" s="7" t="str">
        <f aca="false">IF(COUNT(U929:X929)=4,MAX(1,MIN(10,ROUNDUP(Y929+5,0))),"")</f>
        <v/>
      </c>
      <c r="AC929" s="6"/>
      <c r="AD929" s="6"/>
    </row>
    <row r="930" customFormat="false" ht="15" hidden="false" customHeight="true" outlineLevel="0" collapsed="false">
      <c r="A930" s="5" t="n">
        <v>929</v>
      </c>
      <c r="B930" s="5" t="s">
        <v>2346</v>
      </c>
      <c r="C930" s="5" t="s">
        <v>203</v>
      </c>
      <c r="D930" s="5" t="s">
        <v>204</v>
      </c>
      <c r="E930" s="5" t="n">
        <v>120</v>
      </c>
      <c r="F930" s="5" t="s">
        <v>2346</v>
      </c>
      <c r="G930" s="5" t="n">
        <v>4</v>
      </c>
      <c r="H930" s="5" t="s">
        <v>53</v>
      </c>
      <c r="I930" s="5" t="s">
        <v>54</v>
      </c>
      <c r="J930" s="5" t="s">
        <v>117</v>
      </c>
      <c r="K930" s="5" t="s">
        <v>117</v>
      </c>
      <c r="L930" s="5" t="n">
        <v>3</v>
      </c>
      <c r="M930" s="5" t="n">
        <v>1</v>
      </c>
      <c r="N930" s="5" t="n">
        <v>2</v>
      </c>
      <c r="O930" s="5" t="n">
        <v>7</v>
      </c>
      <c r="P930" s="5" t="n">
        <v>-2.5</v>
      </c>
      <c r="Q930" s="5" t="n">
        <v>1</v>
      </c>
      <c r="R930" s="5" t="n">
        <v>4</v>
      </c>
      <c r="S930" s="5" t="n">
        <v>3</v>
      </c>
      <c r="T930" s="5" t="s">
        <v>2347</v>
      </c>
      <c r="U930" s="6"/>
      <c r="V930" s="6"/>
      <c r="W930" s="6"/>
      <c r="X930" s="6"/>
      <c r="Y930" s="7" t="str">
        <f aca="false">IF(COUNT(U930:X930)=4,(W930-X930)/2,"")</f>
        <v/>
      </c>
      <c r="Z930" s="7" t="str">
        <f aca="false">IF(COUNT(U930:X930)=4,(U930-V930)/2,"")</f>
        <v/>
      </c>
      <c r="AA930" s="7" t="str">
        <f aca="false">IF(COUNT(U930:X930)=4,MAX(1,MIN(10,ROUNDUP(5-Z930,0))),"")</f>
        <v/>
      </c>
      <c r="AB930" s="7" t="str">
        <f aca="false">IF(COUNT(U930:X930)=4,MAX(1,MIN(10,ROUNDUP(Y930+5,0))),"")</f>
        <v/>
      </c>
      <c r="AC930" s="6"/>
      <c r="AD930" s="6"/>
    </row>
    <row r="931" customFormat="false" ht="15" hidden="false" customHeight="true" outlineLevel="0" collapsed="false">
      <c r="A931" s="5" t="n">
        <v>930</v>
      </c>
      <c r="B931" s="5" t="s">
        <v>2348</v>
      </c>
      <c r="C931" s="5" t="s">
        <v>171</v>
      </c>
      <c r="D931" s="5" t="s">
        <v>172</v>
      </c>
      <c r="E931" s="5" t="n">
        <v>120</v>
      </c>
      <c r="F931" s="5" t="s">
        <v>2349</v>
      </c>
      <c r="G931" s="5" t="n">
        <v>4</v>
      </c>
      <c r="H931" s="5" t="s">
        <v>53</v>
      </c>
      <c r="I931" s="5" t="s">
        <v>54</v>
      </c>
      <c r="J931" s="5" t="s">
        <v>117</v>
      </c>
      <c r="K931" s="5" t="s">
        <v>117</v>
      </c>
      <c r="L931" s="5" t="n">
        <v>4</v>
      </c>
      <c r="M931" s="5" t="n">
        <v>1</v>
      </c>
      <c r="N931" s="5" t="n">
        <v>2</v>
      </c>
      <c r="O931" s="5" t="n">
        <v>7</v>
      </c>
      <c r="P931" s="5" t="n">
        <v>-2.5</v>
      </c>
      <c r="Q931" s="5" t="n">
        <v>1.5</v>
      </c>
      <c r="R931" s="5" t="n">
        <v>4</v>
      </c>
      <c r="S931" s="5" t="n">
        <v>3</v>
      </c>
      <c r="T931" s="5" t="s">
        <v>2350</v>
      </c>
      <c r="U931" s="6"/>
      <c r="V931" s="6"/>
      <c r="W931" s="6"/>
      <c r="X931" s="6"/>
      <c r="Y931" s="7" t="str">
        <f aca="false">IF(COUNT(U931:X931)=4,(W931-X931)/2,"")</f>
        <v/>
      </c>
      <c r="Z931" s="7" t="str">
        <f aca="false">IF(COUNT(U931:X931)=4,(U931-V931)/2,"")</f>
        <v/>
      </c>
      <c r="AA931" s="7" t="str">
        <f aca="false">IF(COUNT(U931:X931)=4,MAX(1,MIN(10,ROUNDUP(5-Z931,0))),"")</f>
        <v/>
      </c>
      <c r="AB931" s="7" t="str">
        <f aca="false">IF(COUNT(U931:X931)=4,MAX(1,MIN(10,ROUNDUP(Y931+5,0))),"")</f>
        <v/>
      </c>
      <c r="AC931" s="6"/>
      <c r="AD931" s="6"/>
    </row>
    <row r="932" customFormat="false" ht="15" hidden="false" customHeight="true" outlineLevel="0" collapsed="false">
      <c r="A932" s="5" t="n">
        <v>931</v>
      </c>
      <c r="B932" s="5" t="s">
        <v>2351</v>
      </c>
      <c r="C932" s="5" t="s">
        <v>171</v>
      </c>
      <c r="D932" s="5" t="s">
        <v>172</v>
      </c>
      <c r="E932" s="5" t="n">
        <v>120</v>
      </c>
      <c r="F932" s="5" t="s">
        <v>2352</v>
      </c>
      <c r="G932" s="5" t="n">
        <v>4</v>
      </c>
      <c r="H932" s="5" t="s">
        <v>53</v>
      </c>
      <c r="I932" s="5" t="s">
        <v>81</v>
      </c>
      <c r="J932" s="5" t="s">
        <v>174</v>
      </c>
      <c r="K932" s="5" t="s">
        <v>175</v>
      </c>
      <c r="L932" s="5" t="n">
        <v>7</v>
      </c>
      <c r="M932" s="5" t="n">
        <v>1</v>
      </c>
      <c r="N932" s="5" t="n">
        <v>6</v>
      </c>
      <c r="O932" s="5" t="n">
        <v>5</v>
      </c>
      <c r="P932" s="5" t="n">
        <v>0.5</v>
      </c>
      <c r="Q932" s="5" t="n">
        <v>3</v>
      </c>
      <c r="R932" s="5" t="n">
        <v>2</v>
      </c>
      <c r="S932" s="5" t="n">
        <v>6</v>
      </c>
      <c r="T932" s="5" t="s">
        <v>522</v>
      </c>
      <c r="U932" s="6"/>
      <c r="V932" s="6"/>
      <c r="W932" s="6"/>
      <c r="X932" s="6"/>
      <c r="Y932" s="7" t="str">
        <f aca="false">IF(COUNT(U932:X932)=4,(W932-X932)/2,"")</f>
        <v/>
      </c>
      <c r="Z932" s="7" t="str">
        <f aca="false">IF(COUNT(U932:X932)=4,(U932-V932)/2,"")</f>
        <v/>
      </c>
      <c r="AA932" s="7" t="str">
        <f aca="false">IF(COUNT(U932:X932)=4,MAX(1,MIN(10,ROUNDUP(5-Z932,0))),"")</f>
        <v/>
      </c>
      <c r="AB932" s="7" t="str">
        <f aca="false">IF(COUNT(U932:X932)=4,MAX(1,MIN(10,ROUNDUP(Y932+5,0))),"")</f>
        <v/>
      </c>
      <c r="AC932" s="6"/>
      <c r="AD932" s="6"/>
    </row>
    <row r="933" customFormat="false" ht="15" hidden="false" customHeight="true" outlineLevel="0" collapsed="false">
      <c r="A933" s="5" t="n">
        <v>932</v>
      </c>
      <c r="B933" s="5" t="s">
        <v>2353</v>
      </c>
      <c r="C933" s="5" t="s">
        <v>203</v>
      </c>
      <c r="D933" s="5" t="s">
        <v>204</v>
      </c>
      <c r="E933" s="5" t="n">
        <v>120</v>
      </c>
      <c r="F933" s="5" t="s">
        <v>2353</v>
      </c>
      <c r="G933" s="5" t="n">
        <v>4</v>
      </c>
      <c r="H933" s="5" t="s">
        <v>53</v>
      </c>
      <c r="I933" s="5" t="s">
        <v>54</v>
      </c>
      <c r="J933" s="5" t="s">
        <v>117</v>
      </c>
      <c r="K933" s="5" t="s">
        <v>117</v>
      </c>
      <c r="L933" s="5" t="n">
        <v>5</v>
      </c>
      <c r="M933" s="5" t="n">
        <v>1</v>
      </c>
      <c r="N933" s="5" t="n">
        <v>2</v>
      </c>
      <c r="O933" s="5" t="n">
        <v>8</v>
      </c>
      <c r="P933" s="5" t="n">
        <v>-3</v>
      </c>
      <c r="Q933" s="5" t="n">
        <v>2</v>
      </c>
      <c r="R933" s="5" t="n">
        <v>3</v>
      </c>
      <c r="S933" s="5" t="n">
        <v>2</v>
      </c>
      <c r="T933" s="5" t="s">
        <v>217</v>
      </c>
      <c r="U933" s="6"/>
      <c r="V933" s="6"/>
      <c r="W933" s="6"/>
      <c r="X933" s="6"/>
      <c r="Y933" s="7" t="str">
        <f aca="false">IF(COUNT(U933:X933)=4,(W933-X933)/2,"")</f>
        <v/>
      </c>
      <c r="Z933" s="7" t="str">
        <f aca="false">IF(COUNT(U933:X933)=4,(U933-V933)/2,"")</f>
        <v/>
      </c>
      <c r="AA933" s="7" t="str">
        <f aca="false">IF(COUNT(U933:X933)=4,MAX(1,MIN(10,ROUNDUP(5-Z933,0))),"")</f>
        <v/>
      </c>
      <c r="AB933" s="7" t="str">
        <f aca="false">IF(COUNT(U933:X933)=4,MAX(1,MIN(10,ROUNDUP(Y933+5,0))),"")</f>
        <v/>
      </c>
      <c r="AC933" s="6"/>
      <c r="AD933" s="6"/>
    </row>
    <row r="934" customFormat="false" ht="15" hidden="false" customHeight="true" outlineLevel="0" collapsed="false">
      <c r="A934" s="5" t="n">
        <v>933</v>
      </c>
      <c r="B934" s="5" t="s">
        <v>2354</v>
      </c>
      <c r="C934" s="5" t="s">
        <v>145</v>
      </c>
      <c r="D934" s="5" t="s">
        <v>51</v>
      </c>
      <c r="E934" s="5" t="n">
        <v>120</v>
      </c>
      <c r="F934" s="5" t="s">
        <v>2355</v>
      </c>
      <c r="G934" s="5" t="n">
        <v>4</v>
      </c>
      <c r="H934" s="5" t="s">
        <v>53</v>
      </c>
      <c r="I934" s="5" t="s">
        <v>54</v>
      </c>
      <c r="J934" s="5" t="s">
        <v>55</v>
      </c>
      <c r="K934" s="5" t="s">
        <v>55</v>
      </c>
      <c r="L934" s="5" t="n">
        <v>6</v>
      </c>
      <c r="M934" s="5" t="n">
        <v>3</v>
      </c>
      <c r="N934" s="5" t="n">
        <v>3</v>
      </c>
      <c r="O934" s="5" t="n">
        <v>6</v>
      </c>
      <c r="P934" s="5" t="n">
        <v>-1.5</v>
      </c>
      <c r="Q934" s="5" t="n">
        <v>1.5</v>
      </c>
      <c r="R934" s="5" t="n">
        <v>4</v>
      </c>
      <c r="S934" s="5" t="n">
        <v>4</v>
      </c>
      <c r="T934" s="5" t="s">
        <v>2356</v>
      </c>
      <c r="U934" s="6"/>
      <c r="V934" s="6"/>
      <c r="W934" s="6"/>
      <c r="X934" s="6"/>
      <c r="Y934" s="7" t="str">
        <f aca="false">IF(COUNT(U934:X934)=4,(W934-X934)/2,"")</f>
        <v/>
      </c>
      <c r="Z934" s="7" t="str">
        <f aca="false">IF(COUNT(U934:X934)=4,(U934-V934)/2,"")</f>
        <v/>
      </c>
      <c r="AA934" s="7" t="str">
        <f aca="false">IF(COUNT(U934:X934)=4,MAX(1,MIN(10,ROUNDUP(5-Z934,0))),"")</f>
        <v/>
      </c>
      <c r="AB934" s="7" t="str">
        <f aca="false">IF(COUNT(U934:X934)=4,MAX(1,MIN(10,ROUNDUP(Y934+5,0))),"")</f>
        <v/>
      </c>
      <c r="AC934" s="6"/>
      <c r="AD934" s="6"/>
    </row>
    <row r="935" customFormat="false" ht="15" hidden="false" customHeight="true" outlineLevel="0" collapsed="false">
      <c r="A935" s="5" t="n">
        <v>934</v>
      </c>
      <c r="B935" s="5" t="s">
        <v>2357</v>
      </c>
      <c r="C935" s="5" t="s">
        <v>203</v>
      </c>
      <c r="D935" s="5" t="s">
        <v>204</v>
      </c>
      <c r="E935" s="5" t="n">
        <v>120</v>
      </c>
      <c r="F935" s="5" t="s">
        <v>2358</v>
      </c>
      <c r="G935" s="5" t="n">
        <v>4</v>
      </c>
      <c r="H935" s="5" t="s">
        <v>53</v>
      </c>
      <c r="I935" s="5" t="s">
        <v>54</v>
      </c>
      <c r="J935" s="5" t="s">
        <v>117</v>
      </c>
      <c r="K935" s="5" t="s">
        <v>117</v>
      </c>
      <c r="L935" s="5" t="n">
        <v>5</v>
      </c>
      <c r="M935" s="5" t="n">
        <v>2</v>
      </c>
      <c r="N935" s="5" t="n">
        <v>2</v>
      </c>
      <c r="O935" s="5" t="n">
        <v>7</v>
      </c>
      <c r="P935" s="5" t="n">
        <v>-2.5</v>
      </c>
      <c r="Q935" s="5" t="n">
        <v>1.5</v>
      </c>
      <c r="R935" s="5" t="n">
        <v>4</v>
      </c>
      <c r="S935" s="5" t="n">
        <v>3</v>
      </c>
      <c r="T935" s="5" t="s">
        <v>2359</v>
      </c>
      <c r="U935" s="6"/>
      <c r="V935" s="6"/>
      <c r="W935" s="6"/>
      <c r="X935" s="6"/>
      <c r="Y935" s="7" t="str">
        <f aca="false">IF(COUNT(U935:X935)=4,(W935-X935)/2,"")</f>
        <v/>
      </c>
      <c r="Z935" s="7" t="str">
        <f aca="false">IF(COUNT(U935:X935)=4,(U935-V935)/2,"")</f>
        <v/>
      </c>
      <c r="AA935" s="7" t="str">
        <f aca="false">IF(COUNT(U935:X935)=4,MAX(1,MIN(10,ROUNDUP(5-Z935,0))),"")</f>
        <v/>
      </c>
      <c r="AB935" s="7" t="str">
        <f aca="false">IF(COUNT(U935:X935)=4,MAX(1,MIN(10,ROUNDUP(Y935+5,0))),"")</f>
        <v/>
      </c>
      <c r="AC935" s="6"/>
      <c r="AD935" s="6"/>
    </row>
    <row r="936" customFormat="false" ht="15" hidden="false" customHeight="true" outlineLevel="0" collapsed="false">
      <c r="A936" s="5" t="n">
        <v>935</v>
      </c>
      <c r="B936" s="5" t="s">
        <v>2360</v>
      </c>
      <c r="C936" s="5" t="s">
        <v>145</v>
      </c>
      <c r="D936" s="5" t="s">
        <v>51</v>
      </c>
      <c r="E936" s="5" t="n">
        <v>120</v>
      </c>
      <c r="F936" s="5" t="s">
        <v>2361</v>
      </c>
      <c r="G936" s="5" t="n">
        <v>4</v>
      </c>
      <c r="H936" s="5" t="s">
        <v>53</v>
      </c>
      <c r="I936" s="5" t="s">
        <v>54</v>
      </c>
      <c r="J936" s="5" t="s">
        <v>55</v>
      </c>
      <c r="K936" s="5" t="s">
        <v>55</v>
      </c>
      <c r="L936" s="5" t="n">
        <v>4</v>
      </c>
      <c r="M936" s="5" t="n">
        <v>2</v>
      </c>
      <c r="N936" s="5" t="n">
        <v>10</v>
      </c>
      <c r="O936" s="5" t="n">
        <v>1</v>
      </c>
      <c r="P936" s="5" t="n">
        <v>4.5</v>
      </c>
      <c r="Q936" s="5" t="n">
        <v>1</v>
      </c>
      <c r="R936" s="5" t="n">
        <v>4</v>
      </c>
      <c r="S936" s="5" t="n">
        <v>10</v>
      </c>
      <c r="T936" s="5" t="s">
        <v>2362</v>
      </c>
      <c r="U936" s="6"/>
      <c r="V936" s="6"/>
      <c r="W936" s="6"/>
      <c r="X936" s="6"/>
      <c r="Y936" s="7" t="str">
        <f aca="false">IF(COUNT(U936:X936)=4,(W936-X936)/2,"")</f>
        <v/>
      </c>
      <c r="Z936" s="7" t="str">
        <f aca="false">IF(COUNT(U936:X936)=4,(U936-V936)/2,"")</f>
        <v/>
      </c>
      <c r="AA936" s="7" t="str">
        <f aca="false">IF(COUNT(U936:X936)=4,MAX(1,MIN(10,ROUNDUP(5-Z936,0))),"")</f>
        <v/>
      </c>
      <c r="AB936" s="7" t="str">
        <f aca="false">IF(COUNT(U936:X936)=4,MAX(1,MIN(10,ROUNDUP(Y936+5,0))),"")</f>
        <v/>
      </c>
      <c r="AC936" s="6"/>
      <c r="AD936" s="6"/>
    </row>
    <row r="937" customFormat="false" ht="15" hidden="false" customHeight="true" outlineLevel="0" collapsed="false">
      <c r="A937" s="5" t="n">
        <v>936</v>
      </c>
      <c r="B937" s="5" t="s">
        <v>2363</v>
      </c>
      <c r="C937" s="5" t="s">
        <v>203</v>
      </c>
      <c r="D937" s="5" t="s">
        <v>204</v>
      </c>
      <c r="E937" s="5" t="n">
        <v>120</v>
      </c>
      <c r="F937" s="5" t="s">
        <v>2363</v>
      </c>
      <c r="G937" s="5" t="n">
        <v>4</v>
      </c>
      <c r="H937" s="5" t="s">
        <v>53</v>
      </c>
      <c r="I937" s="5" t="s">
        <v>54</v>
      </c>
      <c r="J937" s="5" t="s">
        <v>117</v>
      </c>
      <c r="K937" s="5" t="s">
        <v>117</v>
      </c>
      <c r="L937" s="5" t="n">
        <v>4</v>
      </c>
      <c r="M937" s="5" t="n">
        <v>1</v>
      </c>
      <c r="N937" s="5" t="n">
        <v>2</v>
      </c>
      <c r="O937" s="5" t="n">
        <v>8</v>
      </c>
      <c r="P937" s="5" t="n">
        <v>-3</v>
      </c>
      <c r="Q937" s="5" t="n">
        <v>1.5</v>
      </c>
      <c r="R937" s="5" t="n">
        <v>4</v>
      </c>
      <c r="S937" s="5" t="n">
        <v>2</v>
      </c>
      <c r="T937" s="5" t="s">
        <v>2364</v>
      </c>
      <c r="U937" s="6"/>
      <c r="V937" s="6"/>
      <c r="W937" s="6"/>
      <c r="X937" s="6"/>
      <c r="Y937" s="7" t="str">
        <f aca="false">IF(COUNT(U937:X937)=4,(W937-X937)/2,"")</f>
        <v/>
      </c>
      <c r="Z937" s="7" t="str">
        <f aca="false">IF(COUNT(U937:X937)=4,(U937-V937)/2,"")</f>
        <v/>
      </c>
      <c r="AA937" s="7" t="str">
        <f aca="false">IF(COUNT(U937:X937)=4,MAX(1,MIN(10,ROUNDUP(5-Z937,0))),"")</f>
        <v/>
      </c>
      <c r="AB937" s="7" t="str">
        <f aca="false">IF(COUNT(U937:X937)=4,MAX(1,MIN(10,ROUNDUP(Y937+5,0))),"")</f>
        <v/>
      </c>
      <c r="AC937" s="6"/>
      <c r="AD937" s="6"/>
    </row>
    <row r="938" customFormat="false" ht="15" hidden="false" customHeight="true" outlineLevel="0" collapsed="false">
      <c r="A938" s="5" t="n">
        <v>937</v>
      </c>
      <c r="B938" s="5" t="s">
        <v>2365</v>
      </c>
      <c r="C938" s="5" t="s">
        <v>171</v>
      </c>
      <c r="D938" s="5" t="s">
        <v>172</v>
      </c>
      <c r="E938" s="5" t="n">
        <v>119</v>
      </c>
      <c r="F938" s="5" t="s">
        <v>2366</v>
      </c>
      <c r="G938" s="5" t="n">
        <v>4</v>
      </c>
      <c r="H938" s="5" t="s">
        <v>53</v>
      </c>
      <c r="I938" s="5" t="s">
        <v>54</v>
      </c>
      <c r="J938" s="5" t="s">
        <v>181</v>
      </c>
      <c r="K938" s="5" t="s">
        <v>179</v>
      </c>
      <c r="L938" s="5" t="n">
        <v>2</v>
      </c>
      <c r="M938" s="5" t="n">
        <v>6</v>
      </c>
      <c r="N938" s="5" t="n">
        <v>2</v>
      </c>
      <c r="O938" s="5" t="n">
        <v>6</v>
      </c>
      <c r="P938" s="5" t="n">
        <v>-2</v>
      </c>
      <c r="Q938" s="5" t="n">
        <v>-2</v>
      </c>
      <c r="R938" s="5" t="n">
        <v>7</v>
      </c>
      <c r="S938" s="5" t="n">
        <v>3</v>
      </c>
      <c r="T938" s="5" t="s">
        <v>1160</v>
      </c>
      <c r="U938" s="6"/>
      <c r="V938" s="6"/>
      <c r="W938" s="6"/>
      <c r="X938" s="6"/>
      <c r="Y938" s="7" t="str">
        <f aca="false">IF(COUNT(U938:X938)=4,(W938-X938)/2,"")</f>
        <v/>
      </c>
      <c r="Z938" s="7" t="str">
        <f aca="false">IF(COUNT(U938:X938)=4,(U938-V938)/2,"")</f>
        <v/>
      </c>
      <c r="AA938" s="7" t="str">
        <f aca="false">IF(COUNT(U938:X938)=4,MAX(1,MIN(10,ROUNDUP(5-Z938,0))),"")</f>
        <v/>
      </c>
      <c r="AB938" s="7" t="str">
        <f aca="false">IF(COUNT(U938:X938)=4,MAX(1,MIN(10,ROUNDUP(Y938+5,0))),"")</f>
        <v/>
      </c>
      <c r="AC938" s="6"/>
      <c r="AD938" s="6"/>
    </row>
    <row r="939" customFormat="false" ht="15" hidden="false" customHeight="true" outlineLevel="0" collapsed="false">
      <c r="A939" s="5" t="n">
        <v>938</v>
      </c>
      <c r="B939" s="5" t="s">
        <v>2367</v>
      </c>
      <c r="C939" s="5" t="s">
        <v>145</v>
      </c>
      <c r="D939" s="5" t="s">
        <v>51</v>
      </c>
      <c r="E939" s="5" t="n">
        <v>119</v>
      </c>
      <c r="F939" s="5" t="s">
        <v>2368</v>
      </c>
      <c r="G939" s="5" t="n">
        <v>4</v>
      </c>
      <c r="H939" s="5" t="s">
        <v>53</v>
      </c>
      <c r="I939" s="5" t="s">
        <v>54</v>
      </c>
      <c r="J939" s="5" t="s">
        <v>55</v>
      </c>
      <c r="K939" s="5" t="s">
        <v>55</v>
      </c>
      <c r="L939" s="5" t="n">
        <v>4</v>
      </c>
      <c r="M939" s="5" t="n">
        <v>3</v>
      </c>
      <c r="N939" s="5" t="n">
        <v>3</v>
      </c>
      <c r="O939" s="5" t="n">
        <v>6</v>
      </c>
      <c r="P939" s="5" t="n">
        <v>-1.5</v>
      </c>
      <c r="Q939" s="5" t="n">
        <v>0.5</v>
      </c>
      <c r="R939" s="5" t="n">
        <v>5</v>
      </c>
      <c r="S939" s="5" t="n">
        <v>4</v>
      </c>
      <c r="T939" s="5" t="s">
        <v>2369</v>
      </c>
      <c r="U939" s="6"/>
      <c r="V939" s="6"/>
      <c r="W939" s="6"/>
      <c r="X939" s="6"/>
      <c r="Y939" s="7" t="str">
        <f aca="false">IF(COUNT(U939:X939)=4,(W939-X939)/2,"")</f>
        <v/>
      </c>
      <c r="Z939" s="7" t="str">
        <f aca="false">IF(COUNT(U939:X939)=4,(U939-V939)/2,"")</f>
        <v/>
      </c>
      <c r="AA939" s="7" t="str">
        <f aca="false">IF(COUNT(U939:X939)=4,MAX(1,MIN(10,ROUNDUP(5-Z939,0))),"")</f>
        <v/>
      </c>
      <c r="AB939" s="7" t="str">
        <f aca="false">IF(COUNT(U939:X939)=4,MAX(1,MIN(10,ROUNDUP(Y939+5,0))),"")</f>
        <v/>
      </c>
      <c r="AC939" s="6"/>
      <c r="AD939" s="6"/>
    </row>
    <row r="940" customFormat="false" ht="15" hidden="false" customHeight="true" outlineLevel="0" collapsed="false">
      <c r="A940" s="5" t="n">
        <v>939</v>
      </c>
      <c r="B940" s="5" t="s">
        <v>2370</v>
      </c>
      <c r="C940" s="5" t="s">
        <v>108</v>
      </c>
      <c r="D940" s="5" t="s">
        <v>109</v>
      </c>
      <c r="E940" s="5" t="n">
        <v>119</v>
      </c>
      <c r="F940" s="5" t="s">
        <v>2371</v>
      </c>
      <c r="G940" s="5" t="n">
        <v>4</v>
      </c>
      <c r="H940" s="5" t="s">
        <v>53</v>
      </c>
      <c r="I940" s="5" t="s">
        <v>54</v>
      </c>
      <c r="J940" s="5" t="s">
        <v>117</v>
      </c>
      <c r="K940" s="5" t="s">
        <v>117</v>
      </c>
      <c r="L940" s="5" t="n">
        <v>3</v>
      </c>
      <c r="M940" s="5" t="n">
        <v>1</v>
      </c>
      <c r="N940" s="5" t="n">
        <v>7</v>
      </c>
      <c r="O940" s="5" t="n">
        <v>3</v>
      </c>
      <c r="P940" s="5" t="n">
        <v>2</v>
      </c>
      <c r="Q940" s="5" t="n">
        <v>1</v>
      </c>
      <c r="R940" s="5" t="n">
        <v>4</v>
      </c>
      <c r="S940" s="5" t="n">
        <v>7</v>
      </c>
      <c r="T940" s="5" t="s">
        <v>2372</v>
      </c>
      <c r="U940" s="6"/>
      <c r="V940" s="6"/>
      <c r="W940" s="6"/>
      <c r="X940" s="6"/>
      <c r="Y940" s="7" t="str">
        <f aca="false">IF(COUNT(U940:X940)=4,(W940-X940)/2,"")</f>
        <v/>
      </c>
      <c r="Z940" s="7" t="str">
        <f aca="false">IF(COUNT(U940:X940)=4,(U940-V940)/2,"")</f>
        <v/>
      </c>
      <c r="AA940" s="7" t="str">
        <f aca="false">IF(COUNT(U940:X940)=4,MAX(1,MIN(10,ROUNDUP(5-Z940,0))),"")</f>
        <v/>
      </c>
      <c r="AB940" s="7" t="str">
        <f aca="false">IF(COUNT(U940:X940)=4,MAX(1,MIN(10,ROUNDUP(Y940+5,0))),"")</f>
        <v/>
      </c>
      <c r="AC940" s="6"/>
      <c r="AD940" s="6"/>
    </row>
    <row r="941" customFormat="false" ht="15" hidden="false" customHeight="true" outlineLevel="0" collapsed="false">
      <c r="A941" s="5" t="n">
        <v>940</v>
      </c>
      <c r="B941" s="5" t="s">
        <v>2373</v>
      </c>
      <c r="C941" s="5" t="s">
        <v>171</v>
      </c>
      <c r="D941" s="5" t="s">
        <v>172</v>
      </c>
      <c r="E941" s="5" t="n">
        <v>119</v>
      </c>
      <c r="F941" s="5" t="s">
        <v>2374</v>
      </c>
      <c r="G941" s="5" t="n">
        <v>4</v>
      </c>
      <c r="H941" s="5" t="s">
        <v>53</v>
      </c>
      <c r="I941" s="5" t="s">
        <v>54</v>
      </c>
      <c r="J941" s="5" t="s">
        <v>181</v>
      </c>
      <c r="K941" s="5" t="s">
        <v>223</v>
      </c>
      <c r="L941" s="5" t="n">
        <v>4</v>
      </c>
      <c r="M941" s="5" t="n">
        <v>4</v>
      </c>
      <c r="N941" s="5" t="n">
        <v>6</v>
      </c>
      <c r="O941" s="5" t="n">
        <v>5</v>
      </c>
      <c r="P941" s="5" t="n">
        <v>0.5</v>
      </c>
      <c r="Q941" s="5" t="n">
        <v>0</v>
      </c>
      <c r="R941" s="5" t="n">
        <v>5</v>
      </c>
      <c r="S941" s="5" t="n">
        <v>6</v>
      </c>
      <c r="T941" s="5" t="s">
        <v>2085</v>
      </c>
      <c r="U941" s="6"/>
      <c r="V941" s="6"/>
      <c r="W941" s="6"/>
      <c r="X941" s="6"/>
      <c r="Y941" s="7" t="str">
        <f aca="false">IF(COUNT(U941:X941)=4,(W941-X941)/2,"")</f>
        <v/>
      </c>
      <c r="Z941" s="7" t="str">
        <f aca="false">IF(COUNT(U941:X941)=4,(U941-V941)/2,"")</f>
        <v/>
      </c>
      <c r="AA941" s="7" t="str">
        <f aca="false">IF(COUNT(U941:X941)=4,MAX(1,MIN(10,ROUNDUP(5-Z941,0))),"")</f>
        <v/>
      </c>
      <c r="AB941" s="7" t="str">
        <f aca="false">IF(COUNT(U941:X941)=4,MAX(1,MIN(10,ROUNDUP(Y941+5,0))),"")</f>
        <v/>
      </c>
      <c r="AC941" s="6"/>
      <c r="AD941" s="6"/>
    </row>
    <row r="942" customFormat="false" ht="15" hidden="false" customHeight="true" outlineLevel="0" collapsed="false">
      <c r="A942" s="5" t="n">
        <v>941</v>
      </c>
      <c r="B942" s="5" t="s">
        <v>2375</v>
      </c>
      <c r="C942" s="5" t="s">
        <v>203</v>
      </c>
      <c r="D942" s="5" t="s">
        <v>204</v>
      </c>
      <c r="E942" s="5" t="n">
        <v>119</v>
      </c>
      <c r="F942" s="5" t="s">
        <v>2376</v>
      </c>
      <c r="G942" s="5" t="n">
        <v>4</v>
      </c>
      <c r="H942" s="5" t="s">
        <v>53</v>
      </c>
      <c r="I942" s="5" t="s">
        <v>54</v>
      </c>
      <c r="J942" s="5" t="s">
        <v>117</v>
      </c>
      <c r="K942" s="5" t="s">
        <v>117</v>
      </c>
      <c r="L942" s="5" t="n">
        <v>3</v>
      </c>
      <c r="M942" s="5" t="n">
        <v>2</v>
      </c>
      <c r="N942" s="5" t="n">
        <v>2</v>
      </c>
      <c r="O942" s="5" t="n">
        <v>7</v>
      </c>
      <c r="P942" s="5" t="n">
        <v>-2.5</v>
      </c>
      <c r="Q942" s="5" t="n">
        <v>0.5</v>
      </c>
      <c r="R942" s="5" t="n">
        <v>5</v>
      </c>
      <c r="S942" s="5" t="n">
        <v>3</v>
      </c>
      <c r="T942" s="5" t="s">
        <v>2377</v>
      </c>
      <c r="U942" s="6"/>
      <c r="V942" s="6"/>
      <c r="W942" s="6"/>
      <c r="X942" s="6"/>
      <c r="Y942" s="7" t="str">
        <f aca="false">IF(COUNT(U942:X942)=4,(W942-X942)/2,"")</f>
        <v/>
      </c>
      <c r="Z942" s="7" t="str">
        <f aca="false">IF(COUNT(U942:X942)=4,(U942-V942)/2,"")</f>
        <v/>
      </c>
      <c r="AA942" s="7" t="str">
        <f aca="false">IF(COUNT(U942:X942)=4,MAX(1,MIN(10,ROUNDUP(5-Z942,0))),"")</f>
        <v/>
      </c>
      <c r="AB942" s="7" t="str">
        <f aca="false">IF(COUNT(U942:X942)=4,MAX(1,MIN(10,ROUNDUP(Y942+5,0))),"")</f>
        <v/>
      </c>
      <c r="AC942" s="6"/>
      <c r="AD942" s="6"/>
    </row>
    <row r="943" customFormat="false" ht="15" hidden="false" customHeight="true" outlineLevel="0" collapsed="false">
      <c r="A943" s="5" t="n">
        <v>942</v>
      </c>
      <c r="B943" s="5" t="s">
        <v>2378</v>
      </c>
      <c r="C943" s="5" t="s">
        <v>203</v>
      </c>
      <c r="D943" s="5" t="s">
        <v>204</v>
      </c>
      <c r="E943" s="5" t="n">
        <v>119</v>
      </c>
      <c r="F943" s="5" t="s">
        <v>2379</v>
      </c>
      <c r="G943" s="5" t="n">
        <v>4</v>
      </c>
      <c r="H943" s="5" t="s">
        <v>53</v>
      </c>
      <c r="I943" s="5" t="s">
        <v>54</v>
      </c>
      <c r="J943" s="5" t="s">
        <v>117</v>
      </c>
      <c r="K943" s="5" t="s">
        <v>117</v>
      </c>
      <c r="L943" s="5" t="n">
        <v>3</v>
      </c>
      <c r="M943" s="5" t="n">
        <v>1</v>
      </c>
      <c r="N943" s="5" t="n">
        <v>7</v>
      </c>
      <c r="O943" s="5" t="n">
        <v>3</v>
      </c>
      <c r="P943" s="5" t="n">
        <v>2</v>
      </c>
      <c r="Q943" s="5" t="n">
        <v>1</v>
      </c>
      <c r="R943" s="5" t="n">
        <v>4</v>
      </c>
      <c r="S943" s="5" t="n">
        <v>7</v>
      </c>
      <c r="T943" s="5" t="s">
        <v>2225</v>
      </c>
      <c r="U943" s="6"/>
      <c r="V943" s="6"/>
      <c r="W943" s="6"/>
      <c r="X943" s="6"/>
      <c r="Y943" s="7" t="str">
        <f aca="false">IF(COUNT(U943:X943)=4,(W943-X943)/2,"")</f>
        <v/>
      </c>
      <c r="Z943" s="7" t="str">
        <f aca="false">IF(COUNT(U943:X943)=4,(U943-V943)/2,"")</f>
        <v/>
      </c>
      <c r="AA943" s="7" t="str">
        <f aca="false">IF(COUNT(U943:X943)=4,MAX(1,MIN(10,ROUNDUP(5-Z943,0))),"")</f>
        <v/>
      </c>
      <c r="AB943" s="7" t="str">
        <f aca="false">IF(COUNT(U943:X943)=4,MAX(1,MIN(10,ROUNDUP(Y943+5,0))),"")</f>
        <v/>
      </c>
      <c r="AC943" s="6"/>
      <c r="AD943" s="6"/>
    </row>
    <row r="944" customFormat="false" ht="15" hidden="false" customHeight="true" outlineLevel="0" collapsed="false">
      <c r="A944" s="5" t="n">
        <v>943</v>
      </c>
      <c r="B944" s="5" t="s">
        <v>2380</v>
      </c>
      <c r="C944" s="5" t="s">
        <v>145</v>
      </c>
      <c r="D944" s="5" t="s">
        <v>51</v>
      </c>
      <c r="E944" s="5" t="n">
        <v>119</v>
      </c>
      <c r="F944" s="5" t="s">
        <v>2381</v>
      </c>
      <c r="G944" s="5" t="n">
        <v>4</v>
      </c>
      <c r="H944" s="5" t="s">
        <v>53</v>
      </c>
      <c r="I944" s="5" t="s">
        <v>54</v>
      </c>
      <c r="J944" s="5" t="s">
        <v>55</v>
      </c>
      <c r="K944" s="5" t="s">
        <v>55</v>
      </c>
      <c r="L944" s="5" t="n">
        <v>6</v>
      </c>
      <c r="M944" s="5" t="n">
        <v>1</v>
      </c>
      <c r="N944" s="5" t="n">
        <v>6</v>
      </c>
      <c r="O944" s="5" t="n">
        <v>5</v>
      </c>
      <c r="P944" s="5" t="n">
        <v>0.5</v>
      </c>
      <c r="Q944" s="5" t="n">
        <v>2.5</v>
      </c>
      <c r="R944" s="5" t="n">
        <v>3</v>
      </c>
      <c r="S944" s="5" t="n">
        <v>6</v>
      </c>
      <c r="T944" s="5" t="s">
        <v>631</v>
      </c>
      <c r="U944" s="6"/>
      <c r="V944" s="6"/>
      <c r="W944" s="6"/>
      <c r="X944" s="6"/>
      <c r="Y944" s="7" t="str">
        <f aca="false">IF(COUNT(U944:X944)=4,(W944-X944)/2,"")</f>
        <v/>
      </c>
      <c r="Z944" s="7" t="str">
        <f aca="false">IF(COUNT(U944:X944)=4,(U944-V944)/2,"")</f>
        <v/>
      </c>
      <c r="AA944" s="7" t="str">
        <f aca="false">IF(COUNT(U944:X944)=4,MAX(1,MIN(10,ROUNDUP(5-Z944,0))),"")</f>
        <v/>
      </c>
      <c r="AB944" s="7" t="str">
        <f aca="false">IF(COUNT(U944:X944)=4,MAX(1,MIN(10,ROUNDUP(Y944+5,0))),"")</f>
        <v/>
      </c>
      <c r="AC944" s="6"/>
      <c r="AD944" s="6"/>
    </row>
    <row r="945" customFormat="false" ht="15" hidden="false" customHeight="true" outlineLevel="0" collapsed="false">
      <c r="A945" s="5" t="n">
        <v>944</v>
      </c>
      <c r="B945" s="5" t="s">
        <v>2382</v>
      </c>
      <c r="C945" s="5" t="s">
        <v>203</v>
      </c>
      <c r="D945" s="5" t="s">
        <v>204</v>
      </c>
      <c r="E945" s="5" t="n">
        <v>119</v>
      </c>
      <c r="F945" s="5" t="s">
        <v>2383</v>
      </c>
      <c r="G945" s="5" t="n">
        <v>4</v>
      </c>
      <c r="H945" s="5" t="s">
        <v>53</v>
      </c>
      <c r="I945" s="5" t="s">
        <v>54</v>
      </c>
      <c r="J945" s="5" t="s">
        <v>117</v>
      </c>
      <c r="K945" s="5" t="s">
        <v>117</v>
      </c>
      <c r="L945" s="5" t="n">
        <v>3</v>
      </c>
      <c r="M945" s="5" t="n">
        <v>3</v>
      </c>
      <c r="N945" s="5" t="n">
        <v>1</v>
      </c>
      <c r="O945" s="5" t="n">
        <v>9</v>
      </c>
      <c r="P945" s="5" t="n">
        <v>-4</v>
      </c>
      <c r="Q945" s="5" t="n">
        <v>0</v>
      </c>
      <c r="R945" s="5" t="n">
        <v>5</v>
      </c>
      <c r="S945" s="5" t="n">
        <v>1</v>
      </c>
      <c r="T945" s="5" t="s">
        <v>103</v>
      </c>
      <c r="U945" s="6"/>
      <c r="V945" s="6"/>
      <c r="W945" s="6"/>
      <c r="X945" s="6"/>
      <c r="Y945" s="7" t="str">
        <f aca="false">IF(COUNT(U945:X945)=4,(W945-X945)/2,"")</f>
        <v/>
      </c>
      <c r="Z945" s="7" t="str">
        <f aca="false">IF(COUNT(U945:X945)=4,(U945-V945)/2,"")</f>
        <v/>
      </c>
      <c r="AA945" s="7" t="str">
        <f aca="false">IF(COUNT(U945:X945)=4,MAX(1,MIN(10,ROUNDUP(5-Z945,0))),"")</f>
        <v/>
      </c>
      <c r="AB945" s="7" t="str">
        <f aca="false">IF(COUNT(U945:X945)=4,MAX(1,MIN(10,ROUNDUP(Y945+5,0))),"")</f>
        <v/>
      </c>
      <c r="AC945" s="6"/>
      <c r="AD945" s="6"/>
    </row>
    <row r="946" customFormat="false" ht="15" hidden="false" customHeight="true" outlineLevel="0" collapsed="false">
      <c r="A946" s="5" t="n">
        <v>945</v>
      </c>
      <c r="B946" s="5" t="s">
        <v>2384</v>
      </c>
      <c r="C946" s="5" t="s">
        <v>171</v>
      </c>
      <c r="D946" s="5" t="s">
        <v>172</v>
      </c>
      <c r="E946" s="5" t="n">
        <v>118</v>
      </c>
      <c r="F946" s="5" t="s">
        <v>2385</v>
      </c>
      <c r="G946" s="5" t="n">
        <v>4</v>
      </c>
      <c r="H946" s="5" t="s">
        <v>53</v>
      </c>
      <c r="I946" s="5" t="s">
        <v>54</v>
      </c>
      <c r="J946" s="5" t="s">
        <v>181</v>
      </c>
      <c r="K946" s="5" t="s">
        <v>309</v>
      </c>
      <c r="L946" s="5" t="n">
        <v>2</v>
      </c>
      <c r="M946" s="5" t="n">
        <v>5</v>
      </c>
      <c r="N946" s="5" t="n">
        <v>5</v>
      </c>
      <c r="O946" s="5" t="n">
        <v>4</v>
      </c>
      <c r="P946" s="5" t="n">
        <v>0.5</v>
      </c>
      <c r="Q946" s="5" t="n">
        <v>-1.5</v>
      </c>
      <c r="R946" s="5" t="n">
        <v>7</v>
      </c>
      <c r="S946" s="5" t="n">
        <v>6</v>
      </c>
      <c r="T946" s="5" t="s">
        <v>2386</v>
      </c>
      <c r="U946" s="6"/>
      <c r="V946" s="6"/>
      <c r="W946" s="6"/>
      <c r="X946" s="6"/>
      <c r="Y946" s="7" t="str">
        <f aca="false">IF(COUNT(U946:X946)=4,(W946-X946)/2,"")</f>
        <v/>
      </c>
      <c r="Z946" s="7" t="str">
        <f aca="false">IF(COUNT(U946:X946)=4,(U946-V946)/2,"")</f>
        <v/>
      </c>
      <c r="AA946" s="7" t="str">
        <f aca="false">IF(COUNT(U946:X946)=4,MAX(1,MIN(10,ROUNDUP(5-Z946,0))),"")</f>
        <v/>
      </c>
      <c r="AB946" s="7" t="str">
        <f aca="false">IF(COUNT(U946:X946)=4,MAX(1,MIN(10,ROUNDUP(Y946+5,0))),"")</f>
        <v/>
      </c>
      <c r="AC946" s="6"/>
      <c r="AD946" s="6"/>
    </row>
    <row r="947" customFormat="false" ht="15" hidden="false" customHeight="true" outlineLevel="0" collapsed="false">
      <c r="A947" s="5" t="n">
        <v>946</v>
      </c>
      <c r="B947" s="5" t="s">
        <v>2387</v>
      </c>
      <c r="C947" s="5" t="s">
        <v>171</v>
      </c>
      <c r="D947" s="5" t="s">
        <v>172</v>
      </c>
      <c r="E947" s="5" t="n">
        <v>118</v>
      </c>
      <c r="F947" s="5" t="s">
        <v>2388</v>
      </c>
      <c r="G947" s="5" t="n">
        <v>4</v>
      </c>
      <c r="H947" s="5" t="s">
        <v>53</v>
      </c>
      <c r="I947" s="5" t="s">
        <v>54</v>
      </c>
      <c r="J947" s="5" t="s">
        <v>181</v>
      </c>
      <c r="K947" s="5" t="s">
        <v>333</v>
      </c>
      <c r="L947" s="5" t="n">
        <v>2</v>
      </c>
      <c r="M947" s="5" t="n">
        <v>4</v>
      </c>
      <c r="N947" s="5" t="n">
        <v>8</v>
      </c>
      <c r="O947" s="5" t="n">
        <v>2</v>
      </c>
      <c r="P947" s="5" t="n">
        <v>3</v>
      </c>
      <c r="Q947" s="5" t="n">
        <v>-1</v>
      </c>
      <c r="R947" s="5" t="n">
        <v>6</v>
      </c>
      <c r="S947" s="5" t="n">
        <v>8</v>
      </c>
      <c r="T947" s="5" t="s">
        <v>2389</v>
      </c>
      <c r="U947" s="6"/>
      <c r="V947" s="6"/>
      <c r="W947" s="6"/>
      <c r="X947" s="6"/>
      <c r="Y947" s="7" t="str">
        <f aca="false">IF(COUNT(U947:X947)=4,(W947-X947)/2,"")</f>
        <v/>
      </c>
      <c r="Z947" s="7" t="str">
        <f aca="false">IF(COUNT(U947:X947)=4,(U947-V947)/2,"")</f>
        <v/>
      </c>
      <c r="AA947" s="7" t="str">
        <f aca="false">IF(COUNT(U947:X947)=4,MAX(1,MIN(10,ROUNDUP(5-Z947,0))),"")</f>
        <v/>
      </c>
      <c r="AB947" s="7" t="str">
        <f aca="false">IF(COUNT(U947:X947)=4,MAX(1,MIN(10,ROUNDUP(Y947+5,0))),"")</f>
        <v/>
      </c>
      <c r="AC947" s="6"/>
      <c r="AD947" s="6"/>
    </row>
    <row r="948" customFormat="false" ht="15" hidden="false" customHeight="true" outlineLevel="0" collapsed="false">
      <c r="A948" s="5" t="n">
        <v>947</v>
      </c>
      <c r="B948" s="5" t="s">
        <v>2390</v>
      </c>
      <c r="C948" s="5" t="s">
        <v>203</v>
      </c>
      <c r="D948" s="5" t="s">
        <v>204</v>
      </c>
      <c r="E948" s="5" t="n">
        <v>118</v>
      </c>
      <c r="F948" s="5" t="s">
        <v>2390</v>
      </c>
      <c r="G948" s="5" t="n">
        <v>4</v>
      </c>
      <c r="H948" s="5" t="s">
        <v>53</v>
      </c>
      <c r="I948" s="5" t="s">
        <v>54</v>
      </c>
      <c r="J948" s="5" t="s">
        <v>117</v>
      </c>
      <c r="K948" s="5" t="s">
        <v>117</v>
      </c>
      <c r="L948" s="5" t="n">
        <v>3</v>
      </c>
      <c r="M948" s="5" t="n">
        <v>1</v>
      </c>
      <c r="N948" s="5" t="n">
        <v>2</v>
      </c>
      <c r="O948" s="5" t="n">
        <v>8</v>
      </c>
      <c r="P948" s="5" t="n">
        <v>-3</v>
      </c>
      <c r="Q948" s="5" t="n">
        <v>1</v>
      </c>
      <c r="R948" s="5" t="n">
        <v>4</v>
      </c>
      <c r="S948" s="5" t="n">
        <v>2</v>
      </c>
      <c r="T948" s="5" t="s">
        <v>2391</v>
      </c>
      <c r="U948" s="6"/>
      <c r="V948" s="6"/>
      <c r="W948" s="6"/>
      <c r="X948" s="6"/>
      <c r="Y948" s="7" t="str">
        <f aca="false">IF(COUNT(U948:X948)=4,(W948-X948)/2,"")</f>
        <v/>
      </c>
      <c r="Z948" s="7" t="str">
        <f aca="false">IF(COUNT(U948:X948)=4,(U948-V948)/2,"")</f>
        <v/>
      </c>
      <c r="AA948" s="7" t="str">
        <f aca="false">IF(COUNT(U948:X948)=4,MAX(1,MIN(10,ROUNDUP(5-Z948,0))),"")</f>
        <v/>
      </c>
      <c r="AB948" s="7" t="str">
        <f aca="false">IF(COUNT(U948:X948)=4,MAX(1,MIN(10,ROUNDUP(Y948+5,0))),"")</f>
        <v/>
      </c>
      <c r="AC948" s="6"/>
      <c r="AD948" s="6"/>
    </row>
    <row r="949" customFormat="false" ht="15" hidden="false" customHeight="true" outlineLevel="0" collapsed="false">
      <c r="A949" s="5" t="n">
        <v>948</v>
      </c>
      <c r="B949" s="5" t="s">
        <v>2392</v>
      </c>
      <c r="C949" s="5" t="s">
        <v>171</v>
      </c>
      <c r="D949" s="5" t="s">
        <v>172</v>
      </c>
      <c r="E949" s="5" t="n">
        <v>118</v>
      </c>
      <c r="F949" s="5" t="s">
        <v>2393</v>
      </c>
      <c r="G949" s="5" t="n">
        <v>4</v>
      </c>
      <c r="H949" s="5" t="s">
        <v>53</v>
      </c>
      <c r="I949" s="5" t="s">
        <v>54</v>
      </c>
      <c r="J949" s="5" t="s">
        <v>181</v>
      </c>
      <c r="K949" s="5" t="s">
        <v>223</v>
      </c>
      <c r="L949" s="5" t="n">
        <v>3</v>
      </c>
      <c r="M949" s="5" t="n">
        <v>4</v>
      </c>
      <c r="N949" s="5" t="n">
        <v>6</v>
      </c>
      <c r="O949" s="5" t="n">
        <v>4</v>
      </c>
      <c r="P949" s="5" t="n">
        <v>1</v>
      </c>
      <c r="Q949" s="5" t="n">
        <v>-0.5</v>
      </c>
      <c r="R949" s="5" t="n">
        <v>6</v>
      </c>
      <c r="S949" s="5" t="n">
        <v>6</v>
      </c>
      <c r="T949" s="5" t="s">
        <v>392</v>
      </c>
      <c r="U949" s="6"/>
      <c r="V949" s="6"/>
      <c r="W949" s="6"/>
      <c r="X949" s="6"/>
      <c r="Y949" s="7" t="str">
        <f aca="false">IF(COUNT(U949:X949)=4,(W949-X949)/2,"")</f>
        <v/>
      </c>
      <c r="Z949" s="7" t="str">
        <f aca="false">IF(COUNT(U949:X949)=4,(U949-V949)/2,"")</f>
        <v/>
      </c>
      <c r="AA949" s="7" t="str">
        <f aca="false">IF(COUNT(U949:X949)=4,MAX(1,MIN(10,ROUNDUP(5-Z949,0))),"")</f>
        <v/>
      </c>
      <c r="AB949" s="7" t="str">
        <f aca="false">IF(COUNT(U949:X949)=4,MAX(1,MIN(10,ROUNDUP(Y949+5,0))),"")</f>
        <v/>
      </c>
      <c r="AC949" s="6"/>
      <c r="AD949" s="6"/>
    </row>
    <row r="950" customFormat="false" ht="15" hidden="false" customHeight="true" outlineLevel="0" collapsed="false">
      <c r="A950" s="5" t="n">
        <v>949</v>
      </c>
      <c r="B950" s="5" t="s">
        <v>2394</v>
      </c>
      <c r="C950" s="5" t="s">
        <v>171</v>
      </c>
      <c r="D950" s="5" t="s">
        <v>172</v>
      </c>
      <c r="E950" s="5" t="n">
        <v>118</v>
      </c>
      <c r="F950" s="5" t="s">
        <v>2395</v>
      </c>
      <c r="G950" s="5" t="n">
        <v>4</v>
      </c>
      <c r="H950" s="5" t="s">
        <v>53</v>
      </c>
      <c r="I950" s="5" t="s">
        <v>54</v>
      </c>
      <c r="J950" s="5" t="s">
        <v>181</v>
      </c>
      <c r="K950" s="5" t="s">
        <v>443</v>
      </c>
      <c r="L950" s="5" t="n">
        <v>6</v>
      </c>
      <c r="M950" s="5" t="n">
        <v>3</v>
      </c>
      <c r="N950" s="5" t="n">
        <v>4</v>
      </c>
      <c r="O950" s="5" t="n">
        <v>8</v>
      </c>
      <c r="P950" s="5" t="n">
        <v>-2</v>
      </c>
      <c r="Q950" s="5" t="n">
        <v>1.5</v>
      </c>
      <c r="R950" s="5" t="n">
        <v>4</v>
      </c>
      <c r="S950" s="5" t="n">
        <v>3</v>
      </c>
      <c r="T950" s="5" t="s">
        <v>2396</v>
      </c>
      <c r="U950" s="6"/>
      <c r="V950" s="6"/>
      <c r="W950" s="6"/>
      <c r="X950" s="6"/>
      <c r="Y950" s="7" t="str">
        <f aca="false">IF(COUNT(U950:X950)=4,(W950-X950)/2,"")</f>
        <v/>
      </c>
      <c r="Z950" s="7" t="str">
        <f aca="false">IF(COUNT(U950:X950)=4,(U950-V950)/2,"")</f>
        <v/>
      </c>
      <c r="AA950" s="7" t="str">
        <f aca="false">IF(COUNT(U950:X950)=4,MAX(1,MIN(10,ROUNDUP(5-Z950,0))),"")</f>
        <v/>
      </c>
      <c r="AB950" s="7" t="str">
        <f aca="false">IF(COUNT(U950:X950)=4,MAX(1,MIN(10,ROUNDUP(Y950+5,0))),"")</f>
        <v/>
      </c>
      <c r="AC950" s="6"/>
      <c r="AD950" s="6"/>
    </row>
    <row r="951" customFormat="false" ht="15" hidden="false" customHeight="true" outlineLevel="0" collapsed="false">
      <c r="A951" s="5" t="n">
        <v>950</v>
      </c>
      <c r="B951" s="5" t="s">
        <v>2397</v>
      </c>
      <c r="C951" s="5" t="s">
        <v>171</v>
      </c>
      <c r="D951" s="5" t="s">
        <v>172</v>
      </c>
      <c r="E951" s="5" t="n">
        <v>117</v>
      </c>
      <c r="F951" s="5" t="s">
        <v>2398</v>
      </c>
      <c r="G951" s="5" t="n">
        <v>4</v>
      </c>
      <c r="H951" s="5" t="s">
        <v>53</v>
      </c>
      <c r="I951" s="5" t="s">
        <v>54</v>
      </c>
      <c r="J951" s="5" t="s">
        <v>181</v>
      </c>
      <c r="K951" s="5" t="s">
        <v>413</v>
      </c>
      <c r="L951" s="5" t="n">
        <v>6</v>
      </c>
      <c r="M951" s="5" t="n">
        <v>4</v>
      </c>
      <c r="N951" s="5" t="n">
        <v>3</v>
      </c>
      <c r="O951" s="5" t="n">
        <v>8</v>
      </c>
      <c r="P951" s="5" t="n">
        <v>-2.5</v>
      </c>
      <c r="Q951" s="5" t="n">
        <v>1</v>
      </c>
      <c r="R951" s="5" t="n">
        <v>4</v>
      </c>
      <c r="S951" s="5" t="n">
        <v>3</v>
      </c>
      <c r="T951" s="5" t="s">
        <v>2399</v>
      </c>
      <c r="U951" s="6"/>
      <c r="V951" s="6"/>
      <c r="W951" s="6"/>
      <c r="X951" s="6"/>
      <c r="Y951" s="7" t="str">
        <f aca="false">IF(COUNT(U951:X951)=4,(W951-X951)/2,"")</f>
        <v/>
      </c>
      <c r="Z951" s="7" t="str">
        <f aca="false">IF(COUNT(U951:X951)=4,(U951-V951)/2,"")</f>
        <v/>
      </c>
      <c r="AA951" s="7" t="str">
        <f aca="false">IF(COUNT(U951:X951)=4,MAX(1,MIN(10,ROUNDUP(5-Z951,0))),"")</f>
        <v/>
      </c>
      <c r="AB951" s="7" t="str">
        <f aca="false">IF(COUNT(U951:X951)=4,MAX(1,MIN(10,ROUNDUP(Y951+5,0))),"")</f>
        <v/>
      </c>
      <c r="AC951" s="6"/>
      <c r="AD951" s="6"/>
    </row>
    <row r="952" customFormat="false" ht="15" hidden="false" customHeight="true" outlineLevel="0" collapsed="false">
      <c r="A952" s="5" t="n">
        <v>951</v>
      </c>
      <c r="B952" s="5" t="s">
        <v>2400</v>
      </c>
      <c r="C952" s="5" t="s">
        <v>203</v>
      </c>
      <c r="D952" s="5" t="s">
        <v>204</v>
      </c>
      <c r="E952" s="5" t="n">
        <v>117</v>
      </c>
      <c r="F952" s="5" t="s">
        <v>2401</v>
      </c>
      <c r="G952" s="5" t="n">
        <v>4</v>
      </c>
      <c r="H952" s="5" t="s">
        <v>53</v>
      </c>
      <c r="I952" s="5" t="s">
        <v>54</v>
      </c>
      <c r="J952" s="5" t="s">
        <v>117</v>
      </c>
      <c r="K952" s="5" t="s">
        <v>117</v>
      </c>
      <c r="L952" s="5" t="n">
        <v>5</v>
      </c>
      <c r="M952" s="5" t="n">
        <v>1</v>
      </c>
      <c r="N952" s="5" t="n">
        <v>2</v>
      </c>
      <c r="O952" s="5" t="n">
        <v>8</v>
      </c>
      <c r="P952" s="5" t="n">
        <v>-3</v>
      </c>
      <c r="Q952" s="5" t="n">
        <v>2</v>
      </c>
      <c r="R952" s="5" t="n">
        <v>3</v>
      </c>
      <c r="S952" s="5" t="n">
        <v>2</v>
      </c>
      <c r="T952" s="5" t="s">
        <v>2402</v>
      </c>
      <c r="U952" s="6"/>
      <c r="V952" s="6"/>
      <c r="W952" s="6"/>
      <c r="X952" s="6"/>
      <c r="Y952" s="7" t="str">
        <f aca="false">IF(COUNT(U952:X952)=4,(W952-X952)/2,"")</f>
        <v/>
      </c>
      <c r="Z952" s="7" t="str">
        <f aca="false">IF(COUNT(U952:X952)=4,(U952-V952)/2,"")</f>
        <v/>
      </c>
      <c r="AA952" s="7" t="str">
        <f aca="false">IF(COUNT(U952:X952)=4,MAX(1,MIN(10,ROUNDUP(5-Z952,0))),"")</f>
        <v/>
      </c>
      <c r="AB952" s="7" t="str">
        <f aca="false">IF(COUNT(U952:X952)=4,MAX(1,MIN(10,ROUNDUP(Y952+5,0))),"")</f>
        <v/>
      </c>
      <c r="AC952" s="6"/>
      <c r="AD952" s="6"/>
    </row>
    <row r="953" customFormat="false" ht="15" hidden="false" customHeight="true" outlineLevel="0" collapsed="false">
      <c r="A953" s="5" t="n">
        <v>952</v>
      </c>
      <c r="B953" s="5" t="s">
        <v>2403</v>
      </c>
      <c r="C953" s="5" t="s">
        <v>145</v>
      </c>
      <c r="D953" s="5" t="s">
        <v>51</v>
      </c>
      <c r="E953" s="5" t="n">
        <v>117</v>
      </c>
      <c r="F953" s="5" t="s">
        <v>2404</v>
      </c>
      <c r="G953" s="5" t="n">
        <v>4</v>
      </c>
      <c r="H953" s="5" t="s">
        <v>53</v>
      </c>
      <c r="I953" s="5" t="s">
        <v>54</v>
      </c>
      <c r="J953" s="5" t="s">
        <v>55</v>
      </c>
      <c r="K953" s="5" t="s">
        <v>55</v>
      </c>
      <c r="L953" s="5" t="n">
        <v>5</v>
      </c>
      <c r="M953" s="5" t="n">
        <v>4</v>
      </c>
      <c r="N953" s="5" t="n">
        <v>3</v>
      </c>
      <c r="O953" s="5" t="n">
        <v>8</v>
      </c>
      <c r="P953" s="5" t="n">
        <v>-2.5</v>
      </c>
      <c r="Q953" s="5" t="n">
        <v>0.5</v>
      </c>
      <c r="R953" s="5" t="n">
        <v>5</v>
      </c>
      <c r="S953" s="5" t="n">
        <v>3</v>
      </c>
      <c r="T953" s="5" t="s">
        <v>2405</v>
      </c>
      <c r="U953" s="6"/>
      <c r="V953" s="6"/>
      <c r="W953" s="6"/>
      <c r="X953" s="6"/>
      <c r="Y953" s="7" t="str">
        <f aca="false">IF(COUNT(U953:X953)=4,(W953-X953)/2,"")</f>
        <v/>
      </c>
      <c r="Z953" s="7" t="str">
        <f aca="false">IF(COUNT(U953:X953)=4,(U953-V953)/2,"")</f>
        <v/>
      </c>
      <c r="AA953" s="7" t="str">
        <f aca="false">IF(COUNT(U953:X953)=4,MAX(1,MIN(10,ROUNDUP(5-Z953,0))),"")</f>
        <v/>
      </c>
      <c r="AB953" s="7" t="str">
        <f aca="false">IF(COUNT(U953:X953)=4,MAX(1,MIN(10,ROUNDUP(Y953+5,0))),"")</f>
        <v/>
      </c>
      <c r="AC953" s="6"/>
      <c r="AD953" s="6"/>
    </row>
    <row r="954" customFormat="false" ht="15" hidden="false" customHeight="true" outlineLevel="0" collapsed="false">
      <c r="A954" s="5" t="n">
        <v>953</v>
      </c>
      <c r="B954" s="5" t="s">
        <v>2406</v>
      </c>
      <c r="C954" s="5" t="s">
        <v>171</v>
      </c>
      <c r="D954" s="5" t="s">
        <v>172</v>
      </c>
      <c r="E954" s="5" t="n">
        <v>117</v>
      </c>
      <c r="F954" s="5" t="s">
        <v>2407</v>
      </c>
      <c r="G954" s="5" t="n">
        <v>4</v>
      </c>
      <c r="H954" s="5" t="s">
        <v>53</v>
      </c>
      <c r="I954" s="5" t="s">
        <v>54</v>
      </c>
      <c r="J954" s="5" t="s">
        <v>181</v>
      </c>
      <c r="K954" s="5" t="s">
        <v>279</v>
      </c>
      <c r="L954" s="5" t="n">
        <v>5</v>
      </c>
      <c r="M954" s="5" t="n">
        <v>4</v>
      </c>
      <c r="N954" s="5" t="n">
        <v>5</v>
      </c>
      <c r="O954" s="5" t="n">
        <v>7</v>
      </c>
      <c r="P954" s="5" t="n">
        <v>-1</v>
      </c>
      <c r="Q954" s="5" t="n">
        <v>0.5</v>
      </c>
      <c r="R954" s="5" t="n">
        <v>5</v>
      </c>
      <c r="S954" s="5" t="n">
        <v>4</v>
      </c>
      <c r="T954" s="5" t="s">
        <v>2408</v>
      </c>
      <c r="U954" s="6"/>
      <c r="V954" s="6"/>
      <c r="W954" s="6"/>
      <c r="X954" s="6"/>
      <c r="Y954" s="7" t="str">
        <f aca="false">IF(COUNT(U954:X954)=4,(W954-X954)/2,"")</f>
        <v/>
      </c>
      <c r="Z954" s="7" t="str">
        <f aca="false">IF(COUNT(U954:X954)=4,(U954-V954)/2,"")</f>
        <v/>
      </c>
      <c r="AA954" s="7" t="str">
        <f aca="false">IF(COUNT(U954:X954)=4,MAX(1,MIN(10,ROUNDUP(5-Z954,0))),"")</f>
        <v/>
      </c>
      <c r="AB954" s="7" t="str">
        <f aca="false">IF(COUNT(U954:X954)=4,MAX(1,MIN(10,ROUNDUP(Y954+5,0))),"")</f>
        <v/>
      </c>
      <c r="AC954" s="6"/>
      <c r="AD954" s="6"/>
    </row>
    <row r="955" customFormat="false" ht="15" hidden="false" customHeight="true" outlineLevel="0" collapsed="false">
      <c r="A955" s="5" t="n">
        <v>954</v>
      </c>
      <c r="B955" s="5" t="s">
        <v>2409</v>
      </c>
      <c r="C955" s="5" t="s">
        <v>145</v>
      </c>
      <c r="D955" s="5" t="s">
        <v>51</v>
      </c>
      <c r="E955" s="5" t="n">
        <v>117</v>
      </c>
      <c r="F955" s="5" t="s">
        <v>2410</v>
      </c>
      <c r="G955" s="5" t="n">
        <v>4</v>
      </c>
      <c r="H955" s="5" t="s">
        <v>53</v>
      </c>
      <c r="I955" s="5" t="s">
        <v>54</v>
      </c>
      <c r="J955" s="5" t="s">
        <v>55</v>
      </c>
      <c r="K955" s="5" t="s">
        <v>55</v>
      </c>
      <c r="L955" s="5" t="n">
        <v>5</v>
      </c>
      <c r="M955" s="5" t="n">
        <v>2</v>
      </c>
      <c r="N955" s="5" t="n">
        <v>3</v>
      </c>
      <c r="O955" s="5" t="n">
        <v>8</v>
      </c>
      <c r="P955" s="5" t="n">
        <v>-2.5</v>
      </c>
      <c r="Q955" s="5" t="n">
        <v>1.5</v>
      </c>
      <c r="R955" s="5" t="n">
        <v>4</v>
      </c>
      <c r="S955" s="5" t="n">
        <v>3</v>
      </c>
      <c r="T955" s="5" t="s">
        <v>120</v>
      </c>
      <c r="U955" s="6"/>
      <c r="V955" s="6"/>
      <c r="W955" s="6"/>
      <c r="X955" s="6"/>
      <c r="Y955" s="7" t="str">
        <f aca="false">IF(COUNT(U955:X955)=4,(W955-X955)/2,"")</f>
        <v/>
      </c>
      <c r="Z955" s="7" t="str">
        <f aca="false">IF(COUNT(U955:X955)=4,(U955-V955)/2,"")</f>
        <v/>
      </c>
      <c r="AA955" s="7" t="str">
        <f aca="false">IF(COUNT(U955:X955)=4,MAX(1,MIN(10,ROUNDUP(5-Z955,0))),"")</f>
        <v/>
      </c>
      <c r="AB955" s="7" t="str">
        <f aca="false">IF(COUNT(U955:X955)=4,MAX(1,MIN(10,ROUNDUP(Y955+5,0))),"")</f>
        <v/>
      </c>
      <c r="AC955" s="6"/>
      <c r="AD955" s="6"/>
    </row>
    <row r="956" customFormat="false" ht="15" hidden="false" customHeight="true" outlineLevel="0" collapsed="false">
      <c r="A956" s="5" t="n">
        <v>955</v>
      </c>
      <c r="B956" s="5" t="s">
        <v>2411</v>
      </c>
      <c r="C956" s="5" t="s">
        <v>145</v>
      </c>
      <c r="D956" s="5" t="s">
        <v>51</v>
      </c>
      <c r="E956" s="5" t="n">
        <v>116</v>
      </c>
      <c r="F956" s="5" t="s">
        <v>2412</v>
      </c>
      <c r="G956" s="5" t="n">
        <v>4</v>
      </c>
      <c r="H956" s="5" t="s">
        <v>53</v>
      </c>
      <c r="I956" s="5" t="s">
        <v>54</v>
      </c>
      <c r="J956" s="5" t="s">
        <v>55</v>
      </c>
      <c r="K956" s="5" t="s">
        <v>55</v>
      </c>
      <c r="L956" s="5" t="n">
        <v>5</v>
      </c>
      <c r="M956" s="5" t="n">
        <v>2</v>
      </c>
      <c r="N956" s="5" t="n">
        <v>4</v>
      </c>
      <c r="O956" s="5" t="n">
        <v>8</v>
      </c>
      <c r="P956" s="5" t="n">
        <v>-2</v>
      </c>
      <c r="Q956" s="5" t="n">
        <v>1.5</v>
      </c>
      <c r="R956" s="5" t="n">
        <v>4</v>
      </c>
      <c r="S956" s="5" t="n">
        <v>3</v>
      </c>
      <c r="T956" s="5" t="s">
        <v>2413</v>
      </c>
      <c r="U956" s="6"/>
      <c r="V956" s="6"/>
      <c r="W956" s="6"/>
      <c r="X956" s="6"/>
      <c r="Y956" s="7" t="str">
        <f aca="false">IF(COUNT(U956:X956)=4,(W956-X956)/2,"")</f>
        <v/>
      </c>
      <c r="Z956" s="7" t="str">
        <f aca="false">IF(COUNT(U956:X956)=4,(U956-V956)/2,"")</f>
        <v/>
      </c>
      <c r="AA956" s="7" t="str">
        <f aca="false">IF(COUNT(U956:X956)=4,MAX(1,MIN(10,ROUNDUP(5-Z956,0))),"")</f>
        <v/>
      </c>
      <c r="AB956" s="7" t="str">
        <f aca="false">IF(COUNT(U956:X956)=4,MAX(1,MIN(10,ROUNDUP(Y956+5,0))),"")</f>
        <v/>
      </c>
      <c r="AC956" s="6"/>
      <c r="AD956" s="6"/>
    </row>
    <row r="957" customFormat="false" ht="15" hidden="false" customHeight="true" outlineLevel="0" collapsed="false">
      <c r="A957" s="5" t="n">
        <v>956</v>
      </c>
      <c r="B957" s="5" t="s">
        <v>2414</v>
      </c>
      <c r="C957" s="5" t="s">
        <v>171</v>
      </c>
      <c r="D957" s="5" t="s">
        <v>172</v>
      </c>
      <c r="E957" s="5" t="n">
        <v>116</v>
      </c>
      <c r="F957" s="5" t="s">
        <v>2415</v>
      </c>
      <c r="G957" s="5" t="n">
        <v>4</v>
      </c>
      <c r="H957" s="5" t="s">
        <v>53</v>
      </c>
      <c r="I957" s="5" t="s">
        <v>81</v>
      </c>
      <c r="J957" s="5" t="s">
        <v>174</v>
      </c>
      <c r="K957" s="5" t="s">
        <v>175</v>
      </c>
      <c r="L957" s="5" t="n">
        <v>7</v>
      </c>
      <c r="M957" s="5" t="n">
        <v>1</v>
      </c>
      <c r="N957" s="5" t="n">
        <v>3</v>
      </c>
      <c r="O957" s="5" t="n">
        <v>8</v>
      </c>
      <c r="P957" s="5" t="n">
        <v>-2.5</v>
      </c>
      <c r="Q957" s="5" t="n">
        <v>3</v>
      </c>
      <c r="R957" s="5" t="n">
        <v>2</v>
      </c>
      <c r="S957" s="5" t="n">
        <v>3</v>
      </c>
      <c r="T957" s="5" t="s">
        <v>2416</v>
      </c>
      <c r="U957" s="6"/>
      <c r="V957" s="6"/>
      <c r="W957" s="6"/>
      <c r="X957" s="6"/>
      <c r="Y957" s="7" t="str">
        <f aca="false">IF(COUNT(U957:X957)=4,(W957-X957)/2,"")</f>
        <v/>
      </c>
      <c r="Z957" s="7" t="str">
        <f aca="false">IF(COUNT(U957:X957)=4,(U957-V957)/2,"")</f>
        <v/>
      </c>
      <c r="AA957" s="7" t="str">
        <f aca="false">IF(COUNT(U957:X957)=4,MAX(1,MIN(10,ROUNDUP(5-Z957,0))),"")</f>
        <v/>
      </c>
      <c r="AB957" s="7" t="str">
        <f aca="false">IF(COUNT(U957:X957)=4,MAX(1,MIN(10,ROUNDUP(Y957+5,0))),"")</f>
        <v/>
      </c>
      <c r="AC957" s="6"/>
      <c r="AD957" s="6"/>
    </row>
    <row r="958" customFormat="false" ht="15" hidden="false" customHeight="true" outlineLevel="0" collapsed="false">
      <c r="A958" s="5" t="n">
        <v>957</v>
      </c>
      <c r="B958" s="5" t="s">
        <v>2417</v>
      </c>
      <c r="C958" s="5" t="s">
        <v>171</v>
      </c>
      <c r="D958" s="5" t="s">
        <v>172</v>
      </c>
      <c r="E958" s="5" t="n">
        <v>116</v>
      </c>
      <c r="F958" s="5" t="s">
        <v>2418</v>
      </c>
      <c r="G958" s="5" t="n">
        <v>4</v>
      </c>
      <c r="H958" s="5" t="s">
        <v>53</v>
      </c>
      <c r="I958" s="5" t="s">
        <v>54</v>
      </c>
      <c r="J958" s="5" t="s">
        <v>181</v>
      </c>
      <c r="K958" s="5" t="s">
        <v>309</v>
      </c>
      <c r="L958" s="5" t="n">
        <v>2</v>
      </c>
      <c r="M958" s="5" t="n">
        <v>5</v>
      </c>
      <c r="N958" s="5" t="n">
        <v>5</v>
      </c>
      <c r="O958" s="5" t="n">
        <v>4</v>
      </c>
      <c r="P958" s="5" t="n">
        <v>0.5</v>
      </c>
      <c r="Q958" s="5" t="n">
        <v>-1.5</v>
      </c>
      <c r="R958" s="5" t="n">
        <v>7</v>
      </c>
      <c r="S958" s="5" t="n">
        <v>6</v>
      </c>
      <c r="T958" s="5" t="s">
        <v>2419</v>
      </c>
      <c r="U958" s="6"/>
      <c r="V958" s="6"/>
      <c r="W958" s="6"/>
      <c r="X958" s="6"/>
      <c r="Y958" s="7" t="str">
        <f aca="false">IF(COUNT(U958:X958)=4,(W958-X958)/2,"")</f>
        <v/>
      </c>
      <c r="Z958" s="7" t="str">
        <f aca="false">IF(COUNT(U958:X958)=4,(U958-V958)/2,"")</f>
        <v/>
      </c>
      <c r="AA958" s="7" t="str">
        <f aca="false">IF(COUNT(U958:X958)=4,MAX(1,MIN(10,ROUNDUP(5-Z958,0))),"")</f>
        <v/>
      </c>
      <c r="AB958" s="7" t="str">
        <f aca="false">IF(COUNT(U958:X958)=4,MAX(1,MIN(10,ROUNDUP(Y958+5,0))),"")</f>
        <v/>
      </c>
      <c r="AC958" s="6"/>
      <c r="AD958" s="6"/>
    </row>
    <row r="959" customFormat="false" ht="15" hidden="false" customHeight="true" outlineLevel="0" collapsed="false">
      <c r="A959" s="5" t="n">
        <v>958</v>
      </c>
      <c r="B959" s="5" t="s">
        <v>2420</v>
      </c>
      <c r="C959" s="5" t="s">
        <v>171</v>
      </c>
      <c r="D959" s="5" t="s">
        <v>172</v>
      </c>
      <c r="E959" s="5" t="n">
        <v>116</v>
      </c>
      <c r="F959" s="5" t="s">
        <v>2421</v>
      </c>
      <c r="G959" s="5" t="n">
        <v>4</v>
      </c>
      <c r="H959" s="5" t="s">
        <v>53</v>
      </c>
      <c r="I959" s="5" t="s">
        <v>54</v>
      </c>
      <c r="J959" s="5" t="s">
        <v>181</v>
      </c>
      <c r="K959" s="5" t="s">
        <v>223</v>
      </c>
      <c r="L959" s="5" t="n">
        <v>3</v>
      </c>
      <c r="M959" s="5" t="n">
        <v>5</v>
      </c>
      <c r="N959" s="5" t="n">
        <v>6</v>
      </c>
      <c r="O959" s="5" t="n">
        <v>4</v>
      </c>
      <c r="P959" s="5" t="n">
        <v>1</v>
      </c>
      <c r="Q959" s="5" t="n">
        <v>-1</v>
      </c>
      <c r="R959" s="5" t="n">
        <v>6</v>
      </c>
      <c r="S959" s="5" t="n">
        <v>6</v>
      </c>
      <c r="T959" s="5" t="s">
        <v>2422</v>
      </c>
      <c r="U959" s="6"/>
      <c r="V959" s="6"/>
      <c r="W959" s="6"/>
      <c r="X959" s="6"/>
      <c r="Y959" s="7" t="str">
        <f aca="false">IF(COUNT(U959:X959)=4,(W959-X959)/2,"")</f>
        <v/>
      </c>
      <c r="Z959" s="7" t="str">
        <f aca="false">IF(COUNT(U959:X959)=4,(U959-V959)/2,"")</f>
        <v/>
      </c>
      <c r="AA959" s="7" t="str">
        <f aca="false">IF(COUNT(U959:X959)=4,MAX(1,MIN(10,ROUNDUP(5-Z959,0))),"")</f>
        <v/>
      </c>
      <c r="AB959" s="7" t="str">
        <f aca="false">IF(COUNT(U959:X959)=4,MAX(1,MIN(10,ROUNDUP(Y959+5,0))),"")</f>
        <v/>
      </c>
      <c r="AC959" s="6"/>
      <c r="AD959" s="6"/>
    </row>
    <row r="960" customFormat="false" ht="15" hidden="false" customHeight="true" outlineLevel="0" collapsed="false">
      <c r="A960" s="5" t="n">
        <v>959</v>
      </c>
      <c r="B960" s="5" t="s">
        <v>2423</v>
      </c>
      <c r="C960" s="5" t="s">
        <v>203</v>
      </c>
      <c r="D960" s="5" t="s">
        <v>204</v>
      </c>
      <c r="E960" s="5" t="n">
        <v>116</v>
      </c>
      <c r="F960" s="5" t="s">
        <v>2423</v>
      </c>
      <c r="G960" s="5" t="n">
        <v>4</v>
      </c>
      <c r="H960" s="5" t="s">
        <v>53</v>
      </c>
      <c r="I960" s="5" t="s">
        <v>54</v>
      </c>
      <c r="J960" s="5" t="s">
        <v>117</v>
      </c>
      <c r="K960" s="5" t="s">
        <v>117</v>
      </c>
      <c r="L960" s="5" t="n">
        <v>3</v>
      </c>
      <c r="M960" s="5" t="n">
        <v>2</v>
      </c>
      <c r="N960" s="5" t="n">
        <v>2</v>
      </c>
      <c r="O960" s="5" t="n">
        <v>8</v>
      </c>
      <c r="P960" s="5" t="n">
        <v>-3</v>
      </c>
      <c r="Q960" s="5" t="n">
        <v>0.5</v>
      </c>
      <c r="R960" s="5" t="n">
        <v>5</v>
      </c>
      <c r="S960" s="5" t="n">
        <v>2</v>
      </c>
      <c r="T960" s="5" t="s">
        <v>2424</v>
      </c>
      <c r="U960" s="6"/>
      <c r="V960" s="6"/>
      <c r="W960" s="6"/>
      <c r="X960" s="6"/>
      <c r="Y960" s="7" t="str">
        <f aca="false">IF(COUNT(U960:X960)=4,(W960-X960)/2,"")</f>
        <v/>
      </c>
      <c r="Z960" s="7" t="str">
        <f aca="false">IF(COUNT(U960:X960)=4,(U960-V960)/2,"")</f>
        <v/>
      </c>
      <c r="AA960" s="7" t="str">
        <f aca="false">IF(COUNT(U960:X960)=4,MAX(1,MIN(10,ROUNDUP(5-Z960,0))),"")</f>
        <v/>
      </c>
      <c r="AB960" s="7" t="str">
        <f aca="false">IF(COUNT(U960:X960)=4,MAX(1,MIN(10,ROUNDUP(Y960+5,0))),"")</f>
        <v/>
      </c>
      <c r="AC960" s="6"/>
      <c r="AD960" s="6"/>
    </row>
    <row r="961" customFormat="false" ht="15" hidden="false" customHeight="true" outlineLevel="0" collapsed="false">
      <c r="A961" s="5" t="n">
        <v>960</v>
      </c>
      <c r="B961" s="5" t="s">
        <v>2425</v>
      </c>
      <c r="C961" s="5" t="s">
        <v>171</v>
      </c>
      <c r="D961" s="5" t="s">
        <v>172</v>
      </c>
      <c r="E961" s="5" t="n">
        <v>116</v>
      </c>
      <c r="F961" s="5" t="s">
        <v>2426</v>
      </c>
      <c r="G961" s="5" t="n">
        <v>4</v>
      </c>
      <c r="H961" s="5" t="s">
        <v>53</v>
      </c>
      <c r="I961" s="5" t="s">
        <v>81</v>
      </c>
      <c r="J961" s="5" t="s">
        <v>174</v>
      </c>
      <c r="K961" s="5" t="s">
        <v>347</v>
      </c>
      <c r="L961" s="5" t="n">
        <v>5</v>
      </c>
      <c r="M961" s="5" t="n">
        <v>2</v>
      </c>
      <c r="N961" s="5" t="n">
        <v>9</v>
      </c>
      <c r="O961" s="5" t="n">
        <v>2</v>
      </c>
      <c r="P961" s="5" t="n">
        <v>3.5</v>
      </c>
      <c r="Q961" s="5" t="n">
        <v>1.5</v>
      </c>
      <c r="R961" s="5" t="n">
        <v>4</v>
      </c>
      <c r="S961" s="5" t="n">
        <v>9</v>
      </c>
      <c r="T961" s="5" t="s">
        <v>2427</v>
      </c>
      <c r="U961" s="6"/>
      <c r="V961" s="6"/>
      <c r="W961" s="6"/>
      <c r="X961" s="6"/>
      <c r="Y961" s="7" t="str">
        <f aca="false">IF(COUNT(U961:X961)=4,(W961-X961)/2,"")</f>
        <v/>
      </c>
      <c r="Z961" s="7" t="str">
        <f aca="false">IF(COUNT(U961:X961)=4,(U961-V961)/2,"")</f>
        <v/>
      </c>
      <c r="AA961" s="7" t="str">
        <f aca="false">IF(COUNT(U961:X961)=4,MAX(1,MIN(10,ROUNDUP(5-Z961,0))),"")</f>
        <v/>
      </c>
      <c r="AB961" s="7" t="str">
        <f aca="false">IF(COUNT(U961:X961)=4,MAX(1,MIN(10,ROUNDUP(Y961+5,0))),"")</f>
        <v/>
      </c>
      <c r="AC961" s="6"/>
      <c r="AD961" s="6"/>
    </row>
    <row r="962" customFormat="false" ht="15" hidden="false" customHeight="true" outlineLevel="0" collapsed="false">
      <c r="A962" s="5" t="n">
        <v>961</v>
      </c>
      <c r="B962" s="5" t="s">
        <v>2428</v>
      </c>
      <c r="C962" s="5" t="s">
        <v>203</v>
      </c>
      <c r="D962" s="5" t="s">
        <v>204</v>
      </c>
      <c r="E962" s="5" t="n">
        <v>116</v>
      </c>
      <c r="F962" s="5" t="s">
        <v>2429</v>
      </c>
      <c r="G962" s="5" t="n">
        <v>4</v>
      </c>
      <c r="H962" s="5" t="s">
        <v>53</v>
      </c>
      <c r="I962" s="5" t="s">
        <v>54</v>
      </c>
      <c r="J962" s="5" t="s">
        <v>117</v>
      </c>
      <c r="K962" s="5" t="s">
        <v>117</v>
      </c>
      <c r="L962" s="5" t="n">
        <v>3</v>
      </c>
      <c r="M962" s="5" t="n">
        <v>1</v>
      </c>
      <c r="N962" s="5" t="n">
        <v>2</v>
      </c>
      <c r="O962" s="5" t="n">
        <v>8</v>
      </c>
      <c r="P962" s="5" t="n">
        <v>-3</v>
      </c>
      <c r="Q962" s="5" t="n">
        <v>1</v>
      </c>
      <c r="R962" s="5" t="n">
        <v>4</v>
      </c>
      <c r="S962" s="5" t="n">
        <v>2</v>
      </c>
      <c r="T962" s="5" t="s">
        <v>1218</v>
      </c>
      <c r="U962" s="6"/>
      <c r="V962" s="6"/>
      <c r="W962" s="6"/>
      <c r="X962" s="6"/>
      <c r="Y962" s="7" t="str">
        <f aca="false">IF(COUNT(U962:X962)=4,(W962-X962)/2,"")</f>
        <v/>
      </c>
      <c r="Z962" s="7" t="str">
        <f aca="false">IF(COUNT(U962:X962)=4,(U962-V962)/2,"")</f>
        <v/>
      </c>
      <c r="AA962" s="7" t="str">
        <f aca="false">IF(COUNT(U962:X962)=4,MAX(1,MIN(10,ROUNDUP(5-Z962,0))),"")</f>
        <v/>
      </c>
      <c r="AB962" s="7" t="str">
        <f aca="false">IF(COUNT(U962:X962)=4,MAX(1,MIN(10,ROUNDUP(Y962+5,0))),"")</f>
        <v/>
      </c>
      <c r="AC962" s="6"/>
      <c r="AD962" s="6"/>
    </row>
    <row r="963" customFormat="false" ht="15" hidden="false" customHeight="true" outlineLevel="0" collapsed="false">
      <c r="A963" s="5" t="n">
        <v>962</v>
      </c>
      <c r="B963" s="5" t="s">
        <v>2430</v>
      </c>
      <c r="C963" s="5" t="s">
        <v>171</v>
      </c>
      <c r="D963" s="5" t="s">
        <v>172</v>
      </c>
      <c r="E963" s="5" t="n">
        <v>116</v>
      </c>
      <c r="F963" s="5" t="s">
        <v>2431</v>
      </c>
      <c r="G963" s="5" t="n">
        <v>4</v>
      </c>
      <c r="H963" s="5" t="s">
        <v>53</v>
      </c>
      <c r="I963" s="5" t="s">
        <v>81</v>
      </c>
      <c r="J963" s="5" t="s">
        <v>174</v>
      </c>
      <c r="K963" s="5" t="s">
        <v>175</v>
      </c>
      <c r="L963" s="5" t="n">
        <v>7</v>
      </c>
      <c r="M963" s="5" t="n">
        <v>1</v>
      </c>
      <c r="N963" s="5" t="n">
        <v>3</v>
      </c>
      <c r="O963" s="5" t="n">
        <v>8</v>
      </c>
      <c r="P963" s="5" t="n">
        <v>-2.5</v>
      </c>
      <c r="Q963" s="5" t="n">
        <v>3</v>
      </c>
      <c r="R963" s="5" t="n">
        <v>2</v>
      </c>
      <c r="S963" s="5" t="n">
        <v>3</v>
      </c>
      <c r="T963" s="5" t="s">
        <v>142</v>
      </c>
      <c r="U963" s="6"/>
      <c r="V963" s="6"/>
      <c r="W963" s="6"/>
      <c r="X963" s="6"/>
      <c r="Y963" s="7" t="str">
        <f aca="false">IF(COUNT(U963:X963)=4,(W963-X963)/2,"")</f>
        <v/>
      </c>
      <c r="Z963" s="7" t="str">
        <f aca="false">IF(COUNT(U963:X963)=4,(U963-V963)/2,"")</f>
        <v/>
      </c>
      <c r="AA963" s="7" t="str">
        <f aca="false">IF(COUNT(U963:X963)=4,MAX(1,MIN(10,ROUNDUP(5-Z963,0))),"")</f>
        <v/>
      </c>
      <c r="AB963" s="7" t="str">
        <f aca="false">IF(COUNT(U963:X963)=4,MAX(1,MIN(10,ROUNDUP(Y963+5,0))),"")</f>
        <v/>
      </c>
      <c r="AC963" s="6"/>
      <c r="AD963" s="6"/>
    </row>
    <row r="964" customFormat="false" ht="15" hidden="false" customHeight="true" outlineLevel="0" collapsed="false">
      <c r="A964" s="5" t="n">
        <v>963</v>
      </c>
      <c r="B964" s="5" t="s">
        <v>2432</v>
      </c>
      <c r="C964" s="5" t="s">
        <v>171</v>
      </c>
      <c r="D964" s="5" t="s">
        <v>172</v>
      </c>
      <c r="E964" s="5" t="n">
        <v>115</v>
      </c>
      <c r="F964" s="5" t="s">
        <v>2433</v>
      </c>
      <c r="G964" s="5" t="n">
        <v>4</v>
      </c>
      <c r="H964" s="5" t="s">
        <v>53</v>
      </c>
      <c r="I964" s="5" t="s">
        <v>54</v>
      </c>
      <c r="J964" s="5" t="s">
        <v>181</v>
      </c>
      <c r="K964" s="5" t="s">
        <v>221</v>
      </c>
      <c r="L964" s="5" t="n">
        <v>2</v>
      </c>
      <c r="M964" s="5" t="n">
        <v>5</v>
      </c>
      <c r="N964" s="5" t="n">
        <v>6</v>
      </c>
      <c r="O964" s="5" t="n">
        <v>5</v>
      </c>
      <c r="P964" s="5" t="n">
        <v>0.5</v>
      </c>
      <c r="Q964" s="5" t="n">
        <v>-1.5</v>
      </c>
      <c r="R964" s="5" t="n">
        <v>7</v>
      </c>
      <c r="S964" s="5" t="n">
        <v>6</v>
      </c>
      <c r="T964" s="5" t="s">
        <v>2434</v>
      </c>
      <c r="U964" s="6"/>
      <c r="V964" s="6"/>
      <c r="W964" s="6"/>
      <c r="X964" s="6"/>
      <c r="Y964" s="7" t="str">
        <f aca="false">IF(COUNT(U964:X964)=4,(W964-X964)/2,"")</f>
        <v/>
      </c>
      <c r="Z964" s="7" t="str">
        <f aca="false">IF(COUNT(U964:X964)=4,(U964-V964)/2,"")</f>
        <v/>
      </c>
      <c r="AA964" s="7" t="str">
        <f aca="false">IF(COUNT(U964:X964)=4,MAX(1,MIN(10,ROUNDUP(5-Z964,0))),"")</f>
        <v/>
      </c>
      <c r="AB964" s="7" t="str">
        <f aca="false">IF(COUNT(U964:X964)=4,MAX(1,MIN(10,ROUNDUP(Y964+5,0))),"")</f>
        <v/>
      </c>
      <c r="AC964" s="6"/>
      <c r="AD964" s="6"/>
    </row>
    <row r="965" customFormat="false" ht="15" hidden="false" customHeight="true" outlineLevel="0" collapsed="false">
      <c r="A965" s="5" t="n">
        <v>964</v>
      </c>
      <c r="B965" s="5" t="s">
        <v>2435</v>
      </c>
      <c r="C965" s="5" t="s">
        <v>171</v>
      </c>
      <c r="D965" s="5" t="s">
        <v>172</v>
      </c>
      <c r="E965" s="5" t="n">
        <v>115</v>
      </c>
      <c r="F965" s="5" t="s">
        <v>2436</v>
      </c>
      <c r="G965" s="5" t="n">
        <v>4</v>
      </c>
      <c r="H965" s="5" t="s">
        <v>53</v>
      </c>
      <c r="I965" s="5" t="s">
        <v>54</v>
      </c>
      <c r="J965" s="5" t="s">
        <v>181</v>
      </c>
      <c r="K965" s="5" t="s">
        <v>309</v>
      </c>
      <c r="L965" s="5" t="n">
        <v>2</v>
      </c>
      <c r="M965" s="5" t="n">
        <v>5</v>
      </c>
      <c r="N965" s="5" t="n">
        <v>5</v>
      </c>
      <c r="O965" s="5" t="n">
        <v>4</v>
      </c>
      <c r="P965" s="5" t="n">
        <v>0.5</v>
      </c>
      <c r="Q965" s="5" t="n">
        <v>-1.5</v>
      </c>
      <c r="R965" s="5" t="n">
        <v>7</v>
      </c>
      <c r="S965" s="5" t="n">
        <v>6</v>
      </c>
      <c r="T965" s="5" t="s">
        <v>2437</v>
      </c>
      <c r="U965" s="6"/>
      <c r="V965" s="6"/>
      <c r="W965" s="6"/>
      <c r="X965" s="6"/>
      <c r="Y965" s="7" t="str">
        <f aca="false">IF(COUNT(U965:X965)=4,(W965-X965)/2,"")</f>
        <v/>
      </c>
      <c r="Z965" s="7" t="str">
        <f aca="false">IF(COUNT(U965:X965)=4,(U965-V965)/2,"")</f>
        <v/>
      </c>
      <c r="AA965" s="7" t="str">
        <f aca="false">IF(COUNT(U965:X965)=4,MAX(1,MIN(10,ROUNDUP(5-Z965,0))),"")</f>
        <v/>
      </c>
      <c r="AB965" s="7" t="str">
        <f aca="false">IF(COUNT(U965:X965)=4,MAX(1,MIN(10,ROUNDUP(Y965+5,0))),"")</f>
        <v/>
      </c>
      <c r="AC965" s="6"/>
      <c r="AD965" s="6"/>
    </row>
    <row r="966" customFormat="false" ht="15" hidden="false" customHeight="true" outlineLevel="0" collapsed="false">
      <c r="A966" s="5" t="n">
        <v>965</v>
      </c>
      <c r="B966" s="5" t="s">
        <v>2438</v>
      </c>
      <c r="C966" s="5" t="s">
        <v>145</v>
      </c>
      <c r="D966" s="5" t="s">
        <v>51</v>
      </c>
      <c r="E966" s="5" t="n">
        <v>115</v>
      </c>
      <c r="F966" s="5" t="s">
        <v>2439</v>
      </c>
      <c r="G966" s="5" t="n">
        <v>4</v>
      </c>
      <c r="H966" s="5" t="s">
        <v>53</v>
      </c>
      <c r="I966" s="5" t="s">
        <v>54</v>
      </c>
      <c r="J966" s="5" t="s">
        <v>181</v>
      </c>
      <c r="K966" s="5" t="s">
        <v>223</v>
      </c>
      <c r="L966" s="5" t="n">
        <v>4</v>
      </c>
      <c r="M966" s="5" t="n">
        <v>4</v>
      </c>
      <c r="N966" s="5" t="n">
        <v>6</v>
      </c>
      <c r="O966" s="5" t="n">
        <v>5</v>
      </c>
      <c r="P966" s="5" t="n">
        <v>0.5</v>
      </c>
      <c r="Q966" s="5" t="n">
        <v>0</v>
      </c>
      <c r="R966" s="5" t="n">
        <v>5</v>
      </c>
      <c r="S966" s="5" t="n">
        <v>6</v>
      </c>
      <c r="T966" s="5" t="s">
        <v>2440</v>
      </c>
      <c r="U966" s="6"/>
      <c r="V966" s="6"/>
      <c r="W966" s="6"/>
      <c r="X966" s="6"/>
      <c r="Y966" s="7" t="str">
        <f aca="false">IF(COUNT(U966:X966)=4,(W966-X966)/2,"")</f>
        <v/>
      </c>
      <c r="Z966" s="7" t="str">
        <f aca="false">IF(COUNT(U966:X966)=4,(U966-V966)/2,"")</f>
        <v/>
      </c>
      <c r="AA966" s="7" t="str">
        <f aca="false">IF(COUNT(U966:X966)=4,MAX(1,MIN(10,ROUNDUP(5-Z966,0))),"")</f>
        <v/>
      </c>
      <c r="AB966" s="7" t="str">
        <f aca="false">IF(COUNT(U966:X966)=4,MAX(1,MIN(10,ROUNDUP(Y966+5,0))),"")</f>
        <v/>
      </c>
      <c r="AC966" s="6"/>
      <c r="AD966" s="6"/>
    </row>
    <row r="967" customFormat="false" ht="15" hidden="false" customHeight="true" outlineLevel="0" collapsed="false">
      <c r="A967" s="5" t="n">
        <v>966</v>
      </c>
      <c r="B967" s="5" t="s">
        <v>2441</v>
      </c>
      <c r="C967" s="5" t="s">
        <v>171</v>
      </c>
      <c r="D967" s="5" t="s">
        <v>172</v>
      </c>
      <c r="E967" s="5" t="n">
        <v>115</v>
      </c>
      <c r="F967" s="5" t="s">
        <v>2442</v>
      </c>
      <c r="G967" s="5" t="n">
        <v>4</v>
      </c>
      <c r="H967" s="5" t="s">
        <v>53</v>
      </c>
      <c r="I967" s="5" t="s">
        <v>81</v>
      </c>
      <c r="J967" s="5" t="s">
        <v>174</v>
      </c>
      <c r="K967" s="5" t="s">
        <v>309</v>
      </c>
      <c r="L967" s="5" t="n">
        <v>4</v>
      </c>
      <c r="M967" s="5" t="n">
        <v>6</v>
      </c>
      <c r="N967" s="5" t="n">
        <v>3</v>
      </c>
      <c r="O967" s="5" t="n">
        <v>8</v>
      </c>
      <c r="P967" s="5" t="n">
        <v>-2.5</v>
      </c>
      <c r="Q967" s="5" t="n">
        <v>-1</v>
      </c>
      <c r="R967" s="5" t="n">
        <v>6</v>
      </c>
      <c r="S967" s="5" t="n">
        <v>3</v>
      </c>
      <c r="T967" s="5" t="s">
        <v>503</v>
      </c>
      <c r="U967" s="6"/>
      <c r="V967" s="6"/>
      <c r="W967" s="6"/>
      <c r="X967" s="6"/>
      <c r="Y967" s="7" t="str">
        <f aca="false">IF(COUNT(U967:X967)=4,(W967-X967)/2,"")</f>
        <v/>
      </c>
      <c r="Z967" s="7" t="str">
        <f aca="false">IF(COUNT(U967:X967)=4,(U967-V967)/2,"")</f>
        <v/>
      </c>
      <c r="AA967" s="7" t="str">
        <f aca="false">IF(COUNT(U967:X967)=4,MAX(1,MIN(10,ROUNDUP(5-Z967,0))),"")</f>
        <v/>
      </c>
      <c r="AB967" s="7" t="str">
        <f aca="false">IF(COUNT(U967:X967)=4,MAX(1,MIN(10,ROUNDUP(Y967+5,0))),"")</f>
        <v/>
      </c>
      <c r="AC967" s="6"/>
      <c r="AD967" s="6"/>
    </row>
    <row r="968" customFormat="false" ht="15" hidden="false" customHeight="true" outlineLevel="0" collapsed="false">
      <c r="A968" s="5" t="n">
        <v>967</v>
      </c>
      <c r="B968" s="5" t="s">
        <v>2443</v>
      </c>
      <c r="C968" s="5" t="s">
        <v>145</v>
      </c>
      <c r="D968" s="5" t="s">
        <v>51</v>
      </c>
      <c r="E968" s="5" t="n">
        <v>115</v>
      </c>
      <c r="F968" s="5" t="s">
        <v>2444</v>
      </c>
      <c r="G968" s="5" t="n">
        <v>4</v>
      </c>
      <c r="H968" s="5" t="s">
        <v>53</v>
      </c>
      <c r="I968" s="5" t="s">
        <v>54</v>
      </c>
      <c r="J968" s="5" t="s">
        <v>55</v>
      </c>
      <c r="K968" s="5" t="s">
        <v>55</v>
      </c>
      <c r="L968" s="5" t="n">
        <v>5</v>
      </c>
      <c r="M968" s="5" t="n">
        <v>2</v>
      </c>
      <c r="N968" s="5" t="n">
        <v>10</v>
      </c>
      <c r="O968" s="5" t="n">
        <v>1</v>
      </c>
      <c r="P968" s="5" t="n">
        <v>4.5</v>
      </c>
      <c r="Q968" s="5" t="n">
        <v>1.5</v>
      </c>
      <c r="R968" s="5" t="n">
        <v>4</v>
      </c>
      <c r="S968" s="5" t="n">
        <v>10</v>
      </c>
      <c r="T968" s="5" t="s">
        <v>2445</v>
      </c>
      <c r="U968" s="6"/>
      <c r="V968" s="6"/>
      <c r="W968" s="6"/>
      <c r="X968" s="6"/>
      <c r="Y968" s="7" t="str">
        <f aca="false">IF(COUNT(U968:X968)=4,(W968-X968)/2,"")</f>
        <v/>
      </c>
      <c r="Z968" s="7" t="str">
        <f aca="false">IF(COUNT(U968:X968)=4,(U968-V968)/2,"")</f>
        <v/>
      </c>
      <c r="AA968" s="7" t="str">
        <f aca="false">IF(COUNT(U968:X968)=4,MAX(1,MIN(10,ROUNDUP(5-Z968,0))),"")</f>
        <v/>
      </c>
      <c r="AB968" s="7" t="str">
        <f aca="false">IF(COUNT(U968:X968)=4,MAX(1,MIN(10,ROUNDUP(Y968+5,0))),"")</f>
        <v/>
      </c>
      <c r="AC968" s="6"/>
      <c r="AD968" s="6"/>
    </row>
    <row r="969" customFormat="false" ht="15" hidden="false" customHeight="true" outlineLevel="0" collapsed="false">
      <c r="A969" s="5" t="n">
        <v>968</v>
      </c>
      <c r="B969" s="5" t="s">
        <v>2446</v>
      </c>
      <c r="C969" s="5" t="s">
        <v>203</v>
      </c>
      <c r="D969" s="5" t="s">
        <v>204</v>
      </c>
      <c r="E969" s="5" t="n">
        <v>115</v>
      </c>
      <c r="F969" s="5" t="s">
        <v>2446</v>
      </c>
      <c r="G969" s="5" t="n">
        <v>4</v>
      </c>
      <c r="H969" s="5" t="s">
        <v>53</v>
      </c>
      <c r="I969" s="5" t="s">
        <v>54</v>
      </c>
      <c r="J969" s="5" t="s">
        <v>117</v>
      </c>
      <c r="K969" s="5" t="s">
        <v>117</v>
      </c>
      <c r="L969" s="5" t="n">
        <v>3</v>
      </c>
      <c r="M969" s="5" t="n">
        <v>1</v>
      </c>
      <c r="N969" s="5" t="n">
        <v>7</v>
      </c>
      <c r="O969" s="5" t="n">
        <v>3</v>
      </c>
      <c r="P969" s="5" t="n">
        <v>2</v>
      </c>
      <c r="Q969" s="5" t="n">
        <v>1</v>
      </c>
      <c r="R969" s="5" t="n">
        <v>4</v>
      </c>
      <c r="S969" s="5" t="n">
        <v>7</v>
      </c>
      <c r="T969" s="5" t="s">
        <v>534</v>
      </c>
      <c r="U969" s="6"/>
      <c r="V969" s="6"/>
      <c r="W969" s="6"/>
      <c r="X969" s="6"/>
      <c r="Y969" s="7" t="str">
        <f aca="false">IF(COUNT(U969:X969)=4,(W969-X969)/2,"")</f>
        <v/>
      </c>
      <c r="Z969" s="7" t="str">
        <f aca="false">IF(COUNT(U969:X969)=4,(U969-V969)/2,"")</f>
        <v/>
      </c>
      <c r="AA969" s="7" t="str">
        <f aca="false">IF(COUNT(U969:X969)=4,MAX(1,MIN(10,ROUNDUP(5-Z969,0))),"")</f>
        <v/>
      </c>
      <c r="AB969" s="7" t="str">
        <f aca="false">IF(COUNT(U969:X969)=4,MAX(1,MIN(10,ROUNDUP(Y969+5,0))),"")</f>
        <v/>
      </c>
      <c r="AC969" s="6"/>
      <c r="AD969" s="6"/>
    </row>
    <row r="970" customFormat="false" ht="15" hidden="false" customHeight="true" outlineLevel="0" collapsed="false">
      <c r="A970" s="5" t="n">
        <v>969</v>
      </c>
      <c r="B970" s="5" t="s">
        <v>2447</v>
      </c>
      <c r="C970" s="5" t="s">
        <v>108</v>
      </c>
      <c r="D970" s="5" t="s">
        <v>109</v>
      </c>
      <c r="E970" s="5" t="n">
        <v>115</v>
      </c>
      <c r="F970" s="5" t="s">
        <v>2448</v>
      </c>
      <c r="G970" s="5" t="n">
        <v>4</v>
      </c>
      <c r="H970" s="5" t="s">
        <v>53</v>
      </c>
      <c r="I970" s="5" t="s">
        <v>54</v>
      </c>
      <c r="J970" s="5" t="s">
        <v>117</v>
      </c>
      <c r="K970" s="5" t="s">
        <v>117</v>
      </c>
      <c r="L970" s="5" t="n">
        <v>6</v>
      </c>
      <c r="M970" s="5" t="n">
        <v>4</v>
      </c>
      <c r="N970" s="5" t="n">
        <v>1</v>
      </c>
      <c r="O970" s="5" t="n">
        <v>8</v>
      </c>
      <c r="P970" s="5" t="n">
        <v>-3.5</v>
      </c>
      <c r="Q970" s="5" t="n">
        <v>1</v>
      </c>
      <c r="R970" s="5" t="n">
        <v>4</v>
      </c>
      <c r="S970" s="5" t="n">
        <v>2</v>
      </c>
      <c r="T970" s="5" t="s">
        <v>744</v>
      </c>
      <c r="U970" s="6"/>
      <c r="V970" s="6"/>
      <c r="W970" s="6"/>
      <c r="X970" s="6"/>
      <c r="Y970" s="7" t="str">
        <f aca="false">IF(COUNT(U970:X970)=4,(W970-X970)/2,"")</f>
        <v/>
      </c>
      <c r="Z970" s="7" t="str">
        <f aca="false">IF(COUNT(U970:X970)=4,(U970-V970)/2,"")</f>
        <v/>
      </c>
      <c r="AA970" s="7" t="str">
        <f aca="false">IF(COUNT(U970:X970)=4,MAX(1,MIN(10,ROUNDUP(5-Z970,0))),"")</f>
        <v/>
      </c>
      <c r="AB970" s="7" t="str">
        <f aca="false">IF(COUNT(U970:X970)=4,MAX(1,MIN(10,ROUNDUP(Y970+5,0))),"")</f>
        <v/>
      </c>
      <c r="AC970" s="6"/>
      <c r="AD970" s="6"/>
    </row>
    <row r="971" customFormat="false" ht="15" hidden="false" customHeight="true" outlineLevel="0" collapsed="false">
      <c r="A971" s="5" t="n">
        <v>970</v>
      </c>
      <c r="B971" s="5" t="s">
        <v>2449</v>
      </c>
      <c r="C971" s="5" t="s">
        <v>203</v>
      </c>
      <c r="D971" s="5" t="s">
        <v>204</v>
      </c>
      <c r="E971" s="5" t="n">
        <v>115</v>
      </c>
      <c r="F971" s="5" t="s">
        <v>2450</v>
      </c>
      <c r="G971" s="5" t="n">
        <v>4</v>
      </c>
      <c r="H971" s="5" t="s">
        <v>53</v>
      </c>
      <c r="I971" s="5" t="s">
        <v>54</v>
      </c>
      <c r="J971" s="5" t="s">
        <v>117</v>
      </c>
      <c r="K971" s="5" t="s">
        <v>117</v>
      </c>
      <c r="L971" s="5" t="n">
        <v>3</v>
      </c>
      <c r="M971" s="5" t="n">
        <v>1</v>
      </c>
      <c r="N971" s="5" t="n">
        <v>2</v>
      </c>
      <c r="O971" s="5" t="n">
        <v>8</v>
      </c>
      <c r="P971" s="5" t="n">
        <v>-3</v>
      </c>
      <c r="Q971" s="5" t="n">
        <v>1</v>
      </c>
      <c r="R971" s="5" t="n">
        <v>4</v>
      </c>
      <c r="S971" s="5" t="n">
        <v>2</v>
      </c>
      <c r="T971" s="5" t="s">
        <v>2451</v>
      </c>
      <c r="U971" s="6"/>
      <c r="V971" s="6"/>
      <c r="W971" s="6"/>
      <c r="X971" s="6"/>
      <c r="Y971" s="7" t="str">
        <f aca="false">IF(COUNT(U971:X971)=4,(W971-X971)/2,"")</f>
        <v/>
      </c>
      <c r="Z971" s="7" t="str">
        <f aca="false">IF(COUNT(U971:X971)=4,(U971-V971)/2,"")</f>
        <v/>
      </c>
      <c r="AA971" s="7" t="str">
        <f aca="false">IF(COUNT(U971:X971)=4,MAX(1,MIN(10,ROUNDUP(5-Z971,0))),"")</f>
        <v/>
      </c>
      <c r="AB971" s="7" t="str">
        <f aca="false">IF(COUNT(U971:X971)=4,MAX(1,MIN(10,ROUNDUP(Y971+5,0))),"")</f>
        <v/>
      </c>
      <c r="AC971" s="6"/>
      <c r="AD971" s="6"/>
    </row>
    <row r="972" customFormat="false" ht="15" hidden="false" customHeight="true" outlineLevel="0" collapsed="false">
      <c r="A972" s="5" t="n">
        <v>971</v>
      </c>
      <c r="B972" s="5" t="s">
        <v>2452</v>
      </c>
      <c r="C972" s="5" t="s">
        <v>145</v>
      </c>
      <c r="D972" s="5" t="s">
        <v>51</v>
      </c>
      <c r="E972" s="5" t="n">
        <v>115</v>
      </c>
      <c r="F972" s="5" t="s">
        <v>2453</v>
      </c>
      <c r="G972" s="5" t="n">
        <v>4</v>
      </c>
      <c r="H972" s="5" t="s">
        <v>53</v>
      </c>
      <c r="I972" s="5" t="s">
        <v>54</v>
      </c>
      <c r="J972" s="5" t="s">
        <v>55</v>
      </c>
      <c r="K972" s="5" t="s">
        <v>55</v>
      </c>
      <c r="L972" s="5" t="n">
        <v>2</v>
      </c>
      <c r="M972" s="5" t="n">
        <v>8</v>
      </c>
      <c r="N972" s="5" t="n">
        <v>7</v>
      </c>
      <c r="O972" s="5" t="n">
        <v>3</v>
      </c>
      <c r="P972" s="5" t="n">
        <v>2</v>
      </c>
      <c r="Q972" s="5" t="n">
        <v>-3</v>
      </c>
      <c r="R972" s="5" t="n">
        <v>8</v>
      </c>
      <c r="S972" s="5" t="n">
        <v>7</v>
      </c>
      <c r="T972" s="5" t="s">
        <v>2454</v>
      </c>
      <c r="U972" s="6"/>
      <c r="V972" s="6"/>
      <c r="W972" s="6"/>
      <c r="X972" s="6"/>
      <c r="Y972" s="7" t="str">
        <f aca="false">IF(COUNT(U972:X972)=4,(W972-X972)/2,"")</f>
        <v/>
      </c>
      <c r="Z972" s="7" t="str">
        <f aca="false">IF(COUNT(U972:X972)=4,(U972-V972)/2,"")</f>
        <v/>
      </c>
      <c r="AA972" s="7" t="str">
        <f aca="false">IF(COUNT(U972:X972)=4,MAX(1,MIN(10,ROUNDUP(5-Z972,0))),"")</f>
        <v/>
      </c>
      <c r="AB972" s="7" t="str">
        <f aca="false">IF(COUNT(U972:X972)=4,MAX(1,MIN(10,ROUNDUP(Y972+5,0))),"")</f>
        <v/>
      </c>
      <c r="AC972" s="6"/>
      <c r="AD972" s="6"/>
    </row>
    <row r="973" customFormat="false" ht="15" hidden="false" customHeight="true" outlineLevel="0" collapsed="false">
      <c r="A973" s="5" t="n">
        <v>972</v>
      </c>
      <c r="B973" s="5" t="s">
        <v>2455</v>
      </c>
      <c r="C973" s="5" t="s">
        <v>108</v>
      </c>
      <c r="D973" s="5" t="s">
        <v>109</v>
      </c>
      <c r="E973" s="5" t="n">
        <v>115</v>
      </c>
      <c r="F973" s="5" t="s">
        <v>2455</v>
      </c>
      <c r="G973" s="5" t="n">
        <v>4</v>
      </c>
      <c r="H973" s="5" t="s">
        <v>53</v>
      </c>
      <c r="I973" s="5" t="s">
        <v>54</v>
      </c>
      <c r="J973" s="5" t="s">
        <v>117</v>
      </c>
      <c r="K973" s="5" t="s">
        <v>117</v>
      </c>
      <c r="L973" s="5" t="n">
        <v>3</v>
      </c>
      <c r="M973" s="5" t="n">
        <v>1</v>
      </c>
      <c r="N973" s="5" t="n">
        <v>7</v>
      </c>
      <c r="O973" s="5" t="n">
        <v>3</v>
      </c>
      <c r="P973" s="5" t="n">
        <v>2</v>
      </c>
      <c r="Q973" s="5" t="n">
        <v>1</v>
      </c>
      <c r="R973" s="5" t="n">
        <v>4</v>
      </c>
      <c r="S973" s="5" t="n">
        <v>7</v>
      </c>
      <c r="T973" s="5" t="s">
        <v>603</v>
      </c>
      <c r="U973" s="6"/>
      <c r="V973" s="6"/>
      <c r="W973" s="6"/>
      <c r="X973" s="6"/>
      <c r="Y973" s="7" t="str">
        <f aca="false">IF(COUNT(U973:X973)=4,(W973-X973)/2,"")</f>
        <v/>
      </c>
      <c r="Z973" s="7" t="str">
        <f aca="false">IF(COUNT(U973:X973)=4,(U973-V973)/2,"")</f>
        <v/>
      </c>
      <c r="AA973" s="7" t="str">
        <f aca="false">IF(COUNT(U973:X973)=4,MAX(1,MIN(10,ROUNDUP(5-Z973,0))),"")</f>
        <v/>
      </c>
      <c r="AB973" s="7" t="str">
        <f aca="false">IF(COUNT(U973:X973)=4,MAX(1,MIN(10,ROUNDUP(Y973+5,0))),"")</f>
        <v/>
      </c>
      <c r="AC973" s="6"/>
      <c r="AD973" s="6"/>
    </row>
    <row r="974" customFormat="false" ht="15" hidden="false" customHeight="true" outlineLevel="0" collapsed="false">
      <c r="A974" s="5" t="n">
        <v>973</v>
      </c>
      <c r="B974" s="5" t="s">
        <v>2456</v>
      </c>
      <c r="C974" s="5" t="s">
        <v>171</v>
      </c>
      <c r="D974" s="5" t="s">
        <v>172</v>
      </c>
      <c r="E974" s="5" t="n">
        <v>115</v>
      </c>
      <c r="F974" s="5" t="s">
        <v>2457</v>
      </c>
      <c r="G974" s="5" t="n">
        <v>4</v>
      </c>
      <c r="H974" s="5" t="s">
        <v>53</v>
      </c>
      <c r="I974" s="5" t="s">
        <v>54</v>
      </c>
      <c r="J974" s="5" t="s">
        <v>181</v>
      </c>
      <c r="K974" s="5" t="s">
        <v>182</v>
      </c>
      <c r="L974" s="5" t="n">
        <v>4</v>
      </c>
      <c r="M974" s="5" t="n">
        <v>6</v>
      </c>
      <c r="N974" s="5" t="n">
        <v>7</v>
      </c>
      <c r="O974" s="5" t="n">
        <v>3</v>
      </c>
      <c r="P974" s="5" t="n">
        <v>2</v>
      </c>
      <c r="Q974" s="5" t="n">
        <v>-1</v>
      </c>
      <c r="R974" s="5" t="n">
        <v>6</v>
      </c>
      <c r="S974" s="5" t="n">
        <v>7</v>
      </c>
      <c r="T974" s="5" t="s">
        <v>559</v>
      </c>
      <c r="U974" s="6"/>
      <c r="V974" s="6"/>
      <c r="W974" s="6"/>
      <c r="X974" s="6"/>
      <c r="Y974" s="7" t="str">
        <f aca="false">IF(COUNT(U974:X974)=4,(W974-X974)/2,"")</f>
        <v/>
      </c>
      <c r="Z974" s="7" t="str">
        <f aca="false">IF(COUNT(U974:X974)=4,(U974-V974)/2,"")</f>
        <v/>
      </c>
      <c r="AA974" s="7" t="str">
        <f aca="false">IF(COUNT(U974:X974)=4,MAX(1,MIN(10,ROUNDUP(5-Z974,0))),"")</f>
        <v/>
      </c>
      <c r="AB974" s="7" t="str">
        <f aca="false">IF(COUNT(U974:X974)=4,MAX(1,MIN(10,ROUNDUP(Y974+5,0))),"")</f>
        <v/>
      </c>
      <c r="AC974" s="6"/>
      <c r="AD974" s="6"/>
    </row>
    <row r="975" customFormat="false" ht="15" hidden="false" customHeight="true" outlineLevel="0" collapsed="false">
      <c r="A975" s="5" t="n">
        <v>974</v>
      </c>
      <c r="B975" s="5" t="s">
        <v>2458</v>
      </c>
      <c r="C975" s="5" t="s">
        <v>171</v>
      </c>
      <c r="D975" s="5" t="s">
        <v>172</v>
      </c>
      <c r="E975" s="5" t="n">
        <v>115</v>
      </c>
      <c r="F975" s="5" t="s">
        <v>2459</v>
      </c>
      <c r="G975" s="5" t="n">
        <v>4</v>
      </c>
      <c r="H975" s="5" t="s">
        <v>53</v>
      </c>
      <c r="I975" s="5" t="s">
        <v>54</v>
      </c>
      <c r="J975" s="5" t="s">
        <v>181</v>
      </c>
      <c r="K975" s="5" t="s">
        <v>333</v>
      </c>
      <c r="L975" s="5" t="n">
        <v>2</v>
      </c>
      <c r="M975" s="5" t="n">
        <v>4</v>
      </c>
      <c r="N975" s="5" t="n">
        <v>8</v>
      </c>
      <c r="O975" s="5" t="n">
        <v>2</v>
      </c>
      <c r="P975" s="5" t="n">
        <v>3</v>
      </c>
      <c r="Q975" s="5" t="n">
        <v>-1</v>
      </c>
      <c r="R975" s="5" t="n">
        <v>6</v>
      </c>
      <c r="S975" s="5" t="n">
        <v>8</v>
      </c>
      <c r="T975" s="5" t="s">
        <v>2460</v>
      </c>
      <c r="U975" s="6"/>
      <c r="V975" s="6"/>
      <c r="W975" s="6"/>
      <c r="X975" s="6"/>
      <c r="Y975" s="7" t="str">
        <f aca="false">IF(COUNT(U975:X975)=4,(W975-X975)/2,"")</f>
        <v/>
      </c>
      <c r="Z975" s="7" t="str">
        <f aca="false">IF(COUNT(U975:X975)=4,(U975-V975)/2,"")</f>
        <v/>
      </c>
      <c r="AA975" s="7" t="str">
        <f aca="false">IF(COUNT(U975:X975)=4,MAX(1,MIN(10,ROUNDUP(5-Z975,0))),"")</f>
        <v/>
      </c>
      <c r="AB975" s="7" t="str">
        <f aca="false">IF(COUNT(U975:X975)=4,MAX(1,MIN(10,ROUNDUP(Y975+5,0))),"")</f>
        <v/>
      </c>
      <c r="AC975" s="6"/>
      <c r="AD975" s="6"/>
    </row>
    <row r="976" customFormat="false" ht="15" hidden="false" customHeight="true" outlineLevel="0" collapsed="false">
      <c r="A976" s="5" t="n">
        <v>975</v>
      </c>
      <c r="B976" s="5" t="s">
        <v>2461</v>
      </c>
      <c r="C976" s="5" t="s">
        <v>171</v>
      </c>
      <c r="D976" s="5" t="s">
        <v>172</v>
      </c>
      <c r="E976" s="5" t="n">
        <v>115</v>
      </c>
      <c r="F976" s="5" t="s">
        <v>2462</v>
      </c>
      <c r="G976" s="5" t="n">
        <v>4</v>
      </c>
      <c r="H976" s="5" t="s">
        <v>53</v>
      </c>
      <c r="I976" s="5" t="s">
        <v>54</v>
      </c>
      <c r="J976" s="5" t="s">
        <v>181</v>
      </c>
      <c r="K976" s="5" t="s">
        <v>413</v>
      </c>
      <c r="L976" s="5" t="n">
        <v>5</v>
      </c>
      <c r="M976" s="5" t="n">
        <v>3</v>
      </c>
      <c r="N976" s="5" t="n">
        <v>3</v>
      </c>
      <c r="O976" s="5" t="n">
        <v>8</v>
      </c>
      <c r="P976" s="5" t="n">
        <v>-2.5</v>
      </c>
      <c r="Q976" s="5" t="n">
        <v>1</v>
      </c>
      <c r="R976" s="5" t="n">
        <v>4</v>
      </c>
      <c r="S976" s="5" t="n">
        <v>3</v>
      </c>
      <c r="T976" s="5" t="s">
        <v>2463</v>
      </c>
      <c r="U976" s="6"/>
      <c r="V976" s="6"/>
      <c r="W976" s="6"/>
      <c r="X976" s="6"/>
      <c r="Y976" s="7" t="str">
        <f aca="false">IF(COUNT(U976:X976)=4,(W976-X976)/2,"")</f>
        <v/>
      </c>
      <c r="Z976" s="7" t="str">
        <f aca="false">IF(COUNT(U976:X976)=4,(U976-V976)/2,"")</f>
        <v/>
      </c>
      <c r="AA976" s="7" t="str">
        <f aca="false">IF(COUNT(U976:X976)=4,MAX(1,MIN(10,ROUNDUP(5-Z976,0))),"")</f>
        <v/>
      </c>
      <c r="AB976" s="7" t="str">
        <f aca="false">IF(COUNT(U976:X976)=4,MAX(1,MIN(10,ROUNDUP(Y976+5,0))),"")</f>
        <v/>
      </c>
      <c r="AC976" s="6"/>
      <c r="AD976" s="6"/>
    </row>
    <row r="977" customFormat="false" ht="15" hidden="false" customHeight="true" outlineLevel="0" collapsed="false">
      <c r="A977" s="5" t="n">
        <v>976</v>
      </c>
      <c r="B977" s="5" t="s">
        <v>2464</v>
      </c>
      <c r="C977" s="5" t="s">
        <v>145</v>
      </c>
      <c r="D977" s="5" t="s">
        <v>51</v>
      </c>
      <c r="E977" s="5" t="n">
        <v>115</v>
      </c>
      <c r="F977" s="5" t="s">
        <v>2465</v>
      </c>
      <c r="G977" s="5" t="n">
        <v>4</v>
      </c>
      <c r="H977" s="5" t="s">
        <v>53</v>
      </c>
      <c r="I977" s="5" t="s">
        <v>54</v>
      </c>
      <c r="J977" s="5" t="s">
        <v>55</v>
      </c>
      <c r="K977" s="5" t="s">
        <v>55</v>
      </c>
      <c r="L977" s="5" t="n">
        <v>5</v>
      </c>
      <c r="M977" s="5" t="n">
        <v>4</v>
      </c>
      <c r="N977" s="5" t="n">
        <v>8</v>
      </c>
      <c r="O977" s="5" t="n">
        <v>4</v>
      </c>
      <c r="P977" s="5" t="n">
        <v>2</v>
      </c>
      <c r="Q977" s="5" t="n">
        <v>0.5</v>
      </c>
      <c r="R977" s="5" t="n">
        <v>5</v>
      </c>
      <c r="S977" s="5" t="n">
        <v>7</v>
      </c>
      <c r="T977" s="5" t="s">
        <v>2466</v>
      </c>
      <c r="U977" s="6"/>
      <c r="V977" s="6"/>
      <c r="W977" s="6"/>
      <c r="X977" s="6"/>
      <c r="Y977" s="7" t="str">
        <f aca="false">IF(COUNT(U977:X977)=4,(W977-X977)/2,"")</f>
        <v/>
      </c>
      <c r="Z977" s="7" t="str">
        <f aca="false">IF(COUNT(U977:X977)=4,(U977-V977)/2,"")</f>
        <v/>
      </c>
      <c r="AA977" s="7" t="str">
        <f aca="false">IF(COUNT(U977:X977)=4,MAX(1,MIN(10,ROUNDUP(5-Z977,0))),"")</f>
        <v/>
      </c>
      <c r="AB977" s="7" t="str">
        <f aca="false">IF(COUNT(U977:X977)=4,MAX(1,MIN(10,ROUNDUP(Y977+5,0))),"")</f>
        <v/>
      </c>
      <c r="AC977" s="6"/>
      <c r="AD977" s="6"/>
    </row>
    <row r="978" customFormat="false" ht="15" hidden="false" customHeight="true" outlineLevel="0" collapsed="false">
      <c r="A978" s="5" t="n">
        <v>977</v>
      </c>
      <c r="B978" s="5" t="s">
        <v>2467</v>
      </c>
      <c r="C978" s="5" t="s">
        <v>171</v>
      </c>
      <c r="D978" s="5" t="s">
        <v>172</v>
      </c>
      <c r="E978" s="5" t="n">
        <v>114</v>
      </c>
      <c r="F978" s="5" t="s">
        <v>2468</v>
      </c>
      <c r="G978" s="5" t="n">
        <v>4</v>
      </c>
      <c r="H978" s="5" t="s">
        <v>53</v>
      </c>
      <c r="I978" s="5" t="s">
        <v>81</v>
      </c>
      <c r="J978" s="5" t="s">
        <v>174</v>
      </c>
      <c r="K978" s="5" t="s">
        <v>175</v>
      </c>
      <c r="L978" s="5" t="n">
        <v>9</v>
      </c>
      <c r="M978" s="5" t="n">
        <v>1</v>
      </c>
      <c r="N978" s="5" t="n">
        <v>1</v>
      </c>
      <c r="O978" s="5" t="n">
        <v>10</v>
      </c>
      <c r="P978" s="5" t="n">
        <v>-4.5</v>
      </c>
      <c r="Q978" s="5" t="n">
        <v>4</v>
      </c>
      <c r="R978" s="5" t="n">
        <v>1</v>
      </c>
      <c r="S978" s="5" t="n">
        <v>1</v>
      </c>
      <c r="T978" s="5" t="s">
        <v>2469</v>
      </c>
      <c r="U978" s="6"/>
      <c r="V978" s="6"/>
      <c r="W978" s="6"/>
      <c r="X978" s="6"/>
      <c r="Y978" s="7" t="str">
        <f aca="false">IF(COUNT(U978:X978)=4,(W978-X978)/2,"")</f>
        <v/>
      </c>
      <c r="Z978" s="7" t="str">
        <f aca="false">IF(COUNT(U978:X978)=4,(U978-V978)/2,"")</f>
        <v/>
      </c>
      <c r="AA978" s="7" t="str">
        <f aca="false">IF(COUNT(U978:X978)=4,MAX(1,MIN(10,ROUNDUP(5-Z978,0))),"")</f>
        <v/>
      </c>
      <c r="AB978" s="7" t="str">
        <f aca="false">IF(COUNT(U978:X978)=4,MAX(1,MIN(10,ROUNDUP(Y978+5,0))),"")</f>
        <v/>
      </c>
      <c r="AC978" s="6"/>
      <c r="AD978" s="6"/>
    </row>
    <row r="979" customFormat="false" ht="15" hidden="false" customHeight="true" outlineLevel="0" collapsed="false">
      <c r="A979" s="5" t="n">
        <v>978</v>
      </c>
      <c r="B979" s="5" t="s">
        <v>2470</v>
      </c>
      <c r="C979" s="5" t="s">
        <v>145</v>
      </c>
      <c r="D979" s="5" t="s">
        <v>51</v>
      </c>
      <c r="E979" s="5" t="n">
        <v>114</v>
      </c>
      <c r="F979" s="5" t="s">
        <v>2471</v>
      </c>
      <c r="G979" s="5" t="n">
        <v>4</v>
      </c>
      <c r="H979" s="5" t="s">
        <v>53</v>
      </c>
      <c r="I979" s="5" t="s">
        <v>54</v>
      </c>
      <c r="J979" s="5" t="s">
        <v>55</v>
      </c>
      <c r="K979" s="5" t="s">
        <v>55</v>
      </c>
      <c r="L979" s="5" t="n">
        <v>5</v>
      </c>
      <c r="M979" s="5" t="n">
        <v>2</v>
      </c>
      <c r="N979" s="5" t="n">
        <v>3</v>
      </c>
      <c r="O979" s="5" t="n">
        <v>8</v>
      </c>
      <c r="P979" s="5" t="n">
        <v>-2.5</v>
      </c>
      <c r="Q979" s="5" t="n">
        <v>1.5</v>
      </c>
      <c r="R979" s="5" t="n">
        <v>4</v>
      </c>
      <c r="S979" s="5" t="n">
        <v>3</v>
      </c>
      <c r="T979" s="5" t="s">
        <v>2472</v>
      </c>
      <c r="U979" s="6"/>
      <c r="V979" s="6"/>
      <c r="W979" s="6"/>
      <c r="X979" s="6"/>
      <c r="Y979" s="7" t="str">
        <f aca="false">IF(COUNT(U979:X979)=4,(W979-X979)/2,"")</f>
        <v/>
      </c>
      <c r="Z979" s="7" t="str">
        <f aca="false">IF(COUNT(U979:X979)=4,(U979-V979)/2,"")</f>
        <v/>
      </c>
      <c r="AA979" s="7" t="str">
        <f aca="false">IF(COUNT(U979:X979)=4,MAX(1,MIN(10,ROUNDUP(5-Z979,0))),"")</f>
        <v/>
      </c>
      <c r="AB979" s="7" t="str">
        <f aca="false">IF(COUNT(U979:X979)=4,MAX(1,MIN(10,ROUNDUP(Y979+5,0))),"")</f>
        <v/>
      </c>
      <c r="AC979" s="6"/>
      <c r="AD979" s="6"/>
    </row>
    <row r="980" customFormat="false" ht="15" hidden="false" customHeight="true" outlineLevel="0" collapsed="false">
      <c r="A980" s="5" t="n">
        <v>979</v>
      </c>
      <c r="B980" s="5" t="s">
        <v>2473</v>
      </c>
      <c r="C980" s="5" t="s">
        <v>171</v>
      </c>
      <c r="D980" s="5" t="s">
        <v>172</v>
      </c>
      <c r="E980" s="5" t="n">
        <v>114</v>
      </c>
      <c r="F980" s="5" t="s">
        <v>2474</v>
      </c>
      <c r="G980" s="5" t="n">
        <v>4</v>
      </c>
      <c r="H980" s="5" t="s">
        <v>53</v>
      </c>
      <c r="I980" s="5" t="s">
        <v>54</v>
      </c>
      <c r="J980" s="5" t="s">
        <v>181</v>
      </c>
      <c r="K980" s="5" t="s">
        <v>413</v>
      </c>
      <c r="L980" s="5" t="n">
        <v>5</v>
      </c>
      <c r="M980" s="5" t="n">
        <v>3</v>
      </c>
      <c r="N980" s="5" t="n">
        <v>3</v>
      </c>
      <c r="O980" s="5" t="n">
        <v>8</v>
      </c>
      <c r="P980" s="5" t="n">
        <v>-2.5</v>
      </c>
      <c r="Q980" s="5" t="n">
        <v>1</v>
      </c>
      <c r="R980" s="5" t="n">
        <v>4</v>
      </c>
      <c r="S980" s="5" t="n">
        <v>3</v>
      </c>
      <c r="T980" s="5" t="s">
        <v>2475</v>
      </c>
      <c r="U980" s="6"/>
      <c r="V980" s="6"/>
      <c r="W980" s="6"/>
      <c r="X980" s="6"/>
      <c r="Y980" s="7" t="str">
        <f aca="false">IF(COUNT(U980:X980)=4,(W980-X980)/2,"")</f>
        <v/>
      </c>
      <c r="Z980" s="7" t="str">
        <f aca="false">IF(COUNT(U980:X980)=4,(U980-V980)/2,"")</f>
        <v/>
      </c>
      <c r="AA980" s="7" t="str">
        <f aca="false">IF(COUNT(U980:X980)=4,MAX(1,MIN(10,ROUNDUP(5-Z980,0))),"")</f>
        <v/>
      </c>
      <c r="AB980" s="7" t="str">
        <f aca="false">IF(COUNT(U980:X980)=4,MAX(1,MIN(10,ROUNDUP(Y980+5,0))),"")</f>
        <v/>
      </c>
      <c r="AC980" s="6"/>
      <c r="AD980" s="6"/>
    </row>
    <row r="981" customFormat="false" ht="15" hidden="false" customHeight="true" outlineLevel="0" collapsed="false">
      <c r="A981" s="5" t="n">
        <v>980</v>
      </c>
      <c r="B981" s="5" t="s">
        <v>2476</v>
      </c>
      <c r="C981" s="5" t="s">
        <v>203</v>
      </c>
      <c r="D981" s="5" t="s">
        <v>204</v>
      </c>
      <c r="E981" s="5" t="n">
        <v>114</v>
      </c>
      <c r="F981" s="5" t="s">
        <v>2476</v>
      </c>
      <c r="G981" s="5" t="n">
        <v>4</v>
      </c>
      <c r="H981" s="5" t="s">
        <v>53</v>
      </c>
      <c r="I981" s="5" t="s">
        <v>54</v>
      </c>
      <c r="J981" s="5" t="s">
        <v>117</v>
      </c>
      <c r="K981" s="5" t="s">
        <v>117</v>
      </c>
      <c r="L981" s="5" t="n">
        <v>3</v>
      </c>
      <c r="M981" s="5" t="n">
        <v>2</v>
      </c>
      <c r="N981" s="5" t="n">
        <v>2</v>
      </c>
      <c r="O981" s="5" t="n">
        <v>7</v>
      </c>
      <c r="P981" s="5" t="n">
        <v>-2.5</v>
      </c>
      <c r="Q981" s="5" t="n">
        <v>0.5</v>
      </c>
      <c r="R981" s="5" t="n">
        <v>5</v>
      </c>
      <c r="S981" s="5" t="n">
        <v>3</v>
      </c>
      <c r="T981" s="5" t="s">
        <v>1005</v>
      </c>
      <c r="U981" s="6"/>
      <c r="V981" s="6"/>
      <c r="W981" s="6"/>
      <c r="X981" s="6"/>
      <c r="Y981" s="7" t="str">
        <f aca="false">IF(COUNT(U981:X981)=4,(W981-X981)/2,"")</f>
        <v/>
      </c>
      <c r="Z981" s="7" t="str">
        <f aca="false">IF(COUNT(U981:X981)=4,(U981-V981)/2,"")</f>
        <v/>
      </c>
      <c r="AA981" s="7" t="str">
        <f aca="false">IF(COUNT(U981:X981)=4,MAX(1,MIN(10,ROUNDUP(5-Z981,0))),"")</f>
        <v/>
      </c>
      <c r="AB981" s="7" t="str">
        <f aca="false">IF(COUNT(U981:X981)=4,MAX(1,MIN(10,ROUNDUP(Y981+5,0))),"")</f>
        <v/>
      </c>
      <c r="AC981" s="6"/>
      <c r="AD981" s="6"/>
    </row>
    <row r="982" customFormat="false" ht="15" hidden="false" customHeight="true" outlineLevel="0" collapsed="false">
      <c r="A982" s="5" t="n">
        <v>981</v>
      </c>
      <c r="B982" s="5" t="s">
        <v>2477</v>
      </c>
      <c r="C982" s="5" t="s">
        <v>171</v>
      </c>
      <c r="D982" s="5" t="s">
        <v>172</v>
      </c>
      <c r="E982" s="5" t="n">
        <v>114</v>
      </c>
      <c r="F982" s="5" t="s">
        <v>2478</v>
      </c>
      <c r="G982" s="5" t="n">
        <v>4</v>
      </c>
      <c r="H982" s="5" t="s">
        <v>53</v>
      </c>
      <c r="I982" s="5" t="s">
        <v>81</v>
      </c>
      <c r="J982" s="5" t="s">
        <v>174</v>
      </c>
      <c r="K982" s="5" t="s">
        <v>347</v>
      </c>
      <c r="L982" s="5" t="n">
        <v>5</v>
      </c>
      <c r="M982" s="5" t="n">
        <v>2</v>
      </c>
      <c r="N982" s="5" t="n">
        <v>9</v>
      </c>
      <c r="O982" s="5" t="n">
        <v>2</v>
      </c>
      <c r="P982" s="5" t="n">
        <v>3.5</v>
      </c>
      <c r="Q982" s="5" t="n">
        <v>1.5</v>
      </c>
      <c r="R982" s="5" t="n">
        <v>4</v>
      </c>
      <c r="S982" s="5" t="n">
        <v>9</v>
      </c>
      <c r="T982" s="5" t="s">
        <v>263</v>
      </c>
      <c r="U982" s="6"/>
      <c r="V982" s="6"/>
      <c r="W982" s="6"/>
      <c r="X982" s="6"/>
      <c r="Y982" s="7" t="str">
        <f aca="false">IF(COUNT(U982:X982)=4,(W982-X982)/2,"")</f>
        <v/>
      </c>
      <c r="Z982" s="7" t="str">
        <f aca="false">IF(COUNT(U982:X982)=4,(U982-V982)/2,"")</f>
        <v/>
      </c>
      <c r="AA982" s="7" t="str">
        <f aca="false">IF(COUNT(U982:X982)=4,MAX(1,MIN(10,ROUNDUP(5-Z982,0))),"")</f>
        <v/>
      </c>
      <c r="AB982" s="7" t="str">
        <f aca="false">IF(COUNT(U982:X982)=4,MAX(1,MIN(10,ROUNDUP(Y982+5,0))),"")</f>
        <v/>
      </c>
      <c r="AC982" s="6"/>
      <c r="AD982" s="6"/>
    </row>
    <row r="983" customFormat="false" ht="15" hidden="false" customHeight="true" outlineLevel="0" collapsed="false">
      <c r="A983" s="5" t="n">
        <v>982</v>
      </c>
      <c r="B983" s="5" t="s">
        <v>2479</v>
      </c>
      <c r="C983" s="5" t="s">
        <v>108</v>
      </c>
      <c r="D983" s="5" t="s">
        <v>109</v>
      </c>
      <c r="E983" s="5" t="n">
        <v>114</v>
      </c>
      <c r="F983" s="5" t="s">
        <v>2479</v>
      </c>
      <c r="G983" s="5" t="n">
        <v>4</v>
      </c>
      <c r="H983" s="5" t="s">
        <v>53</v>
      </c>
      <c r="I983" s="5" t="s">
        <v>54</v>
      </c>
      <c r="J983" s="5" t="s">
        <v>117</v>
      </c>
      <c r="K983" s="5" t="s">
        <v>117</v>
      </c>
      <c r="L983" s="5" t="n">
        <v>3</v>
      </c>
      <c r="M983" s="5" t="n">
        <v>1</v>
      </c>
      <c r="N983" s="5" t="n">
        <v>1</v>
      </c>
      <c r="O983" s="5" t="n">
        <v>8</v>
      </c>
      <c r="P983" s="5" t="n">
        <v>-3.5</v>
      </c>
      <c r="Q983" s="5" t="n">
        <v>1</v>
      </c>
      <c r="R983" s="5" t="n">
        <v>4</v>
      </c>
      <c r="S983" s="5" t="n">
        <v>2</v>
      </c>
      <c r="T983" s="5" t="s">
        <v>2480</v>
      </c>
      <c r="U983" s="6"/>
      <c r="V983" s="6"/>
      <c r="W983" s="6"/>
      <c r="X983" s="6"/>
      <c r="Y983" s="7" t="str">
        <f aca="false">IF(COUNT(U983:X983)=4,(W983-X983)/2,"")</f>
        <v/>
      </c>
      <c r="Z983" s="7" t="str">
        <f aca="false">IF(COUNT(U983:X983)=4,(U983-V983)/2,"")</f>
        <v/>
      </c>
      <c r="AA983" s="7" t="str">
        <f aca="false">IF(COUNT(U983:X983)=4,MAX(1,MIN(10,ROUNDUP(5-Z983,0))),"")</f>
        <v/>
      </c>
      <c r="AB983" s="7" t="str">
        <f aca="false">IF(COUNT(U983:X983)=4,MAX(1,MIN(10,ROUNDUP(Y983+5,0))),"")</f>
        <v/>
      </c>
      <c r="AC983" s="6"/>
      <c r="AD983" s="6"/>
    </row>
    <row r="984" customFormat="false" ht="15" hidden="false" customHeight="true" outlineLevel="0" collapsed="false">
      <c r="A984" s="5" t="n">
        <v>983</v>
      </c>
      <c r="B984" s="5" t="s">
        <v>2481</v>
      </c>
      <c r="C984" s="5" t="s">
        <v>108</v>
      </c>
      <c r="D984" s="5" t="s">
        <v>109</v>
      </c>
      <c r="E984" s="5" t="n">
        <v>114</v>
      </c>
      <c r="F984" s="5" t="s">
        <v>2481</v>
      </c>
      <c r="G984" s="5" t="n">
        <v>4</v>
      </c>
      <c r="H984" s="5" t="s">
        <v>53</v>
      </c>
      <c r="I984" s="5" t="s">
        <v>54</v>
      </c>
      <c r="J984" s="5" t="s">
        <v>117</v>
      </c>
      <c r="K984" s="5" t="s">
        <v>117</v>
      </c>
      <c r="L984" s="5" t="n">
        <v>3</v>
      </c>
      <c r="M984" s="5" t="n">
        <v>3</v>
      </c>
      <c r="N984" s="5" t="n">
        <v>8</v>
      </c>
      <c r="O984" s="5" t="n">
        <v>2</v>
      </c>
      <c r="P984" s="5" t="n">
        <v>3</v>
      </c>
      <c r="Q984" s="5" t="n">
        <v>0</v>
      </c>
      <c r="R984" s="5" t="n">
        <v>5</v>
      </c>
      <c r="S984" s="5" t="n">
        <v>8</v>
      </c>
      <c r="T984" s="5" t="s">
        <v>402</v>
      </c>
      <c r="U984" s="6"/>
      <c r="V984" s="6"/>
      <c r="W984" s="6"/>
      <c r="X984" s="6"/>
      <c r="Y984" s="7" t="str">
        <f aca="false">IF(COUNT(U984:X984)=4,(W984-X984)/2,"")</f>
        <v/>
      </c>
      <c r="Z984" s="7" t="str">
        <f aca="false">IF(COUNT(U984:X984)=4,(U984-V984)/2,"")</f>
        <v/>
      </c>
      <c r="AA984" s="7" t="str">
        <f aca="false">IF(COUNT(U984:X984)=4,MAX(1,MIN(10,ROUNDUP(5-Z984,0))),"")</f>
        <v/>
      </c>
      <c r="AB984" s="7" t="str">
        <f aca="false">IF(COUNT(U984:X984)=4,MAX(1,MIN(10,ROUNDUP(Y984+5,0))),"")</f>
        <v/>
      </c>
      <c r="AC984" s="6"/>
      <c r="AD984" s="6"/>
    </row>
    <row r="985" customFormat="false" ht="15" hidden="false" customHeight="true" outlineLevel="0" collapsed="false">
      <c r="A985" s="5" t="n">
        <v>984</v>
      </c>
      <c r="B985" s="5" t="s">
        <v>2482</v>
      </c>
      <c r="C985" s="5" t="s">
        <v>171</v>
      </c>
      <c r="D985" s="5" t="s">
        <v>172</v>
      </c>
      <c r="E985" s="5" t="n">
        <v>114</v>
      </c>
      <c r="F985" s="5" t="s">
        <v>2483</v>
      </c>
      <c r="G985" s="5" t="n">
        <v>4</v>
      </c>
      <c r="H985" s="5" t="s">
        <v>53</v>
      </c>
      <c r="I985" s="5" t="s">
        <v>54</v>
      </c>
      <c r="J985" s="5" t="s">
        <v>181</v>
      </c>
      <c r="K985" s="5" t="s">
        <v>235</v>
      </c>
      <c r="L985" s="5" t="n">
        <v>4</v>
      </c>
      <c r="M985" s="5" t="n">
        <v>5</v>
      </c>
      <c r="N985" s="5" t="n">
        <v>7</v>
      </c>
      <c r="O985" s="5" t="n">
        <v>4</v>
      </c>
      <c r="P985" s="5" t="n">
        <v>1.5</v>
      </c>
      <c r="Q985" s="5" t="n">
        <v>-0.5</v>
      </c>
      <c r="R985" s="5" t="n">
        <v>6</v>
      </c>
      <c r="S985" s="5" t="n">
        <v>7</v>
      </c>
      <c r="T985" s="5" t="s">
        <v>793</v>
      </c>
      <c r="U985" s="6"/>
      <c r="V985" s="6"/>
      <c r="W985" s="6"/>
      <c r="X985" s="6"/>
      <c r="Y985" s="7" t="str">
        <f aca="false">IF(COUNT(U985:X985)=4,(W985-X985)/2,"")</f>
        <v/>
      </c>
      <c r="Z985" s="7" t="str">
        <f aca="false">IF(COUNT(U985:X985)=4,(U985-V985)/2,"")</f>
        <v/>
      </c>
      <c r="AA985" s="7" t="str">
        <f aca="false">IF(COUNT(U985:X985)=4,MAX(1,MIN(10,ROUNDUP(5-Z985,0))),"")</f>
        <v/>
      </c>
      <c r="AB985" s="7" t="str">
        <f aca="false">IF(COUNT(U985:X985)=4,MAX(1,MIN(10,ROUNDUP(Y985+5,0))),"")</f>
        <v/>
      </c>
      <c r="AC985" s="6"/>
      <c r="AD985" s="6"/>
    </row>
    <row r="986" customFormat="false" ht="15" hidden="false" customHeight="true" outlineLevel="0" collapsed="false">
      <c r="A986" s="5" t="n">
        <v>985</v>
      </c>
      <c r="B986" s="5" t="s">
        <v>2484</v>
      </c>
      <c r="C986" s="5" t="s">
        <v>203</v>
      </c>
      <c r="D986" s="5" t="s">
        <v>204</v>
      </c>
      <c r="E986" s="5" t="n">
        <v>113</v>
      </c>
      <c r="F986" s="5" t="s">
        <v>2485</v>
      </c>
      <c r="G986" s="5" t="n">
        <v>4</v>
      </c>
      <c r="H986" s="5" t="s">
        <v>53</v>
      </c>
      <c r="I986" s="5" t="s">
        <v>54</v>
      </c>
      <c r="J986" s="5" t="s">
        <v>117</v>
      </c>
      <c r="K986" s="5" t="s">
        <v>117</v>
      </c>
      <c r="L986" s="5" t="n">
        <v>3</v>
      </c>
      <c r="M986" s="5" t="n">
        <v>2</v>
      </c>
      <c r="N986" s="5" t="n">
        <v>2</v>
      </c>
      <c r="O986" s="5" t="n">
        <v>7</v>
      </c>
      <c r="P986" s="5" t="n">
        <v>-2.5</v>
      </c>
      <c r="Q986" s="5" t="n">
        <v>0.5</v>
      </c>
      <c r="R986" s="5" t="n">
        <v>5</v>
      </c>
      <c r="S986" s="5" t="n">
        <v>3</v>
      </c>
      <c r="T986" s="5" t="s">
        <v>766</v>
      </c>
      <c r="U986" s="6"/>
      <c r="V986" s="6"/>
      <c r="W986" s="6"/>
      <c r="X986" s="6"/>
      <c r="Y986" s="7" t="str">
        <f aca="false">IF(COUNT(U986:X986)=4,(W986-X986)/2,"")</f>
        <v/>
      </c>
      <c r="Z986" s="7" t="str">
        <f aca="false">IF(COUNT(U986:X986)=4,(U986-V986)/2,"")</f>
        <v/>
      </c>
      <c r="AA986" s="7" t="str">
        <f aca="false">IF(COUNT(U986:X986)=4,MAX(1,MIN(10,ROUNDUP(5-Z986,0))),"")</f>
        <v/>
      </c>
      <c r="AB986" s="7" t="str">
        <f aca="false">IF(COUNT(U986:X986)=4,MAX(1,MIN(10,ROUNDUP(Y986+5,0))),"")</f>
        <v/>
      </c>
      <c r="AC986" s="6"/>
      <c r="AD986" s="6"/>
    </row>
    <row r="987" customFormat="false" ht="15" hidden="false" customHeight="true" outlineLevel="0" collapsed="false">
      <c r="A987" s="5" t="n">
        <v>986</v>
      </c>
      <c r="B987" s="5" t="s">
        <v>2486</v>
      </c>
      <c r="C987" s="5" t="s">
        <v>145</v>
      </c>
      <c r="D987" s="5" t="s">
        <v>51</v>
      </c>
      <c r="E987" s="5" t="n">
        <v>113</v>
      </c>
      <c r="F987" s="5" t="s">
        <v>2487</v>
      </c>
      <c r="G987" s="5" t="n">
        <v>4</v>
      </c>
      <c r="H987" s="5" t="s">
        <v>53</v>
      </c>
      <c r="I987" s="5" t="s">
        <v>54</v>
      </c>
      <c r="J987" s="5" t="s">
        <v>55</v>
      </c>
      <c r="K987" s="5" t="s">
        <v>55</v>
      </c>
      <c r="L987" s="5" t="n">
        <v>5</v>
      </c>
      <c r="M987" s="5" t="n">
        <v>2</v>
      </c>
      <c r="N987" s="5" t="n">
        <v>4</v>
      </c>
      <c r="O987" s="5" t="n">
        <v>8</v>
      </c>
      <c r="P987" s="5" t="n">
        <v>-2</v>
      </c>
      <c r="Q987" s="5" t="n">
        <v>1.5</v>
      </c>
      <c r="R987" s="5" t="n">
        <v>4</v>
      </c>
      <c r="S987" s="5" t="n">
        <v>3</v>
      </c>
      <c r="T987" s="5" t="s">
        <v>2488</v>
      </c>
      <c r="U987" s="6"/>
      <c r="V987" s="6"/>
      <c r="W987" s="6"/>
      <c r="X987" s="6"/>
      <c r="Y987" s="7" t="str">
        <f aca="false">IF(COUNT(U987:X987)=4,(W987-X987)/2,"")</f>
        <v/>
      </c>
      <c r="Z987" s="7" t="str">
        <f aca="false">IF(COUNT(U987:X987)=4,(U987-V987)/2,"")</f>
        <v/>
      </c>
      <c r="AA987" s="7" t="str">
        <f aca="false">IF(COUNT(U987:X987)=4,MAX(1,MIN(10,ROUNDUP(5-Z987,0))),"")</f>
        <v/>
      </c>
      <c r="AB987" s="7" t="str">
        <f aca="false">IF(COUNT(U987:X987)=4,MAX(1,MIN(10,ROUNDUP(Y987+5,0))),"")</f>
        <v/>
      </c>
      <c r="AC987" s="6"/>
      <c r="AD987" s="6"/>
    </row>
    <row r="988" customFormat="false" ht="15" hidden="false" customHeight="true" outlineLevel="0" collapsed="false">
      <c r="A988" s="5" t="n">
        <v>987</v>
      </c>
      <c r="B988" s="5" t="s">
        <v>2489</v>
      </c>
      <c r="C988" s="5" t="s">
        <v>171</v>
      </c>
      <c r="D988" s="5" t="s">
        <v>172</v>
      </c>
      <c r="E988" s="5" t="n">
        <v>113</v>
      </c>
      <c r="F988" s="5" t="s">
        <v>2490</v>
      </c>
      <c r="G988" s="5" t="n">
        <v>4</v>
      </c>
      <c r="H988" s="5" t="s">
        <v>53</v>
      </c>
      <c r="I988" s="5" t="s">
        <v>54</v>
      </c>
      <c r="J988" s="5" t="s">
        <v>181</v>
      </c>
      <c r="K988" s="5" t="s">
        <v>443</v>
      </c>
      <c r="L988" s="5" t="n">
        <v>8</v>
      </c>
      <c r="M988" s="5" t="n">
        <v>3</v>
      </c>
      <c r="N988" s="5" t="n">
        <v>4</v>
      </c>
      <c r="O988" s="5" t="n">
        <v>8</v>
      </c>
      <c r="P988" s="5" t="n">
        <v>-2</v>
      </c>
      <c r="Q988" s="5" t="n">
        <v>2.5</v>
      </c>
      <c r="R988" s="5" t="n">
        <v>3</v>
      </c>
      <c r="S988" s="5" t="n">
        <v>3</v>
      </c>
      <c r="T988" s="5" t="s">
        <v>304</v>
      </c>
      <c r="U988" s="6"/>
      <c r="V988" s="6"/>
      <c r="W988" s="6"/>
      <c r="X988" s="6"/>
      <c r="Y988" s="7" t="str">
        <f aca="false">IF(COUNT(U988:X988)=4,(W988-X988)/2,"")</f>
        <v/>
      </c>
      <c r="Z988" s="7" t="str">
        <f aca="false">IF(COUNT(U988:X988)=4,(U988-V988)/2,"")</f>
        <v/>
      </c>
      <c r="AA988" s="7" t="str">
        <f aca="false">IF(COUNT(U988:X988)=4,MAX(1,MIN(10,ROUNDUP(5-Z988,0))),"")</f>
        <v/>
      </c>
      <c r="AB988" s="7" t="str">
        <f aca="false">IF(COUNT(U988:X988)=4,MAX(1,MIN(10,ROUNDUP(Y988+5,0))),"")</f>
        <v/>
      </c>
      <c r="AC988" s="6"/>
      <c r="AD988" s="6"/>
    </row>
    <row r="989" customFormat="false" ht="15" hidden="false" customHeight="true" outlineLevel="0" collapsed="false">
      <c r="A989" s="5" t="n">
        <v>988</v>
      </c>
      <c r="B989" s="5" t="s">
        <v>2491</v>
      </c>
      <c r="C989" s="5" t="s">
        <v>171</v>
      </c>
      <c r="D989" s="5" t="s">
        <v>172</v>
      </c>
      <c r="E989" s="5" t="n">
        <v>113</v>
      </c>
      <c r="F989" s="5" t="s">
        <v>2492</v>
      </c>
      <c r="G989" s="5" t="n">
        <v>4</v>
      </c>
      <c r="H989" s="5" t="s">
        <v>53</v>
      </c>
      <c r="I989" s="5" t="s">
        <v>54</v>
      </c>
      <c r="J989" s="5" t="s">
        <v>181</v>
      </c>
      <c r="K989" s="5" t="s">
        <v>551</v>
      </c>
      <c r="L989" s="5" t="n">
        <v>2</v>
      </c>
      <c r="M989" s="5" t="n">
        <v>5</v>
      </c>
      <c r="N989" s="5" t="n">
        <v>8</v>
      </c>
      <c r="O989" s="5" t="n">
        <v>2</v>
      </c>
      <c r="P989" s="5" t="n">
        <v>3</v>
      </c>
      <c r="Q989" s="5" t="n">
        <v>-1.5</v>
      </c>
      <c r="R989" s="5" t="n">
        <v>7</v>
      </c>
      <c r="S989" s="5" t="n">
        <v>8</v>
      </c>
      <c r="T989" s="5" t="s">
        <v>2040</v>
      </c>
      <c r="U989" s="6"/>
      <c r="V989" s="6"/>
      <c r="W989" s="6"/>
      <c r="X989" s="6"/>
      <c r="Y989" s="7" t="str">
        <f aca="false">IF(COUNT(U989:X989)=4,(W989-X989)/2,"")</f>
        <v/>
      </c>
      <c r="Z989" s="7" t="str">
        <f aca="false">IF(COUNT(U989:X989)=4,(U989-V989)/2,"")</f>
        <v/>
      </c>
      <c r="AA989" s="7" t="str">
        <f aca="false">IF(COUNT(U989:X989)=4,MAX(1,MIN(10,ROUNDUP(5-Z989,0))),"")</f>
        <v/>
      </c>
      <c r="AB989" s="7" t="str">
        <f aca="false">IF(COUNT(U989:X989)=4,MAX(1,MIN(10,ROUNDUP(Y989+5,0))),"")</f>
        <v/>
      </c>
      <c r="AC989" s="6"/>
      <c r="AD989" s="6"/>
    </row>
    <row r="990" customFormat="false" ht="15" hidden="false" customHeight="true" outlineLevel="0" collapsed="false">
      <c r="A990" s="5" t="n">
        <v>989</v>
      </c>
      <c r="B990" s="5" t="s">
        <v>2493</v>
      </c>
      <c r="C990" s="5" t="s">
        <v>171</v>
      </c>
      <c r="D990" s="5" t="s">
        <v>172</v>
      </c>
      <c r="E990" s="5" t="n">
        <v>113</v>
      </c>
      <c r="F990" s="5" t="s">
        <v>2494</v>
      </c>
      <c r="G990" s="5" t="n">
        <v>4</v>
      </c>
      <c r="H990" s="5" t="s">
        <v>53</v>
      </c>
      <c r="I990" s="5" t="s">
        <v>54</v>
      </c>
      <c r="J990" s="5" t="s">
        <v>181</v>
      </c>
      <c r="K990" s="5" t="s">
        <v>333</v>
      </c>
      <c r="L990" s="5" t="n">
        <v>2</v>
      </c>
      <c r="M990" s="5" t="n">
        <v>4</v>
      </c>
      <c r="N990" s="5" t="n">
        <v>8</v>
      </c>
      <c r="O990" s="5" t="n">
        <v>2</v>
      </c>
      <c r="P990" s="5" t="n">
        <v>3</v>
      </c>
      <c r="Q990" s="5" t="n">
        <v>-1</v>
      </c>
      <c r="R990" s="5" t="n">
        <v>6</v>
      </c>
      <c r="S990" s="5" t="n">
        <v>8</v>
      </c>
      <c r="T990" s="5" t="s">
        <v>2495</v>
      </c>
      <c r="U990" s="6"/>
      <c r="V990" s="6"/>
      <c r="W990" s="6"/>
      <c r="X990" s="6"/>
      <c r="Y990" s="7" t="str">
        <f aca="false">IF(COUNT(U990:X990)=4,(W990-X990)/2,"")</f>
        <v/>
      </c>
      <c r="Z990" s="7" t="str">
        <f aca="false">IF(COUNT(U990:X990)=4,(U990-V990)/2,"")</f>
        <v/>
      </c>
      <c r="AA990" s="7" t="str">
        <f aca="false">IF(COUNT(U990:X990)=4,MAX(1,MIN(10,ROUNDUP(5-Z990,0))),"")</f>
        <v/>
      </c>
      <c r="AB990" s="7" t="str">
        <f aca="false">IF(COUNT(U990:X990)=4,MAX(1,MIN(10,ROUNDUP(Y990+5,0))),"")</f>
        <v/>
      </c>
      <c r="AC990" s="6"/>
      <c r="AD990" s="6"/>
    </row>
    <row r="991" customFormat="false" ht="15" hidden="false" customHeight="true" outlineLevel="0" collapsed="false">
      <c r="A991" s="5" t="n">
        <v>990</v>
      </c>
      <c r="B991" s="5" t="s">
        <v>2496</v>
      </c>
      <c r="C991" s="5" t="s">
        <v>127</v>
      </c>
      <c r="D991" s="5" t="s">
        <v>128</v>
      </c>
      <c r="E991" s="5" t="n">
        <v>113</v>
      </c>
      <c r="F991" s="5" t="s">
        <v>2496</v>
      </c>
      <c r="G991" s="5" t="n">
        <v>4</v>
      </c>
      <c r="H991" s="5" t="s">
        <v>53</v>
      </c>
      <c r="I991" s="5" t="s">
        <v>54</v>
      </c>
      <c r="J991" s="5" t="s">
        <v>117</v>
      </c>
      <c r="K991" s="5" t="s">
        <v>117</v>
      </c>
      <c r="L991" s="5" t="n">
        <v>3</v>
      </c>
      <c r="M991" s="5" t="n">
        <v>1</v>
      </c>
      <c r="N991" s="5" t="n">
        <v>2</v>
      </c>
      <c r="O991" s="5" t="n">
        <v>7</v>
      </c>
      <c r="P991" s="5" t="n">
        <v>-2.5</v>
      </c>
      <c r="Q991" s="5" t="n">
        <v>1</v>
      </c>
      <c r="R991" s="5" t="n">
        <v>4</v>
      </c>
      <c r="S991" s="5" t="n">
        <v>3</v>
      </c>
      <c r="T991" s="5" t="s">
        <v>2497</v>
      </c>
      <c r="U991" s="6"/>
      <c r="V991" s="6"/>
      <c r="W991" s="6"/>
      <c r="X991" s="6"/>
      <c r="Y991" s="7" t="str">
        <f aca="false">IF(COUNT(U991:X991)=4,(W991-X991)/2,"")</f>
        <v/>
      </c>
      <c r="Z991" s="7" t="str">
        <f aca="false">IF(COUNT(U991:X991)=4,(U991-V991)/2,"")</f>
        <v/>
      </c>
      <c r="AA991" s="7" t="str">
        <f aca="false">IF(COUNT(U991:X991)=4,MAX(1,MIN(10,ROUNDUP(5-Z991,0))),"")</f>
        <v/>
      </c>
      <c r="AB991" s="7" t="str">
        <f aca="false">IF(COUNT(U991:X991)=4,MAX(1,MIN(10,ROUNDUP(Y991+5,0))),"")</f>
        <v/>
      </c>
      <c r="AC991" s="6"/>
      <c r="AD991" s="6"/>
    </row>
    <row r="992" customFormat="false" ht="15" hidden="false" customHeight="true" outlineLevel="0" collapsed="false">
      <c r="A992" s="5" t="n">
        <v>991</v>
      </c>
      <c r="B992" s="5" t="s">
        <v>2498</v>
      </c>
      <c r="C992" s="5" t="s">
        <v>171</v>
      </c>
      <c r="D992" s="5" t="s">
        <v>172</v>
      </c>
      <c r="E992" s="5" t="n">
        <v>113</v>
      </c>
      <c r="F992" s="5" t="s">
        <v>2499</v>
      </c>
      <c r="G992" s="5" t="n">
        <v>4</v>
      </c>
      <c r="H992" s="5" t="s">
        <v>53</v>
      </c>
      <c r="I992" s="5" t="s">
        <v>54</v>
      </c>
      <c r="J992" s="5" t="s">
        <v>181</v>
      </c>
      <c r="K992" s="5" t="s">
        <v>179</v>
      </c>
      <c r="L992" s="5" t="n">
        <v>2</v>
      </c>
      <c r="M992" s="5" t="n">
        <v>6</v>
      </c>
      <c r="N992" s="5" t="n">
        <v>2</v>
      </c>
      <c r="O992" s="5" t="n">
        <v>6</v>
      </c>
      <c r="P992" s="5" t="n">
        <v>-2</v>
      </c>
      <c r="Q992" s="5" t="n">
        <v>-2</v>
      </c>
      <c r="R992" s="5" t="n">
        <v>7</v>
      </c>
      <c r="S992" s="5" t="n">
        <v>3</v>
      </c>
      <c r="T992" s="5" t="s">
        <v>2500</v>
      </c>
      <c r="U992" s="6"/>
      <c r="V992" s="6"/>
      <c r="W992" s="6"/>
      <c r="X992" s="6"/>
      <c r="Y992" s="7" t="str">
        <f aca="false">IF(COUNT(U992:X992)=4,(W992-X992)/2,"")</f>
        <v/>
      </c>
      <c r="Z992" s="7" t="str">
        <f aca="false">IF(COUNT(U992:X992)=4,(U992-V992)/2,"")</f>
        <v/>
      </c>
      <c r="AA992" s="7" t="str">
        <f aca="false">IF(COUNT(U992:X992)=4,MAX(1,MIN(10,ROUNDUP(5-Z992,0))),"")</f>
        <v/>
      </c>
      <c r="AB992" s="7" t="str">
        <f aca="false">IF(COUNT(U992:X992)=4,MAX(1,MIN(10,ROUNDUP(Y992+5,0))),"")</f>
        <v/>
      </c>
      <c r="AC992" s="6"/>
      <c r="AD992" s="6"/>
    </row>
    <row r="993" customFormat="false" ht="15" hidden="false" customHeight="true" outlineLevel="0" collapsed="false">
      <c r="A993" s="5" t="n">
        <v>992</v>
      </c>
      <c r="B993" s="5" t="s">
        <v>2501</v>
      </c>
      <c r="C993" s="5" t="s">
        <v>171</v>
      </c>
      <c r="D993" s="5" t="s">
        <v>172</v>
      </c>
      <c r="E993" s="5" t="n">
        <v>112</v>
      </c>
      <c r="F993" s="5" t="s">
        <v>2502</v>
      </c>
      <c r="G993" s="5" t="n">
        <v>4</v>
      </c>
      <c r="H993" s="5" t="s">
        <v>53</v>
      </c>
      <c r="I993" s="5" t="s">
        <v>81</v>
      </c>
      <c r="J993" s="5" t="s">
        <v>174</v>
      </c>
      <c r="K993" s="5" t="s">
        <v>175</v>
      </c>
      <c r="L993" s="5" t="n">
        <v>8</v>
      </c>
      <c r="M993" s="5" t="n">
        <v>1</v>
      </c>
      <c r="N993" s="5" t="n">
        <v>2</v>
      </c>
      <c r="O993" s="5" t="n">
        <v>10</v>
      </c>
      <c r="P993" s="5" t="n">
        <v>-4</v>
      </c>
      <c r="Q993" s="5" t="n">
        <v>3.5</v>
      </c>
      <c r="R993" s="5" t="n">
        <v>2</v>
      </c>
      <c r="S993" s="5" t="n">
        <v>1</v>
      </c>
      <c r="T993" s="5" t="s">
        <v>2503</v>
      </c>
      <c r="U993" s="6"/>
      <c r="V993" s="6"/>
      <c r="W993" s="6"/>
      <c r="X993" s="6"/>
      <c r="Y993" s="7" t="str">
        <f aca="false">IF(COUNT(U993:X993)=4,(W993-X993)/2,"")</f>
        <v/>
      </c>
      <c r="Z993" s="7" t="str">
        <f aca="false">IF(COUNT(U993:X993)=4,(U993-V993)/2,"")</f>
        <v/>
      </c>
      <c r="AA993" s="7" t="str">
        <f aca="false">IF(COUNT(U993:X993)=4,MAX(1,MIN(10,ROUNDUP(5-Z993,0))),"")</f>
        <v/>
      </c>
      <c r="AB993" s="7" t="str">
        <f aca="false">IF(COUNT(U993:X993)=4,MAX(1,MIN(10,ROUNDUP(Y993+5,0))),"")</f>
        <v/>
      </c>
      <c r="AC993" s="6"/>
      <c r="AD993" s="6"/>
    </row>
    <row r="994" customFormat="false" ht="15" hidden="false" customHeight="true" outlineLevel="0" collapsed="false">
      <c r="A994" s="5" t="n">
        <v>993</v>
      </c>
      <c r="B994" s="5" t="s">
        <v>2504</v>
      </c>
      <c r="C994" s="5" t="s">
        <v>171</v>
      </c>
      <c r="D994" s="5" t="s">
        <v>172</v>
      </c>
      <c r="E994" s="5" t="n">
        <v>112</v>
      </c>
      <c r="F994" s="5" t="s">
        <v>2505</v>
      </c>
      <c r="G994" s="5" t="n">
        <v>4</v>
      </c>
      <c r="H994" s="5" t="s">
        <v>53</v>
      </c>
      <c r="I994" s="5" t="s">
        <v>54</v>
      </c>
      <c r="J994" s="5" t="s">
        <v>181</v>
      </c>
      <c r="K994" s="5" t="s">
        <v>223</v>
      </c>
      <c r="L994" s="5" t="n">
        <v>4</v>
      </c>
      <c r="M994" s="5" t="n">
        <v>4</v>
      </c>
      <c r="N994" s="5" t="n">
        <v>6</v>
      </c>
      <c r="O994" s="5" t="n">
        <v>5</v>
      </c>
      <c r="P994" s="5" t="n">
        <v>0.5</v>
      </c>
      <c r="Q994" s="5" t="n">
        <v>0</v>
      </c>
      <c r="R994" s="5" t="n">
        <v>5</v>
      </c>
      <c r="S994" s="5" t="n">
        <v>6</v>
      </c>
      <c r="T994" s="5" t="s">
        <v>2506</v>
      </c>
      <c r="U994" s="6"/>
      <c r="V994" s="6"/>
      <c r="W994" s="6"/>
      <c r="X994" s="6"/>
      <c r="Y994" s="7" t="str">
        <f aca="false">IF(COUNT(U994:X994)=4,(W994-X994)/2,"")</f>
        <v/>
      </c>
      <c r="Z994" s="7" t="str">
        <f aca="false">IF(COUNT(U994:X994)=4,(U994-V994)/2,"")</f>
        <v/>
      </c>
      <c r="AA994" s="7" t="str">
        <f aca="false">IF(COUNT(U994:X994)=4,MAX(1,MIN(10,ROUNDUP(5-Z994,0))),"")</f>
        <v/>
      </c>
      <c r="AB994" s="7" t="str">
        <f aca="false">IF(COUNT(U994:X994)=4,MAX(1,MIN(10,ROUNDUP(Y994+5,0))),"")</f>
        <v/>
      </c>
      <c r="AC994" s="6"/>
      <c r="AD994" s="6"/>
    </row>
    <row r="995" customFormat="false" ht="15" hidden="false" customHeight="true" outlineLevel="0" collapsed="false">
      <c r="A995" s="5" t="n">
        <v>994</v>
      </c>
      <c r="B995" s="5" t="s">
        <v>2507</v>
      </c>
      <c r="C995" s="5" t="s">
        <v>145</v>
      </c>
      <c r="D995" s="5" t="s">
        <v>51</v>
      </c>
      <c r="E995" s="5" t="n">
        <v>112</v>
      </c>
      <c r="F995" s="5" t="s">
        <v>2508</v>
      </c>
      <c r="G995" s="5" t="n">
        <v>4</v>
      </c>
      <c r="H995" s="5" t="s">
        <v>53</v>
      </c>
      <c r="I995" s="5" t="s">
        <v>54</v>
      </c>
      <c r="J995" s="5" t="s">
        <v>117</v>
      </c>
      <c r="K995" s="5" t="s">
        <v>117</v>
      </c>
      <c r="L995" s="5" t="n">
        <v>6</v>
      </c>
      <c r="M995" s="5" t="n">
        <v>2</v>
      </c>
      <c r="N995" s="5" t="n">
        <v>8</v>
      </c>
      <c r="O995" s="5" t="n">
        <v>2</v>
      </c>
      <c r="P995" s="5" t="n">
        <v>3</v>
      </c>
      <c r="Q995" s="5" t="n">
        <v>2</v>
      </c>
      <c r="R995" s="5" t="n">
        <v>3</v>
      </c>
      <c r="S995" s="5" t="n">
        <v>8</v>
      </c>
      <c r="T995" s="5" t="s">
        <v>287</v>
      </c>
      <c r="U995" s="6"/>
      <c r="V995" s="6"/>
      <c r="W995" s="6"/>
      <c r="X995" s="6"/>
      <c r="Y995" s="7" t="str">
        <f aca="false">IF(COUNT(U995:X995)=4,(W995-X995)/2,"")</f>
        <v/>
      </c>
      <c r="Z995" s="7" t="str">
        <f aca="false">IF(COUNT(U995:X995)=4,(U995-V995)/2,"")</f>
        <v/>
      </c>
      <c r="AA995" s="7" t="str">
        <f aca="false">IF(COUNT(U995:X995)=4,MAX(1,MIN(10,ROUNDUP(5-Z995,0))),"")</f>
        <v/>
      </c>
      <c r="AB995" s="7" t="str">
        <f aca="false">IF(COUNT(U995:X995)=4,MAX(1,MIN(10,ROUNDUP(Y995+5,0))),"")</f>
        <v/>
      </c>
      <c r="AC995" s="6"/>
      <c r="AD995" s="6"/>
    </row>
    <row r="996" customFormat="false" ht="15" hidden="false" customHeight="true" outlineLevel="0" collapsed="false">
      <c r="A996" s="5" t="n">
        <v>995</v>
      </c>
      <c r="B996" s="5" t="s">
        <v>2509</v>
      </c>
      <c r="C996" s="5" t="s">
        <v>171</v>
      </c>
      <c r="D996" s="5" t="s">
        <v>172</v>
      </c>
      <c r="E996" s="5" t="n">
        <v>112</v>
      </c>
      <c r="F996" s="5" t="s">
        <v>2510</v>
      </c>
      <c r="G996" s="5" t="n">
        <v>4</v>
      </c>
      <c r="H996" s="5" t="s">
        <v>53</v>
      </c>
      <c r="I996" s="5" t="s">
        <v>54</v>
      </c>
      <c r="J996" s="5" t="s">
        <v>181</v>
      </c>
      <c r="K996" s="5" t="s">
        <v>443</v>
      </c>
      <c r="L996" s="5" t="n">
        <v>5</v>
      </c>
      <c r="M996" s="5" t="n">
        <v>3</v>
      </c>
      <c r="N996" s="5" t="n">
        <v>4</v>
      </c>
      <c r="O996" s="5" t="n">
        <v>8</v>
      </c>
      <c r="P996" s="5" t="n">
        <v>-2</v>
      </c>
      <c r="Q996" s="5" t="n">
        <v>1</v>
      </c>
      <c r="R996" s="5" t="n">
        <v>4</v>
      </c>
      <c r="S996" s="5" t="n">
        <v>3</v>
      </c>
      <c r="T996" s="5" t="s">
        <v>912</v>
      </c>
      <c r="U996" s="6"/>
      <c r="V996" s="6"/>
      <c r="W996" s="6"/>
      <c r="X996" s="6"/>
      <c r="Y996" s="7" t="str">
        <f aca="false">IF(COUNT(U996:X996)=4,(W996-X996)/2,"")</f>
        <v/>
      </c>
      <c r="Z996" s="7" t="str">
        <f aca="false">IF(COUNT(U996:X996)=4,(U996-V996)/2,"")</f>
        <v/>
      </c>
      <c r="AA996" s="7" t="str">
        <f aca="false">IF(COUNT(U996:X996)=4,MAX(1,MIN(10,ROUNDUP(5-Z996,0))),"")</f>
        <v/>
      </c>
      <c r="AB996" s="7" t="str">
        <f aca="false">IF(COUNT(U996:X996)=4,MAX(1,MIN(10,ROUNDUP(Y996+5,0))),"")</f>
        <v/>
      </c>
      <c r="AC996" s="6"/>
      <c r="AD996" s="6"/>
    </row>
    <row r="997" customFormat="false" ht="15" hidden="false" customHeight="true" outlineLevel="0" collapsed="false">
      <c r="A997" s="5" t="n">
        <v>996</v>
      </c>
      <c r="B997" s="5" t="s">
        <v>2511</v>
      </c>
      <c r="C997" s="5" t="s">
        <v>171</v>
      </c>
      <c r="D997" s="5" t="s">
        <v>172</v>
      </c>
      <c r="E997" s="5" t="n">
        <v>112</v>
      </c>
      <c r="F997" s="5" t="s">
        <v>2512</v>
      </c>
      <c r="G997" s="5" t="n">
        <v>4</v>
      </c>
      <c r="H997" s="5" t="s">
        <v>53</v>
      </c>
      <c r="I997" s="5" t="s">
        <v>54</v>
      </c>
      <c r="J997" s="5" t="s">
        <v>181</v>
      </c>
      <c r="K997" s="5" t="s">
        <v>413</v>
      </c>
      <c r="L997" s="5" t="n">
        <v>5</v>
      </c>
      <c r="M997" s="5" t="n">
        <v>3</v>
      </c>
      <c r="N997" s="5" t="n">
        <v>3</v>
      </c>
      <c r="O997" s="5" t="n">
        <v>8</v>
      </c>
      <c r="P997" s="5" t="n">
        <v>-2.5</v>
      </c>
      <c r="Q997" s="5" t="n">
        <v>1</v>
      </c>
      <c r="R997" s="5" t="n">
        <v>4</v>
      </c>
      <c r="S997" s="5" t="n">
        <v>3</v>
      </c>
      <c r="T997" s="5" t="s">
        <v>2513</v>
      </c>
      <c r="U997" s="6"/>
      <c r="V997" s="6"/>
      <c r="W997" s="6"/>
      <c r="X997" s="6"/>
      <c r="Y997" s="7" t="str">
        <f aca="false">IF(COUNT(U997:X997)=4,(W997-X997)/2,"")</f>
        <v/>
      </c>
      <c r="Z997" s="7" t="str">
        <f aca="false">IF(COUNT(U997:X997)=4,(U997-V997)/2,"")</f>
        <v/>
      </c>
      <c r="AA997" s="7" t="str">
        <f aca="false">IF(COUNT(U997:X997)=4,MAX(1,MIN(10,ROUNDUP(5-Z997,0))),"")</f>
        <v/>
      </c>
      <c r="AB997" s="7" t="str">
        <f aca="false">IF(COUNT(U997:X997)=4,MAX(1,MIN(10,ROUNDUP(Y997+5,0))),"")</f>
        <v/>
      </c>
      <c r="AC997" s="6"/>
      <c r="AD997" s="6"/>
    </row>
    <row r="998" customFormat="false" ht="15" hidden="false" customHeight="true" outlineLevel="0" collapsed="false">
      <c r="A998" s="5" t="n">
        <v>997</v>
      </c>
      <c r="B998" s="5" t="s">
        <v>2514</v>
      </c>
      <c r="C998" s="5" t="s">
        <v>171</v>
      </c>
      <c r="D998" s="5" t="s">
        <v>172</v>
      </c>
      <c r="E998" s="5" t="n">
        <v>112</v>
      </c>
      <c r="F998" s="5" t="s">
        <v>2515</v>
      </c>
      <c r="G998" s="5" t="n">
        <v>4</v>
      </c>
      <c r="H998" s="5" t="s">
        <v>53</v>
      </c>
      <c r="I998" s="5" t="s">
        <v>54</v>
      </c>
      <c r="J998" s="5" t="s">
        <v>117</v>
      </c>
      <c r="K998" s="5" t="s">
        <v>117</v>
      </c>
      <c r="L998" s="5" t="n">
        <v>3</v>
      </c>
      <c r="M998" s="5" t="n">
        <v>1</v>
      </c>
      <c r="N998" s="5" t="n">
        <v>2</v>
      </c>
      <c r="O998" s="5" t="n">
        <v>8</v>
      </c>
      <c r="P998" s="5" t="n">
        <v>-3</v>
      </c>
      <c r="Q998" s="5" t="n">
        <v>1</v>
      </c>
      <c r="R998" s="5" t="n">
        <v>4</v>
      </c>
      <c r="S998" s="5" t="n">
        <v>2</v>
      </c>
      <c r="T998" s="5" t="s">
        <v>2516</v>
      </c>
      <c r="U998" s="6"/>
      <c r="V998" s="6"/>
      <c r="W998" s="6"/>
      <c r="X998" s="6"/>
      <c r="Y998" s="7" t="str">
        <f aca="false">IF(COUNT(U998:X998)=4,(W998-X998)/2,"")</f>
        <v/>
      </c>
      <c r="Z998" s="7" t="str">
        <f aca="false">IF(COUNT(U998:X998)=4,(U998-V998)/2,"")</f>
        <v/>
      </c>
      <c r="AA998" s="7" t="str">
        <f aca="false">IF(COUNT(U998:X998)=4,MAX(1,MIN(10,ROUNDUP(5-Z998,0))),"")</f>
        <v/>
      </c>
      <c r="AB998" s="7" t="str">
        <f aca="false">IF(COUNT(U998:X998)=4,MAX(1,MIN(10,ROUNDUP(Y998+5,0))),"")</f>
        <v/>
      </c>
      <c r="AC998" s="6"/>
      <c r="AD998" s="6"/>
    </row>
    <row r="999" customFormat="false" ht="15" hidden="false" customHeight="true" outlineLevel="0" collapsed="false">
      <c r="A999" s="5" t="n">
        <v>998</v>
      </c>
      <c r="B999" s="5" t="s">
        <v>2517</v>
      </c>
      <c r="C999" s="5" t="s">
        <v>203</v>
      </c>
      <c r="D999" s="5" t="s">
        <v>204</v>
      </c>
      <c r="E999" s="5" t="n">
        <v>112</v>
      </c>
      <c r="F999" s="5" t="s">
        <v>2518</v>
      </c>
      <c r="G999" s="5" t="n">
        <v>4</v>
      </c>
      <c r="H999" s="5" t="s">
        <v>53</v>
      </c>
      <c r="I999" s="5" t="s">
        <v>54</v>
      </c>
      <c r="J999" s="5" t="s">
        <v>117</v>
      </c>
      <c r="K999" s="5" t="s">
        <v>117</v>
      </c>
      <c r="L999" s="5" t="n">
        <v>7</v>
      </c>
      <c r="M999" s="5" t="n">
        <v>1</v>
      </c>
      <c r="N999" s="5" t="n">
        <v>2</v>
      </c>
      <c r="O999" s="5" t="n">
        <v>8</v>
      </c>
      <c r="P999" s="5" t="n">
        <v>-3</v>
      </c>
      <c r="Q999" s="5" t="n">
        <v>3</v>
      </c>
      <c r="R999" s="5" t="n">
        <v>2</v>
      </c>
      <c r="S999" s="5" t="n">
        <v>2</v>
      </c>
      <c r="T999" s="5" t="s">
        <v>590</v>
      </c>
      <c r="U999" s="6"/>
      <c r="V999" s="6"/>
      <c r="W999" s="6"/>
      <c r="X999" s="6"/>
      <c r="Y999" s="7" t="str">
        <f aca="false">IF(COUNT(U999:X999)=4,(W999-X999)/2,"")</f>
        <v/>
      </c>
      <c r="Z999" s="7" t="str">
        <f aca="false">IF(COUNT(U999:X999)=4,(U999-V999)/2,"")</f>
        <v/>
      </c>
      <c r="AA999" s="7" t="str">
        <f aca="false">IF(COUNT(U999:X999)=4,MAX(1,MIN(10,ROUNDUP(5-Z999,0))),"")</f>
        <v/>
      </c>
      <c r="AB999" s="7" t="str">
        <f aca="false">IF(COUNT(U999:X999)=4,MAX(1,MIN(10,ROUNDUP(Y999+5,0))),"")</f>
        <v/>
      </c>
      <c r="AC999" s="6"/>
      <c r="AD999" s="6"/>
    </row>
    <row r="1000" customFormat="false" ht="15" hidden="false" customHeight="true" outlineLevel="0" collapsed="false">
      <c r="A1000" s="5" t="n">
        <v>999</v>
      </c>
      <c r="B1000" s="5" t="s">
        <v>2519</v>
      </c>
      <c r="C1000" s="5" t="s">
        <v>171</v>
      </c>
      <c r="D1000" s="5" t="s">
        <v>172</v>
      </c>
      <c r="E1000" s="5" t="n">
        <v>112</v>
      </c>
      <c r="F1000" s="5" t="s">
        <v>2520</v>
      </c>
      <c r="G1000" s="5" t="n">
        <v>4</v>
      </c>
      <c r="H1000" s="5" t="s">
        <v>53</v>
      </c>
      <c r="I1000" s="5" t="s">
        <v>54</v>
      </c>
      <c r="J1000" s="5" t="s">
        <v>181</v>
      </c>
      <c r="K1000" s="5" t="s">
        <v>182</v>
      </c>
      <c r="L1000" s="5" t="n">
        <v>2</v>
      </c>
      <c r="M1000" s="5" t="n">
        <v>6</v>
      </c>
      <c r="N1000" s="5" t="n">
        <v>7</v>
      </c>
      <c r="O1000" s="5" t="n">
        <v>3</v>
      </c>
      <c r="P1000" s="5" t="n">
        <v>2</v>
      </c>
      <c r="Q1000" s="5" t="n">
        <v>-2</v>
      </c>
      <c r="R1000" s="5" t="n">
        <v>7</v>
      </c>
      <c r="S1000" s="5" t="n">
        <v>7</v>
      </c>
      <c r="T1000" s="5" t="s">
        <v>948</v>
      </c>
      <c r="U1000" s="6"/>
      <c r="V1000" s="6"/>
      <c r="W1000" s="6"/>
      <c r="X1000" s="6"/>
      <c r="Y1000" s="7" t="str">
        <f aca="false">IF(COUNT(U1000:X1000)=4,(W1000-X1000)/2,"")</f>
        <v/>
      </c>
      <c r="Z1000" s="7" t="str">
        <f aca="false">IF(COUNT(U1000:X1000)=4,(U1000-V1000)/2,"")</f>
        <v/>
      </c>
      <c r="AA1000" s="7" t="str">
        <f aca="false">IF(COUNT(U1000:X1000)=4,MAX(1,MIN(10,ROUNDUP(5-Z1000,0))),"")</f>
        <v/>
      </c>
      <c r="AB1000" s="7" t="str">
        <f aca="false">IF(COUNT(U1000:X1000)=4,MAX(1,MIN(10,ROUNDUP(Y1000+5,0))),"")</f>
        <v/>
      </c>
      <c r="AC1000" s="6"/>
      <c r="AD1000" s="6"/>
    </row>
    <row r="1001" customFormat="false" ht="15" hidden="false" customHeight="true" outlineLevel="0" collapsed="false">
      <c r="A1001" s="5" t="n">
        <v>1000</v>
      </c>
      <c r="B1001" s="5" t="s">
        <v>2521</v>
      </c>
      <c r="C1001" s="5" t="s">
        <v>171</v>
      </c>
      <c r="D1001" s="5" t="s">
        <v>172</v>
      </c>
      <c r="E1001" s="5" t="n">
        <v>112</v>
      </c>
      <c r="F1001" s="5" t="s">
        <v>2522</v>
      </c>
      <c r="G1001" s="5" t="n">
        <v>4</v>
      </c>
      <c r="H1001" s="5" t="s">
        <v>53</v>
      </c>
      <c r="I1001" s="5" t="s">
        <v>81</v>
      </c>
      <c r="J1001" s="5" t="s">
        <v>174</v>
      </c>
      <c r="K1001" s="5" t="s">
        <v>175</v>
      </c>
      <c r="L1001" s="5" t="n">
        <v>7</v>
      </c>
      <c r="M1001" s="5" t="n">
        <v>1</v>
      </c>
      <c r="N1001" s="5" t="n">
        <v>6</v>
      </c>
      <c r="O1001" s="5" t="n">
        <v>5</v>
      </c>
      <c r="P1001" s="5" t="n">
        <v>0.5</v>
      </c>
      <c r="Q1001" s="5" t="n">
        <v>3</v>
      </c>
      <c r="R1001" s="5" t="n">
        <v>2</v>
      </c>
      <c r="S1001" s="5" t="n">
        <v>6</v>
      </c>
      <c r="T1001" s="5" t="s">
        <v>2523</v>
      </c>
      <c r="U1001" s="6"/>
      <c r="V1001" s="6"/>
      <c r="W1001" s="6"/>
      <c r="X1001" s="6"/>
      <c r="Y1001" s="7" t="str">
        <f aca="false">IF(COUNT(U1001:X1001)=4,(W1001-X1001)/2,"")</f>
        <v/>
      </c>
      <c r="Z1001" s="7" t="str">
        <f aca="false">IF(COUNT(U1001:X1001)=4,(U1001-V1001)/2,"")</f>
        <v/>
      </c>
      <c r="AA1001" s="7" t="str">
        <f aca="false">IF(COUNT(U1001:X1001)=4,MAX(1,MIN(10,ROUNDUP(5-Z1001,0))),"")</f>
        <v/>
      </c>
      <c r="AB1001" s="7" t="str">
        <f aca="false">IF(COUNT(U1001:X1001)=4,MAX(1,MIN(10,ROUNDUP(Y1001+5,0))),"")</f>
        <v/>
      </c>
      <c r="AC1001" s="6"/>
      <c r="AD1001" s="6"/>
    </row>
    <row r="1002" customFormat="false" ht="15" hidden="false" customHeight="true" outlineLevel="0" collapsed="false">
      <c r="A1002" s="5" t="n">
        <v>1001</v>
      </c>
      <c r="B1002" s="5" t="s">
        <v>2524</v>
      </c>
      <c r="C1002" s="5" t="s">
        <v>145</v>
      </c>
      <c r="D1002" s="5" t="s">
        <v>51</v>
      </c>
      <c r="E1002" s="5" t="n">
        <v>112</v>
      </c>
      <c r="F1002" s="5" t="s">
        <v>2525</v>
      </c>
      <c r="G1002" s="5" t="n">
        <v>4</v>
      </c>
      <c r="H1002" s="5" t="s">
        <v>53</v>
      </c>
      <c r="I1002" s="5" t="s">
        <v>54</v>
      </c>
      <c r="J1002" s="5" t="s">
        <v>55</v>
      </c>
      <c r="K1002" s="5" t="s">
        <v>55</v>
      </c>
      <c r="L1002" s="5" t="n">
        <v>5</v>
      </c>
      <c r="M1002" s="5" t="n">
        <v>2</v>
      </c>
      <c r="N1002" s="5" t="n">
        <v>8</v>
      </c>
      <c r="O1002" s="5" t="n">
        <v>2</v>
      </c>
      <c r="P1002" s="5" t="n">
        <v>3</v>
      </c>
      <c r="Q1002" s="5" t="n">
        <v>1.5</v>
      </c>
      <c r="R1002" s="5" t="n">
        <v>4</v>
      </c>
      <c r="S1002" s="5" t="n">
        <v>8</v>
      </c>
      <c r="T1002" s="5" t="s">
        <v>2526</v>
      </c>
      <c r="U1002" s="6"/>
      <c r="V1002" s="6"/>
      <c r="W1002" s="6"/>
      <c r="X1002" s="6"/>
      <c r="Y1002" s="7" t="str">
        <f aca="false">IF(COUNT(U1002:X1002)=4,(W1002-X1002)/2,"")</f>
        <v/>
      </c>
      <c r="Z1002" s="7" t="str">
        <f aca="false">IF(COUNT(U1002:X1002)=4,(U1002-V1002)/2,"")</f>
        <v/>
      </c>
      <c r="AA1002" s="7" t="str">
        <f aca="false">IF(COUNT(U1002:X1002)=4,MAX(1,MIN(10,ROUNDUP(5-Z1002,0))),"")</f>
        <v/>
      </c>
      <c r="AB1002" s="7" t="str">
        <f aca="false">IF(COUNT(U1002:X1002)=4,MAX(1,MIN(10,ROUNDUP(Y1002+5,0))),"")</f>
        <v/>
      </c>
      <c r="AC1002" s="6"/>
      <c r="AD1002" s="6"/>
    </row>
    <row r="1003" customFormat="false" ht="15" hidden="false" customHeight="true" outlineLevel="0" collapsed="false">
      <c r="A1003" s="5" t="n">
        <v>1002</v>
      </c>
      <c r="B1003" s="5" t="s">
        <v>2527</v>
      </c>
      <c r="C1003" s="5" t="s">
        <v>171</v>
      </c>
      <c r="D1003" s="5" t="s">
        <v>172</v>
      </c>
      <c r="E1003" s="5" t="n">
        <v>111</v>
      </c>
      <c r="F1003" s="5" t="s">
        <v>2528</v>
      </c>
      <c r="G1003" s="5" t="n">
        <v>4</v>
      </c>
      <c r="H1003" s="5" t="s">
        <v>53</v>
      </c>
      <c r="I1003" s="5" t="s">
        <v>54</v>
      </c>
      <c r="J1003" s="5" t="s">
        <v>181</v>
      </c>
      <c r="K1003" s="5" t="s">
        <v>413</v>
      </c>
      <c r="L1003" s="5" t="n">
        <v>5</v>
      </c>
      <c r="M1003" s="5" t="n">
        <v>3</v>
      </c>
      <c r="N1003" s="5" t="n">
        <v>3</v>
      </c>
      <c r="O1003" s="5" t="n">
        <v>8</v>
      </c>
      <c r="P1003" s="5" t="n">
        <v>-2.5</v>
      </c>
      <c r="Q1003" s="5" t="n">
        <v>1</v>
      </c>
      <c r="R1003" s="5" t="n">
        <v>4</v>
      </c>
      <c r="S1003" s="5" t="n">
        <v>3</v>
      </c>
      <c r="T1003" s="5" t="s">
        <v>735</v>
      </c>
      <c r="U1003" s="6"/>
      <c r="V1003" s="6"/>
      <c r="W1003" s="6"/>
      <c r="X1003" s="6"/>
      <c r="Y1003" s="7" t="str">
        <f aca="false">IF(COUNT(U1003:X1003)=4,(W1003-X1003)/2,"")</f>
        <v/>
      </c>
      <c r="Z1003" s="7" t="str">
        <f aca="false">IF(COUNT(U1003:X1003)=4,(U1003-V1003)/2,"")</f>
        <v/>
      </c>
      <c r="AA1003" s="7" t="str">
        <f aca="false">IF(COUNT(U1003:X1003)=4,MAX(1,MIN(10,ROUNDUP(5-Z1003,0))),"")</f>
        <v/>
      </c>
      <c r="AB1003" s="7" t="str">
        <f aca="false">IF(COUNT(U1003:X1003)=4,MAX(1,MIN(10,ROUNDUP(Y1003+5,0))),"")</f>
        <v/>
      </c>
      <c r="AC1003" s="6"/>
      <c r="AD1003" s="6"/>
    </row>
    <row r="1004" customFormat="false" ht="15" hidden="false" customHeight="true" outlineLevel="0" collapsed="false">
      <c r="A1004" s="5" t="n">
        <v>1003</v>
      </c>
      <c r="B1004" s="5" t="s">
        <v>2529</v>
      </c>
      <c r="C1004" s="5" t="s">
        <v>171</v>
      </c>
      <c r="D1004" s="5" t="s">
        <v>172</v>
      </c>
      <c r="E1004" s="5" t="n">
        <v>111</v>
      </c>
      <c r="F1004" s="5" t="s">
        <v>2530</v>
      </c>
      <c r="G1004" s="5" t="n">
        <v>4</v>
      </c>
      <c r="H1004" s="5" t="s">
        <v>53</v>
      </c>
      <c r="I1004" s="5" t="s">
        <v>54</v>
      </c>
      <c r="J1004" s="5" t="s">
        <v>181</v>
      </c>
      <c r="K1004" s="5" t="s">
        <v>593</v>
      </c>
      <c r="L1004" s="5" t="n">
        <v>3</v>
      </c>
      <c r="M1004" s="5" t="n">
        <v>6</v>
      </c>
      <c r="N1004" s="5" t="n">
        <v>7</v>
      </c>
      <c r="O1004" s="5" t="n">
        <v>3</v>
      </c>
      <c r="P1004" s="5" t="n">
        <v>2</v>
      </c>
      <c r="Q1004" s="5" t="n">
        <v>-1.5</v>
      </c>
      <c r="R1004" s="5" t="n">
        <v>7</v>
      </c>
      <c r="S1004" s="5" t="n">
        <v>7</v>
      </c>
      <c r="T1004" s="5" t="s">
        <v>2531</v>
      </c>
      <c r="U1004" s="6"/>
      <c r="V1004" s="6"/>
      <c r="W1004" s="6"/>
      <c r="X1004" s="6"/>
      <c r="Y1004" s="7" t="str">
        <f aca="false">IF(COUNT(U1004:X1004)=4,(W1004-X1004)/2,"")</f>
        <v/>
      </c>
      <c r="Z1004" s="7" t="str">
        <f aca="false">IF(COUNT(U1004:X1004)=4,(U1004-V1004)/2,"")</f>
        <v/>
      </c>
      <c r="AA1004" s="7" t="str">
        <f aca="false">IF(COUNT(U1004:X1004)=4,MAX(1,MIN(10,ROUNDUP(5-Z1004,0))),"")</f>
        <v/>
      </c>
      <c r="AB1004" s="7" t="str">
        <f aca="false">IF(COUNT(U1004:X1004)=4,MAX(1,MIN(10,ROUNDUP(Y1004+5,0))),"")</f>
        <v/>
      </c>
      <c r="AC1004" s="6"/>
      <c r="AD1004" s="6"/>
    </row>
    <row r="1005" customFormat="false" ht="15" hidden="false" customHeight="true" outlineLevel="0" collapsed="false">
      <c r="A1005" s="5" t="n">
        <v>1004</v>
      </c>
      <c r="B1005" s="5" t="s">
        <v>2532</v>
      </c>
      <c r="C1005" s="5" t="s">
        <v>171</v>
      </c>
      <c r="D1005" s="5" t="s">
        <v>172</v>
      </c>
      <c r="E1005" s="5" t="n">
        <v>111</v>
      </c>
      <c r="F1005" s="5" t="s">
        <v>2533</v>
      </c>
      <c r="G1005" s="5" t="n">
        <v>4</v>
      </c>
      <c r="H1005" s="5" t="s">
        <v>53</v>
      </c>
      <c r="I1005" s="5" t="s">
        <v>54</v>
      </c>
      <c r="J1005" s="5" t="s">
        <v>181</v>
      </c>
      <c r="K1005" s="5" t="s">
        <v>333</v>
      </c>
      <c r="L1005" s="5" t="n">
        <v>3</v>
      </c>
      <c r="M1005" s="5" t="n">
        <v>5</v>
      </c>
      <c r="N1005" s="5" t="n">
        <v>8</v>
      </c>
      <c r="O1005" s="5" t="n">
        <v>2</v>
      </c>
      <c r="P1005" s="5" t="n">
        <v>3</v>
      </c>
      <c r="Q1005" s="5" t="n">
        <v>-1</v>
      </c>
      <c r="R1005" s="5" t="n">
        <v>6</v>
      </c>
      <c r="S1005" s="5" t="n">
        <v>8</v>
      </c>
      <c r="T1005" s="5" t="s">
        <v>2534</v>
      </c>
      <c r="U1005" s="6"/>
      <c r="V1005" s="6"/>
      <c r="W1005" s="6"/>
      <c r="X1005" s="6"/>
      <c r="Y1005" s="7" t="str">
        <f aca="false">IF(COUNT(U1005:X1005)=4,(W1005-X1005)/2,"")</f>
        <v/>
      </c>
      <c r="Z1005" s="7" t="str">
        <f aca="false">IF(COUNT(U1005:X1005)=4,(U1005-V1005)/2,"")</f>
        <v/>
      </c>
      <c r="AA1005" s="7" t="str">
        <f aca="false">IF(COUNT(U1005:X1005)=4,MAX(1,MIN(10,ROUNDUP(5-Z1005,0))),"")</f>
        <v/>
      </c>
      <c r="AB1005" s="7" t="str">
        <f aca="false">IF(COUNT(U1005:X1005)=4,MAX(1,MIN(10,ROUNDUP(Y1005+5,0))),"")</f>
        <v/>
      </c>
      <c r="AC1005" s="6"/>
      <c r="AD1005" s="6"/>
    </row>
    <row r="1006" customFormat="false" ht="15" hidden="false" customHeight="true" outlineLevel="0" collapsed="false">
      <c r="A1006" s="5" t="n">
        <v>1005</v>
      </c>
      <c r="B1006" s="5" t="s">
        <v>2535</v>
      </c>
      <c r="C1006" s="5" t="s">
        <v>145</v>
      </c>
      <c r="D1006" s="5" t="s">
        <v>51</v>
      </c>
      <c r="E1006" s="5" t="n">
        <v>111</v>
      </c>
      <c r="F1006" s="5" t="s">
        <v>2536</v>
      </c>
      <c r="G1006" s="5" t="n">
        <v>4</v>
      </c>
      <c r="H1006" s="5" t="s">
        <v>53</v>
      </c>
      <c r="I1006" s="5" t="s">
        <v>54</v>
      </c>
      <c r="J1006" s="5" t="s">
        <v>181</v>
      </c>
      <c r="K1006" s="5" t="s">
        <v>443</v>
      </c>
      <c r="L1006" s="5" t="n">
        <v>6</v>
      </c>
      <c r="M1006" s="5" t="n">
        <v>3</v>
      </c>
      <c r="N1006" s="5" t="n">
        <v>4</v>
      </c>
      <c r="O1006" s="5" t="n">
        <v>8</v>
      </c>
      <c r="P1006" s="5" t="n">
        <v>-2</v>
      </c>
      <c r="Q1006" s="5" t="n">
        <v>1.5</v>
      </c>
      <c r="R1006" s="5" t="n">
        <v>4</v>
      </c>
      <c r="S1006" s="5" t="n">
        <v>3</v>
      </c>
      <c r="T1006" s="5" t="s">
        <v>2537</v>
      </c>
      <c r="U1006" s="6"/>
      <c r="V1006" s="6"/>
      <c r="W1006" s="6"/>
      <c r="X1006" s="6"/>
      <c r="Y1006" s="7" t="str">
        <f aca="false">IF(COUNT(U1006:X1006)=4,(W1006-X1006)/2,"")</f>
        <v/>
      </c>
      <c r="Z1006" s="7" t="str">
        <f aca="false">IF(COUNT(U1006:X1006)=4,(U1006-V1006)/2,"")</f>
        <v/>
      </c>
      <c r="AA1006" s="7" t="str">
        <f aca="false">IF(COUNT(U1006:X1006)=4,MAX(1,MIN(10,ROUNDUP(5-Z1006,0))),"")</f>
        <v/>
      </c>
      <c r="AB1006" s="7" t="str">
        <f aca="false">IF(COUNT(U1006:X1006)=4,MAX(1,MIN(10,ROUNDUP(Y1006+5,0))),"")</f>
        <v/>
      </c>
      <c r="AC1006" s="6"/>
      <c r="AD1006" s="6"/>
    </row>
    <row r="1007" customFormat="false" ht="15" hidden="false" customHeight="true" outlineLevel="0" collapsed="false">
      <c r="A1007" s="5" t="n">
        <v>1006</v>
      </c>
      <c r="B1007" s="5" t="s">
        <v>2538</v>
      </c>
      <c r="C1007" s="5" t="s">
        <v>203</v>
      </c>
      <c r="D1007" s="5" t="s">
        <v>204</v>
      </c>
      <c r="E1007" s="5" t="n">
        <v>111</v>
      </c>
      <c r="F1007" s="5" t="s">
        <v>2539</v>
      </c>
      <c r="G1007" s="5" t="n">
        <v>4</v>
      </c>
      <c r="H1007" s="5" t="s">
        <v>53</v>
      </c>
      <c r="I1007" s="5" t="s">
        <v>54</v>
      </c>
      <c r="J1007" s="5" t="s">
        <v>117</v>
      </c>
      <c r="K1007" s="5" t="s">
        <v>117</v>
      </c>
      <c r="L1007" s="5" t="n">
        <v>3</v>
      </c>
      <c r="M1007" s="5" t="n">
        <v>1</v>
      </c>
      <c r="N1007" s="5" t="n">
        <v>2</v>
      </c>
      <c r="O1007" s="5" t="n">
        <v>8</v>
      </c>
      <c r="P1007" s="5" t="n">
        <v>-3</v>
      </c>
      <c r="Q1007" s="5" t="n">
        <v>1</v>
      </c>
      <c r="R1007" s="5" t="n">
        <v>4</v>
      </c>
      <c r="S1007" s="5" t="n">
        <v>2</v>
      </c>
      <c r="T1007" s="5" t="s">
        <v>2540</v>
      </c>
      <c r="U1007" s="6"/>
      <c r="V1007" s="6"/>
      <c r="W1007" s="6"/>
      <c r="X1007" s="6"/>
      <c r="Y1007" s="7" t="str">
        <f aca="false">IF(COUNT(U1007:X1007)=4,(W1007-X1007)/2,"")</f>
        <v/>
      </c>
      <c r="Z1007" s="7" t="str">
        <f aca="false">IF(COUNT(U1007:X1007)=4,(U1007-V1007)/2,"")</f>
        <v/>
      </c>
      <c r="AA1007" s="7" t="str">
        <f aca="false">IF(COUNT(U1007:X1007)=4,MAX(1,MIN(10,ROUNDUP(5-Z1007,0))),"")</f>
        <v/>
      </c>
      <c r="AB1007" s="7" t="str">
        <f aca="false">IF(COUNT(U1007:X1007)=4,MAX(1,MIN(10,ROUNDUP(Y1007+5,0))),"")</f>
        <v/>
      </c>
      <c r="AC1007" s="6"/>
      <c r="AD1007" s="6"/>
    </row>
    <row r="1008" customFormat="false" ht="15" hidden="false" customHeight="true" outlineLevel="0" collapsed="false">
      <c r="A1008" s="5" t="n">
        <v>1007</v>
      </c>
      <c r="B1008" s="5" t="s">
        <v>2541</v>
      </c>
      <c r="C1008" s="5" t="s">
        <v>145</v>
      </c>
      <c r="D1008" s="5" t="s">
        <v>51</v>
      </c>
      <c r="E1008" s="5" t="n">
        <v>111</v>
      </c>
      <c r="F1008" s="5" t="s">
        <v>2542</v>
      </c>
      <c r="G1008" s="5" t="n">
        <v>4</v>
      </c>
      <c r="H1008" s="5" t="s">
        <v>53</v>
      </c>
      <c r="I1008" s="5" t="s">
        <v>54</v>
      </c>
      <c r="J1008" s="5" t="s">
        <v>181</v>
      </c>
      <c r="K1008" s="5" t="s">
        <v>235</v>
      </c>
      <c r="L1008" s="5" t="n">
        <v>4</v>
      </c>
      <c r="M1008" s="5" t="n">
        <v>4</v>
      </c>
      <c r="N1008" s="5" t="n">
        <v>7</v>
      </c>
      <c r="O1008" s="5" t="n">
        <v>4</v>
      </c>
      <c r="P1008" s="5" t="n">
        <v>1.5</v>
      </c>
      <c r="Q1008" s="5" t="n">
        <v>0</v>
      </c>
      <c r="R1008" s="5" t="n">
        <v>5</v>
      </c>
      <c r="S1008" s="5" t="n">
        <v>7</v>
      </c>
      <c r="T1008" s="5" t="s">
        <v>2543</v>
      </c>
      <c r="U1008" s="6"/>
      <c r="V1008" s="6"/>
      <c r="W1008" s="6"/>
      <c r="X1008" s="6"/>
      <c r="Y1008" s="7" t="str">
        <f aca="false">IF(COUNT(U1008:X1008)=4,(W1008-X1008)/2,"")</f>
        <v/>
      </c>
      <c r="Z1008" s="7" t="str">
        <f aca="false">IF(COUNT(U1008:X1008)=4,(U1008-V1008)/2,"")</f>
        <v/>
      </c>
      <c r="AA1008" s="7" t="str">
        <f aca="false">IF(COUNT(U1008:X1008)=4,MAX(1,MIN(10,ROUNDUP(5-Z1008,0))),"")</f>
        <v/>
      </c>
      <c r="AB1008" s="7" t="str">
        <f aca="false">IF(COUNT(U1008:X1008)=4,MAX(1,MIN(10,ROUNDUP(Y1008+5,0))),"")</f>
        <v/>
      </c>
      <c r="AC1008" s="6"/>
      <c r="AD1008" s="6"/>
    </row>
    <row r="1009" customFormat="false" ht="15" hidden="false" customHeight="true" outlineLevel="0" collapsed="false">
      <c r="A1009" s="5" t="n">
        <v>1008</v>
      </c>
      <c r="B1009" s="5" t="s">
        <v>2544</v>
      </c>
      <c r="C1009" s="5" t="s">
        <v>145</v>
      </c>
      <c r="D1009" s="5" t="s">
        <v>51</v>
      </c>
      <c r="E1009" s="5" t="n">
        <v>111</v>
      </c>
      <c r="F1009" s="5" t="s">
        <v>2545</v>
      </c>
      <c r="G1009" s="5" t="n">
        <v>4</v>
      </c>
      <c r="H1009" s="5" t="s">
        <v>53</v>
      </c>
      <c r="I1009" s="5" t="s">
        <v>54</v>
      </c>
      <c r="J1009" s="5" t="s">
        <v>181</v>
      </c>
      <c r="K1009" s="5" t="s">
        <v>333</v>
      </c>
      <c r="L1009" s="5" t="n">
        <v>2</v>
      </c>
      <c r="M1009" s="5" t="n">
        <v>4</v>
      </c>
      <c r="N1009" s="5" t="n">
        <v>8</v>
      </c>
      <c r="O1009" s="5" t="n">
        <v>2</v>
      </c>
      <c r="P1009" s="5" t="n">
        <v>3</v>
      </c>
      <c r="Q1009" s="5" t="n">
        <v>-1</v>
      </c>
      <c r="R1009" s="5" t="n">
        <v>6</v>
      </c>
      <c r="S1009" s="5" t="n">
        <v>8</v>
      </c>
      <c r="T1009" s="5" t="s">
        <v>2546</v>
      </c>
      <c r="U1009" s="6"/>
      <c r="V1009" s="6"/>
      <c r="W1009" s="6"/>
      <c r="X1009" s="6"/>
      <c r="Y1009" s="7" t="str">
        <f aca="false">IF(COUNT(U1009:X1009)=4,(W1009-X1009)/2,"")</f>
        <v/>
      </c>
      <c r="Z1009" s="7" t="str">
        <f aca="false">IF(COUNT(U1009:X1009)=4,(U1009-V1009)/2,"")</f>
        <v/>
      </c>
      <c r="AA1009" s="7" t="str">
        <f aca="false">IF(COUNT(U1009:X1009)=4,MAX(1,MIN(10,ROUNDUP(5-Z1009,0))),"")</f>
        <v/>
      </c>
      <c r="AB1009" s="7" t="str">
        <f aca="false">IF(COUNT(U1009:X1009)=4,MAX(1,MIN(10,ROUNDUP(Y1009+5,0))),"")</f>
        <v/>
      </c>
      <c r="AC1009" s="6"/>
      <c r="AD1009" s="6"/>
    </row>
    <row r="1010" customFormat="false" ht="15" hidden="false" customHeight="true" outlineLevel="0" collapsed="false">
      <c r="A1010" s="5" t="n">
        <v>1009</v>
      </c>
      <c r="B1010" s="5" t="s">
        <v>2547</v>
      </c>
      <c r="C1010" s="5" t="s">
        <v>45</v>
      </c>
      <c r="D1010" s="5" t="s">
        <v>46</v>
      </c>
      <c r="E1010" s="5" t="n">
        <v>111</v>
      </c>
      <c r="F1010" s="5" t="s">
        <v>2547</v>
      </c>
      <c r="G1010" s="5" t="n">
        <v>1</v>
      </c>
      <c r="H1010" s="5" t="s">
        <v>47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 t="s">
        <v>2548</v>
      </c>
      <c r="U1010" s="6"/>
      <c r="V1010" s="6"/>
      <c r="W1010" s="6"/>
      <c r="X1010" s="6"/>
      <c r="Y1010" s="7" t="str">
        <f aca="false">IF(COUNT(U1010:X1010)=4,(W1010-X1010)/2,"")</f>
        <v/>
      </c>
      <c r="Z1010" s="7" t="str">
        <f aca="false">IF(COUNT(U1010:X1010)=4,(U1010-V1010)/2,"")</f>
        <v/>
      </c>
      <c r="AA1010" s="7" t="str">
        <f aca="false">IF(COUNT(U1010:X1010)=4,MAX(1,MIN(10,ROUNDUP(5-Z1010,0))),"")</f>
        <v/>
      </c>
      <c r="AB1010" s="7" t="str">
        <f aca="false">IF(COUNT(U1010:X1010)=4,MAX(1,MIN(10,ROUNDUP(Y1010+5,0))),"")</f>
        <v/>
      </c>
      <c r="AC1010" s="6"/>
      <c r="AD1010" s="6"/>
    </row>
    <row r="1011" customFormat="false" ht="15" hidden="false" customHeight="true" outlineLevel="0" collapsed="false">
      <c r="A1011" s="5" t="n">
        <v>1010</v>
      </c>
      <c r="B1011" s="5" t="s">
        <v>2549</v>
      </c>
      <c r="C1011" s="5" t="s">
        <v>108</v>
      </c>
      <c r="D1011" s="5" t="s">
        <v>109</v>
      </c>
      <c r="E1011" s="5" t="n">
        <v>110</v>
      </c>
      <c r="F1011" s="5" t="s">
        <v>2549</v>
      </c>
      <c r="G1011" s="5" t="n">
        <v>4</v>
      </c>
      <c r="H1011" s="5" t="s">
        <v>53</v>
      </c>
      <c r="I1011" s="5" t="s">
        <v>54</v>
      </c>
      <c r="J1011" s="5" t="s">
        <v>117</v>
      </c>
      <c r="K1011" s="5" t="s">
        <v>117</v>
      </c>
      <c r="L1011" s="5" t="n">
        <v>3</v>
      </c>
      <c r="M1011" s="5" t="n">
        <v>1</v>
      </c>
      <c r="N1011" s="5" t="n">
        <v>2</v>
      </c>
      <c r="O1011" s="5" t="n">
        <v>7</v>
      </c>
      <c r="P1011" s="5" t="n">
        <v>-2.5</v>
      </c>
      <c r="Q1011" s="5" t="n">
        <v>1</v>
      </c>
      <c r="R1011" s="5" t="n">
        <v>4</v>
      </c>
      <c r="S1011" s="5" t="n">
        <v>3</v>
      </c>
      <c r="T1011" s="5" t="s">
        <v>2550</v>
      </c>
      <c r="U1011" s="6"/>
      <c r="V1011" s="6"/>
      <c r="W1011" s="6"/>
      <c r="X1011" s="6"/>
      <c r="Y1011" s="7" t="str">
        <f aca="false">IF(COUNT(U1011:X1011)=4,(W1011-X1011)/2,"")</f>
        <v/>
      </c>
      <c r="Z1011" s="7" t="str">
        <f aca="false">IF(COUNT(U1011:X1011)=4,(U1011-V1011)/2,"")</f>
        <v/>
      </c>
      <c r="AA1011" s="7" t="str">
        <f aca="false">IF(COUNT(U1011:X1011)=4,MAX(1,MIN(10,ROUNDUP(5-Z1011,0))),"")</f>
        <v/>
      </c>
      <c r="AB1011" s="7" t="str">
        <f aca="false">IF(COUNT(U1011:X1011)=4,MAX(1,MIN(10,ROUNDUP(Y1011+5,0))),"")</f>
        <v/>
      </c>
      <c r="AC1011" s="6"/>
      <c r="AD1011" s="6"/>
    </row>
    <row r="1012" customFormat="false" ht="15" hidden="false" customHeight="true" outlineLevel="0" collapsed="false">
      <c r="A1012" s="5" t="n">
        <v>1011</v>
      </c>
      <c r="B1012" s="5" t="s">
        <v>2551</v>
      </c>
      <c r="C1012" s="5" t="s">
        <v>171</v>
      </c>
      <c r="D1012" s="5" t="s">
        <v>172</v>
      </c>
      <c r="E1012" s="5" t="n">
        <v>110</v>
      </c>
      <c r="F1012" s="5" t="s">
        <v>2551</v>
      </c>
      <c r="G1012" s="5" t="n">
        <v>4</v>
      </c>
      <c r="H1012" s="5" t="s">
        <v>53</v>
      </c>
      <c r="I1012" s="5" t="s">
        <v>81</v>
      </c>
      <c r="J1012" s="5" t="s">
        <v>174</v>
      </c>
      <c r="K1012" s="5" t="s">
        <v>309</v>
      </c>
      <c r="L1012" s="5" t="n">
        <v>6</v>
      </c>
      <c r="M1012" s="5" t="n">
        <v>2</v>
      </c>
      <c r="N1012" s="5" t="n">
        <v>3</v>
      </c>
      <c r="O1012" s="5" t="n">
        <v>8</v>
      </c>
      <c r="P1012" s="5" t="n">
        <v>-2.5</v>
      </c>
      <c r="Q1012" s="5" t="n">
        <v>2</v>
      </c>
      <c r="R1012" s="5" t="n">
        <v>3</v>
      </c>
      <c r="S1012" s="5" t="n">
        <v>3</v>
      </c>
      <c r="T1012" s="5" t="s">
        <v>519</v>
      </c>
      <c r="U1012" s="6"/>
      <c r="V1012" s="6"/>
      <c r="W1012" s="6"/>
      <c r="X1012" s="6"/>
      <c r="Y1012" s="7" t="str">
        <f aca="false">IF(COUNT(U1012:X1012)=4,(W1012-X1012)/2,"")</f>
        <v/>
      </c>
      <c r="Z1012" s="7" t="str">
        <f aca="false">IF(COUNT(U1012:X1012)=4,(U1012-V1012)/2,"")</f>
        <v/>
      </c>
      <c r="AA1012" s="7" t="str">
        <f aca="false">IF(COUNT(U1012:X1012)=4,MAX(1,MIN(10,ROUNDUP(5-Z1012,0))),"")</f>
        <v/>
      </c>
      <c r="AB1012" s="7" t="str">
        <f aca="false">IF(COUNT(U1012:X1012)=4,MAX(1,MIN(10,ROUNDUP(Y1012+5,0))),"")</f>
        <v/>
      </c>
      <c r="AC1012" s="6"/>
      <c r="AD1012" s="6"/>
    </row>
    <row r="1013" customFormat="false" ht="15" hidden="false" customHeight="true" outlineLevel="0" collapsed="false">
      <c r="A1013" s="5" t="n">
        <v>1012</v>
      </c>
      <c r="B1013" s="5" t="s">
        <v>2552</v>
      </c>
      <c r="C1013" s="5" t="s">
        <v>171</v>
      </c>
      <c r="D1013" s="5" t="s">
        <v>172</v>
      </c>
      <c r="E1013" s="5" t="n">
        <v>110</v>
      </c>
      <c r="F1013" s="5" t="s">
        <v>2552</v>
      </c>
      <c r="G1013" s="5" t="n">
        <v>4</v>
      </c>
      <c r="H1013" s="5" t="s">
        <v>53</v>
      </c>
      <c r="I1013" s="5" t="s">
        <v>54</v>
      </c>
      <c r="J1013" s="5" t="s">
        <v>181</v>
      </c>
      <c r="K1013" s="5" t="s">
        <v>221</v>
      </c>
      <c r="L1013" s="5" t="n">
        <v>2</v>
      </c>
      <c r="M1013" s="5" t="n">
        <v>5</v>
      </c>
      <c r="N1013" s="5" t="n">
        <v>6</v>
      </c>
      <c r="O1013" s="5" t="n">
        <v>5</v>
      </c>
      <c r="P1013" s="5" t="n">
        <v>0.5</v>
      </c>
      <c r="Q1013" s="5" t="n">
        <v>-1.5</v>
      </c>
      <c r="R1013" s="5" t="n">
        <v>7</v>
      </c>
      <c r="S1013" s="5" t="n">
        <v>6</v>
      </c>
      <c r="T1013" s="5" t="s">
        <v>2553</v>
      </c>
      <c r="U1013" s="6"/>
      <c r="V1013" s="6"/>
      <c r="W1013" s="6"/>
      <c r="X1013" s="6"/>
      <c r="Y1013" s="7" t="str">
        <f aca="false">IF(COUNT(U1013:X1013)=4,(W1013-X1013)/2,"")</f>
        <v/>
      </c>
      <c r="Z1013" s="7" t="str">
        <f aca="false">IF(COUNT(U1013:X1013)=4,(U1013-V1013)/2,"")</f>
        <v/>
      </c>
      <c r="AA1013" s="7" t="str">
        <f aca="false">IF(COUNT(U1013:X1013)=4,MAX(1,MIN(10,ROUNDUP(5-Z1013,0))),"")</f>
        <v/>
      </c>
      <c r="AB1013" s="7" t="str">
        <f aca="false">IF(COUNT(U1013:X1013)=4,MAX(1,MIN(10,ROUNDUP(Y1013+5,0))),"")</f>
        <v/>
      </c>
      <c r="AC1013" s="6"/>
      <c r="AD1013" s="6"/>
    </row>
    <row r="1014" customFormat="false" ht="15" hidden="false" customHeight="true" outlineLevel="0" collapsed="false">
      <c r="A1014" s="5" t="n">
        <v>1013</v>
      </c>
      <c r="B1014" s="5" t="s">
        <v>2554</v>
      </c>
      <c r="C1014" s="5" t="s">
        <v>171</v>
      </c>
      <c r="D1014" s="5" t="s">
        <v>172</v>
      </c>
      <c r="E1014" s="5" t="n">
        <v>110</v>
      </c>
      <c r="F1014" s="5" t="s">
        <v>2555</v>
      </c>
      <c r="G1014" s="5" t="n">
        <v>4</v>
      </c>
      <c r="H1014" s="5" t="s">
        <v>53</v>
      </c>
      <c r="I1014" s="5" t="s">
        <v>54</v>
      </c>
      <c r="J1014" s="5" t="s">
        <v>181</v>
      </c>
      <c r="K1014" s="5" t="s">
        <v>235</v>
      </c>
      <c r="L1014" s="5" t="n">
        <v>6</v>
      </c>
      <c r="M1014" s="5" t="n">
        <v>4</v>
      </c>
      <c r="N1014" s="5" t="n">
        <v>7</v>
      </c>
      <c r="O1014" s="5" t="n">
        <v>4</v>
      </c>
      <c r="P1014" s="5" t="n">
        <v>1.5</v>
      </c>
      <c r="Q1014" s="5" t="n">
        <v>1</v>
      </c>
      <c r="R1014" s="5" t="n">
        <v>4</v>
      </c>
      <c r="S1014" s="5" t="n">
        <v>7</v>
      </c>
      <c r="T1014" s="5" t="s">
        <v>889</v>
      </c>
      <c r="U1014" s="6"/>
      <c r="V1014" s="6"/>
      <c r="W1014" s="6"/>
      <c r="X1014" s="6"/>
      <c r="Y1014" s="7" t="str">
        <f aca="false">IF(COUNT(U1014:X1014)=4,(W1014-X1014)/2,"")</f>
        <v/>
      </c>
      <c r="Z1014" s="7" t="str">
        <f aca="false">IF(COUNT(U1014:X1014)=4,(U1014-V1014)/2,"")</f>
        <v/>
      </c>
      <c r="AA1014" s="7" t="str">
        <f aca="false">IF(COUNT(U1014:X1014)=4,MAX(1,MIN(10,ROUNDUP(5-Z1014,0))),"")</f>
        <v/>
      </c>
      <c r="AB1014" s="7" t="str">
        <f aca="false">IF(COUNT(U1014:X1014)=4,MAX(1,MIN(10,ROUNDUP(Y1014+5,0))),"")</f>
        <v/>
      </c>
      <c r="AC1014" s="6"/>
      <c r="AD1014" s="6"/>
    </row>
    <row r="1015" customFormat="false" ht="15" hidden="false" customHeight="true" outlineLevel="0" collapsed="false">
      <c r="A1015" s="5" t="n">
        <v>1014</v>
      </c>
      <c r="B1015" s="5" t="s">
        <v>2556</v>
      </c>
      <c r="C1015" s="5" t="s">
        <v>171</v>
      </c>
      <c r="D1015" s="5" t="s">
        <v>172</v>
      </c>
      <c r="E1015" s="5" t="n">
        <v>110</v>
      </c>
      <c r="F1015" s="5" t="s">
        <v>2557</v>
      </c>
      <c r="G1015" s="5" t="n">
        <v>4</v>
      </c>
      <c r="H1015" s="5" t="s">
        <v>53</v>
      </c>
      <c r="I1015" s="5" t="s">
        <v>81</v>
      </c>
      <c r="J1015" s="5" t="s">
        <v>174</v>
      </c>
      <c r="K1015" s="5" t="s">
        <v>347</v>
      </c>
      <c r="L1015" s="5" t="n">
        <v>5</v>
      </c>
      <c r="M1015" s="5" t="n">
        <v>2</v>
      </c>
      <c r="N1015" s="5" t="n">
        <v>9</v>
      </c>
      <c r="O1015" s="5" t="n">
        <v>2</v>
      </c>
      <c r="P1015" s="5" t="n">
        <v>3.5</v>
      </c>
      <c r="Q1015" s="5" t="n">
        <v>1.5</v>
      </c>
      <c r="R1015" s="5" t="n">
        <v>4</v>
      </c>
      <c r="S1015" s="5" t="n">
        <v>9</v>
      </c>
      <c r="T1015" s="5" t="s">
        <v>2558</v>
      </c>
      <c r="U1015" s="6"/>
      <c r="V1015" s="6"/>
      <c r="W1015" s="6"/>
      <c r="X1015" s="6"/>
      <c r="Y1015" s="7" t="str">
        <f aca="false">IF(COUNT(U1015:X1015)=4,(W1015-X1015)/2,"")</f>
        <v/>
      </c>
      <c r="Z1015" s="7" t="str">
        <f aca="false">IF(COUNT(U1015:X1015)=4,(U1015-V1015)/2,"")</f>
        <v/>
      </c>
      <c r="AA1015" s="7" t="str">
        <f aca="false">IF(COUNT(U1015:X1015)=4,MAX(1,MIN(10,ROUNDUP(5-Z1015,0))),"")</f>
        <v/>
      </c>
      <c r="AB1015" s="7" t="str">
        <f aca="false">IF(COUNT(U1015:X1015)=4,MAX(1,MIN(10,ROUNDUP(Y1015+5,0))),"")</f>
        <v/>
      </c>
      <c r="AC1015" s="6"/>
      <c r="AD1015" s="6"/>
    </row>
    <row r="1016" customFormat="false" ht="15" hidden="false" customHeight="true" outlineLevel="0" collapsed="false">
      <c r="A1016" s="5" t="n">
        <v>1015</v>
      </c>
      <c r="B1016" s="5" t="s">
        <v>2559</v>
      </c>
      <c r="C1016" s="5" t="s">
        <v>145</v>
      </c>
      <c r="D1016" s="5" t="s">
        <v>51</v>
      </c>
      <c r="E1016" s="5" t="n">
        <v>110</v>
      </c>
      <c r="F1016" s="5" t="s">
        <v>2560</v>
      </c>
      <c r="G1016" s="5" t="n">
        <v>4</v>
      </c>
      <c r="H1016" s="5" t="s">
        <v>53</v>
      </c>
      <c r="I1016" s="5" t="s">
        <v>54</v>
      </c>
      <c r="J1016" s="5" t="s">
        <v>55</v>
      </c>
      <c r="K1016" s="5" t="s">
        <v>55</v>
      </c>
      <c r="L1016" s="5" t="n">
        <v>4</v>
      </c>
      <c r="M1016" s="5" t="n">
        <v>3</v>
      </c>
      <c r="N1016" s="5" t="n">
        <v>6</v>
      </c>
      <c r="O1016" s="5" t="n">
        <v>4</v>
      </c>
      <c r="P1016" s="5" t="n">
        <v>1</v>
      </c>
      <c r="Q1016" s="5" t="n">
        <v>0.5</v>
      </c>
      <c r="R1016" s="5" t="n">
        <v>5</v>
      </c>
      <c r="S1016" s="5" t="n">
        <v>6</v>
      </c>
      <c r="T1016" s="5" t="s">
        <v>2561</v>
      </c>
      <c r="U1016" s="6"/>
      <c r="V1016" s="6"/>
      <c r="W1016" s="6"/>
      <c r="X1016" s="6"/>
      <c r="Y1016" s="7" t="str">
        <f aca="false">IF(COUNT(U1016:X1016)=4,(W1016-X1016)/2,"")</f>
        <v/>
      </c>
      <c r="Z1016" s="7" t="str">
        <f aca="false">IF(COUNT(U1016:X1016)=4,(U1016-V1016)/2,"")</f>
        <v/>
      </c>
      <c r="AA1016" s="7" t="str">
        <f aca="false">IF(COUNT(U1016:X1016)=4,MAX(1,MIN(10,ROUNDUP(5-Z1016,0))),"")</f>
        <v/>
      </c>
      <c r="AB1016" s="7" t="str">
        <f aca="false">IF(COUNT(U1016:X1016)=4,MAX(1,MIN(10,ROUNDUP(Y1016+5,0))),"")</f>
        <v/>
      </c>
      <c r="AC1016" s="6"/>
      <c r="AD1016" s="6"/>
    </row>
    <row r="1017" customFormat="false" ht="15" hidden="false" customHeight="true" outlineLevel="0" collapsed="false">
      <c r="A1017" s="5" t="n">
        <v>1016</v>
      </c>
      <c r="B1017" s="5" t="s">
        <v>2562</v>
      </c>
      <c r="C1017" s="5" t="s">
        <v>171</v>
      </c>
      <c r="D1017" s="5" t="s">
        <v>172</v>
      </c>
      <c r="E1017" s="5" t="n">
        <v>110</v>
      </c>
      <c r="F1017" s="5" t="s">
        <v>2563</v>
      </c>
      <c r="G1017" s="5" t="n">
        <v>4</v>
      </c>
      <c r="H1017" s="5" t="s">
        <v>53</v>
      </c>
      <c r="I1017" s="5" t="s">
        <v>54</v>
      </c>
      <c r="J1017" s="5" t="s">
        <v>181</v>
      </c>
      <c r="K1017" s="5" t="s">
        <v>673</v>
      </c>
      <c r="L1017" s="5" t="n">
        <v>4</v>
      </c>
      <c r="M1017" s="5" t="n">
        <v>4</v>
      </c>
      <c r="N1017" s="5" t="n">
        <v>5</v>
      </c>
      <c r="O1017" s="5" t="n">
        <v>6</v>
      </c>
      <c r="P1017" s="5" t="n">
        <v>-0.5</v>
      </c>
      <c r="Q1017" s="5" t="n">
        <v>0</v>
      </c>
      <c r="R1017" s="5" t="n">
        <v>5</v>
      </c>
      <c r="S1017" s="5" t="n">
        <v>5</v>
      </c>
      <c r="T1017" s="5" t="s">
        <v>2564</v>
      </c>
      <c r="U1017" s="6"/>
      <c r="V1017" s="6"/>
      <c r="W1017" s="6"/>
      <c r="X1017" s="6"/>
      <c r="Y1017" s="7" t="str">
        <f aca="false">IF(COUNT(U1017:X1017)=4,(W1017-X1017)/2,"")</f>
        <v/>
      </c>
      <c r="Z1017" s="7" t="str">
        <f aca="false">IF(COUNT(U1017:X1017)=4,(U1017-V1017)/2,"")</f>
        <v/>
      </c>
      <c r="AA1017" s="7" t="str">
        <f aca="false">IF(COUNT(U1017:X1017)=4,MAX(1,MIN(10,ROUNDUP(5-Z1017,0))),"")</f>
        <v/>
      </c>
      <c r="AB1017" s="7" t="str">
        <f aca="false">IF(COUNT(U1017:X1017)=4,MAX(1,MIN(10,ROUNDUP(Y1017+5,0))),"")</f>
        <v/>
      </c>
      <c r="AC1017" s="6"/>
      <c r="AD1017" s="6"/>
    </row>
    <row r="1018" customFormat="false" ht="15" hidden="false" customHeight="true" outlineLevel="0" collapsed="false">
      <c r="A1018" s="5" t="n">
        <v>1017</v>
      </c>
      <c r="B1018" s="5" t="s">
        <v>2565</v>
      </c>
      <c r="C1018" s="5" t="s">
        <v>145</v>
      </c>
      <c r="D1018" s="5" t="s">
        <v>51</v>
      </c>
      <c r="E1018" s="5" t="n">
        <v>110</v>
      </c>
      <c r="F1018" s="5" t="s">
        <v>2566</v>
      </c>
      <c r="G1018" s="5" t="n">
        <v>4</v>
      </c>
      <c r="H1018" s="5" t="s">
        <v>53</v>
      </c>
      <c r="I1018" s="5" t="s">
        <v>54</v>
      </c>
      <c r="J1018" s="5" t="s">
        <v>55</v>
      </c>
      <c r="K1018" s="5" t="s">
        <v>55</v>
      </c>
      <c r="L1018" s="5" t="n">
        <v>5</v>
      </c>
      <c r="M1018" s="5" t="n">
        <v>2</v>
      </c>
      <c r="N1018" s="5" t="n">
        <v>4</v>
      </c>
      <c r="O1018" s="5" t="n">
        <v>8</v>
      </c>
      <c r="P1018" s="5" t="n">
        <v>-2</v>
      </c>
      <c r="Q1018" s="5" t="n">
        <v>1.5</v>
      </c>
      <c r="R1018" s="5" t="n">
        <v>4</v>
      </c>
      <c r="S1018" s="5" t="n">
        <v>3</v>
      </c>
      <c r="T1018" s="5" t="s">
        <v>83</v>
      </c>
      <c r="U1018" s="6"/>
      <c r="V1018" s="6"/>
      <c r="W1018" s="6"/>
      <c r="X1018" s="6"/>
      <c r="Y1018" s="7" t="str">
        <f aca="false">IF(COUNT(U1018:X1018)=4,(W1018-X1018)/2,"")</f>
        <v/>
      </c>
      <c r="Z1018" s="7" t="str">
        <f aca="false">IF(COUNT(U1018:X1018)=4,(U1018-V1018)/2,"")</f>
        <v/>
      </c>
      <c r="AA1018" s="7" t="str">
        <f aca="false">IF(COUNT(U1018:X1018)=4,MAX(1,MIN(10,ROUNDUP(5-Z1018,0))),"")</f>
        <v/>
      </c>
      <c r="AB1018" s="7" t="str">
        <f aca="false">IF(COUNT(U1018:X1018)=4,MAX(1,MIN(10,ROUNDUP(Y1018+5,0))),"")</f>
        <v/>
      </c>
      <c r="AC1018" s="6"/>
      <c r="AD1018" s="6"/>
    </row>
    <row r="1019" customFormat="false" ht="15" hidden="false" customHeight="true" outlineLevel="0" collapsed="false">
      <c r="A1019" s="5" t="n">
        <v>1018</v>
      </c>
      <c r="B1019" s="5" t="s">
        <v>2567</v>
      </c>
      <c r="C1019" s="5" t="s">
        <v>145</v>
      </c>
      <c r="D1019" s="5" t="s">
        <v>51</v>
      </c>
      <c r="E1019" s="5" t="n">
        <v>110</v>
      </c>
      <c r="F1019" s="5" t="s">
        <v>2568</v>
      </c>
      <c r="G1019" s="5" t="n">
        <v>4</v>
      </c>
      <c r="H1019" s="5" t="s">
        <v>53</v>
      </c>
      <c r="I1019" s="5" t="s">
        <v>54</v>
      </c>
      <c r="J1019" s="5" t="s">
        <v>181</v>
      </c>
      <c r="K1019" s="5" t="s">
        <v>443</v>
      </c>
      <c r="L1019" s="5" t="n">
        <v>5</v>
      </c>
      <c r="M1019" s="5" t="n">
        <v>3</v>
      </c>
      <c r="N1019" s="5" t="n">
        <v>4</v>
      </c>
      <c r="O1019" s="5" t="n">
        <v>8</v>
      </c>
      <c r="P1019" s="5" t="n">
        <v>-2</v>
      </c>
      <c r="Q1019" s="5" t="n">
        <v>1</v>
      </c>
      <c r="R1019" s="5" t="n">
        <v>4</v>
      </c>
      <c r="S1019" s="5" t="n">
        <v>3</v>
      </c>
      <c r="T1019" s="5" t="s">
        <v>304</v>
      </c>
      <c r="U1019" s="6"/>
      <c r="V1019" s="6"/>
      <c r="W1019" s="6"/>
      <c r="X1019" s="6"/>
      <c r="Y1019" s="7" t="str">
        <f aca="false">IF(COUNT(U1019:X1019)=4,(W1019-X1019)/2,"")</f>
        <v/>
      </c>
      <c r="Z1019" s="7" t="str">
        <f aca="false">IF(COUNT(U1019:X1019)=4,(U1019-V1019)/2,"")</f>
        <v/>
      </c>
      <c r="AA1019" s="7" t="str">
        <f aca="false">IF(COUNT(U1019:X1019)=4,MAX(1,MIN(10,ROUNDUP(5-Z1019,0))),"")</f>
        <v/>
      </c>
      <c r="AB1019" s="7" t="str">
        <f aca="false">IF(COUNT(U1019:X1019)=4,MAX(1,MIN(10,ROUNDUP(Y1019+5,0))),"")</f>
        <v/>
      </c>
      <c r="AC1019" s="6"/>
      <c r="AD1019" s="6"/>
    </row>
    <row r="1020" customFormat="false" ht="15" hidden="false" customHeight="true" outlineLevel="0" collapsed="false">
      <c r="A1020" s="5" t="n">
        <v>1019</v>
      </c>
      <c r="B1020" s="5" t="s">
        <v>2569</v>
      </c>
      <c r="C1020" s="5" t="s">
        <v>171</v>
      </c>
      <c r="D1020" s="5" t="s">
        <v>172</v>
      </c>
      <c r="E1020" s="5" t="n">
        <v>110</v>
      </c>
      <c r="F1020" s="5" t="s">
        <v>2570</v>
      </c>
      <c r="G1020" s="5" t="n">
        <v>4</v>
      </c>
      <c r="H1020" s="5" t="s">
        <v>53</v>
      </c>
      <c r="I1020" s="5" t="s">
        <v>54</v>
      </c>
      <c r="J1020" s="5" t="s">
        <v>181</v>
      </c>
      <c r="K1020" s="5" t="s">
        <v>413</v>
      </c>
      <c r="L1020" s="5" t="n">
        <v>5</v>
      </c>
      <c r="M1020" s="5" t="n">
        <v>3</v>
      </c>
      <c r="N1020" s="5" t="n">
        <v>3</v>
      </c>
      <c r="O1020" s="5" t="n">
        <v>8</v>
      </c>
      <c r="P1020" s="5" t="n">
        <v>-2.5</v>
      </c>
      <c r="Q1020" s="5" t="n">
        <v>1</v>
      </c>
      <c r="R1020" s="5" t="n">
        <v>4</v>
      </c>
      <c r="S1020" s="5" t="n">
        <v>3</v>
      </c>
      <c r="T1020" s="5" t="s">
        <v>2571</v>
      </c>
      <c r="U1020" s="6"/>
      <c r="V1020" s="6"/>
      <c r="W1020" s="6"/>
      <c r="X1020" s="6"/>
      <c r="Y1020" s="7" t="str">
        <f aca="false">IF(COUNT(U1020:X1020)=4,(W1020-X1020)/2,"")</f>
        <v/>
      </c>
      <c r="Z1020" s="7" t="str">
        <f aca="false">IF(COUNT(U1020:X1020)=4,(U1020-V1020)/2,"")</f>
        <v/>
      </c>
      <c r="AA1020" s="7" t="str">
        <f aca="false">IF(COUNT(U1020:X1020)=4,MAX(1,MIN(10,ROUNDUP(5-Z1020,0))),"")</f>
        <v/>
      </c>
      <c r="AB1020" s="7" t="str">
        <f aca="false">IF(COUNT(U1020:X1020)=4,MAX(1,MIN(10,ROUNDUP(Y1020+5,0))),"")</f>
        <v/>
      </c>
      <c r="AC1020" s="6"/>
      <c r="AD1020" s="6"/>
    </row>
    <row r="1021" customFormat="false" ht="15" hidden="false" customHeight="true" outlineLevel="0" collapsed="false">
      <c r="A1021" s="5" t="n">
        <v>1020</v>
      </c>
      <c r="B1021" s="5" t="s">
        <v>2572</v>
      </c>
      <c r="C1021" s="5" t="s">
        <v>145</v>
      </c>
      <c r="D1021" s="5" t="s">
        <v>51</v>
      </c>
      <c r="E1021" s="5" t="n">
        <v>110</v>
      </c>
      <c r="F1021" s="5" t="s">
        <v>2573</v>
      </c>
      <c r="G1021" s="5" t="n">
        <v>4</v>
      </c>
      <c r="H1021" s="5" t="s">
        <v>53</v>
      </c>
      <c r="I1021" s="5" t="s">
        <v>54</v>
      </c>
      <c r="J1021" s="5" t="s">
        <v>55</v>
      </c>
      <c r="K1021" s="5" t="s">
        <v>55</v>
      </c>
      <c r="L1021" s="5" t="n">
        <v>5</v>
      </c>
      <c r="M1021" s="5" t="n">
        <v>2</v>
      </c>
      <c r="N1021" s="5" t="n">
        <v>8</v>
      </c>
      <c r="O1021" s="5" t="n">
        <v>2</v>
      </c>
      <c r="P1021" s="5" t="n">
        <v>3</v>
      </c>
      <c r="Q1021" s="5" t="n">
        <v>1.5</v>
      </c>
      <c r="R1021" s="5" t="n">
        <v>4</v>
      </c>
      <c r="S1021" s="5" t="n">
        <v>8</v>
      </c>
      <c r="T1021" s="5" t="s">
        <v>2574</v>
      </c>
      <c r="U1021" s="6"/>
      <c r="V1021" s="6"/>
      <c r="W1021" s="6"/>
      <c r="X1021" s="6"/>
      <c r="Y1021" s="7" t="str">
        <f aca="false">IF(COUNT(U1021:X1021)=4,(W1021-X1021)/2,"")</f>
        <v/>
      </c>
      <c r="Z1021" s="7" t="str">
        <f aca="false">IF(COUNT(U1021:X1021)=4,(U1021-V1021)/2,"")</f>
        <v/>
      </c>
      <c r="AA1021" s="7" t="str">
        <f aca="false">IF(COUNT(U1021:X1021)=4,MAX(1,MIN(10,ROUNDUP(5-Z1021,0))),"")</f>
        <v/>
      </c>
      <c r="AB1021" s="7" t="str">
        <f aca="false">IF(COUNT(U1021:X1021)=4,MAX(1,MIN(10,ROUNDUP(Y1021+5,0))),"")</f>
        <v/>
      </c>
      <c r="AC1021" s="6"/>
      <c r="AD1021" s="6"/>
    </row>
    <row r="1022" customFormat="false" ht="15" hidden="false" customHeight="true" outlineLevel="0" collapsed="false">
      <c r="A1022" s="5" t="n">
        <v>1021</v>
      </c>
      <c r="B1022" s="5" t="s">
        <v>2575</v>
      </c>
      <c r="C1022" s="5" t="s">
        <v>145</v>
      </c>
      <c r="D1022" s="5" t="s">
        <v>51</v>
      </c>
      <c r="E1022" s="5" t="n">
        <v>110</v>
      </c>
      <c r="F1022" s="5" t="s">
        <v>2576</v>
      </c>
      <c r="G1022" s="5" t="n">
        <v>4</v>
      </c>
      <c r="H1022" s="5" t="s">
        <v>53</v>
      </c>
      <c r="I1022" s="5" t="s">
        <v>54</v>
      </c>
      <c r="J1022" s="5" t="s">
        <v>55</v>
      </c>
      <c r="K1022" s="5" t="s">
        <v>55</v>
      </c>
      <c r="L1022" s="5" t="n">
        <v>4</v>
      </c>
      <c r="M1022" s="5" t="n">
        <v>4</v>
      </c>
      <c r="N1022" s="5" t="n">
        <v>10</v>
      </c>
      <c r="O1022" s="5" t="n">
        <v>1</v>
      </c>
      <c r="P1022" s="5" t="n">
        <v>4.5</v>
      </c>
      <c r="Q1022" s="5" t="n">
        <v>0</v>
      </c>
      <c r="R1022" s="5" t="n">
        <v>5</v>
      </c>
      <c r="S1022" s="5" t="n">
        <v>10</v>
      </c>
      <c r="T1022" s="5" t="s">
        <v>2577</v>
      </c>
      <c r="U1022" s="6"/>
      <c r="V1022" s="6"/>
      <c r="W1022" s="6"/>
      <c r="X1022" s="6"/>
      <c r="Y1022" s="7" t="str">
        <f aca="false">IF(COUNT(U1022:X1022)=4,(W1022-X1022)/2,"")</f>
        <v/>
      </c>
      <c r="Z1022" s="7" t="str">
        <f aca="false">IF(COUNT(U1022:X1022)=4,(U1022-V1022)/2,"")</f>
        <v/>
      </c>
      <c r="AA1022" s="7" t="str">
        <f aca="false">IF(COUNT(U1022:X1022)=4,MAX(1,MIN(10,ROUNDUP(5-Z1022,0))),"")</f>
        <v/>
      </c>
      <c r="AB1022" s="7" t="str">
        <f aca="false">IF(COUNT(U1022:X1022)=4,MAX(1,MIN(10,ROUNDUP(Y1022+5,0))),"")</f>
        <v/>
      </c>
      <c r="AC1022" s="6"/>
      <c r="AD1022" s="6"/>
    </row>
    <row r="1023" customFormat="false" ht="15" hidden="false" customHeight="true" outlineLevel="0" collapsed="false">
      <c r="A1023" s="5" t="n">
        <v>1022</v>
      </c>
      <c r="B1023" s="5" t="s">
        <v>2578</v>
      </c>
      <c r="C1023" s="5" t="s">
        <v>171</v>
      </c>
      <c r="D1023" s="5" t="s">
        <v>172</v>
      </c>
      <c r="E1023" s="5" t="n">
        <v>110</v>
      </c>
      <c r="F1023" s="5" t="s">
        <v>2579</v>
      </c>
      <c r="G1023" s="5" t="n">
        <v>4</v>
      </c>
      <c r="H1023" s="5" t="s">
        <v>53</v>
      </c>
      <c r="I1023" s="5" t="s">
        <v>54</v>
      </c>
      <c r="J1023" s="5" t="s">
        <v>181</v>
      </c>
      <c r="K1023" s="5" t="s">
        <v>179</v>
      </c>
      <c r="L1023" s="5" t="n">
        <v>2</v>
      </c>
      <c r="M1023" s="5" t="n">
        <v>6</v>
      </c>
      <c r="N1023" s="5" t="n">
        <v>2</v>
      </c>
      <c r="O1023" s="5" t="n">
        <v>6</v>
      </c>
      <c r="P1023" s="5" t="n">
        <v>-2</v>
      </c>
      <c r="Q1023" s="5" t="n">
        <v>-2</v>
      </c>
      <c r="R1023" s="5" t="n">
        <v>7</v>
      </c>
      <c r="S1023" s="5" t="n">
        <v>3</v>
      </c>
      <c r="T1023" s="5" t="s">
        <v>1160</v>
      </c>
      <c r="U1023" s="6"/>
      <c r="V1023" s="6"/>
      <c r="W1023" s="6"/>
      <c r="X1023" s="6"/>
      <c r="Y1023" s="7" t="str">
        <f aca="false">IF(COUNT(U1023:X1023)=4,(W1023-X1023)/2,"")</f>
        <v/>
      </c>
      <c r="Z1023" s="7" t="str">
        <f aca="false">IF(COUNT(U1023:X1023)=4,(U1023-V1023)/2,"")</f>
        <v/>
      </c>
      <c r="AA1023" s="7" t="str">
        <f aca="false">IF(COUNT(U1023:X1023)=4,MAX(1,MIN(10,ROUNDUP(5-Z1023,0))),"")</f>
        <v/>
      </c>
      <c r="AB1023" s="7" t="str">
        <f aca="false">IF(COUNT(U1023:X1023)=4,MAX(1,MIN(10,ROUNDUP(Y1023+5,0))),"")</f>
        <v/>
      </c>
      <c r="AC1023" s="6"/>
      <c r="AD1023" s="6"/>
    </row>
    <row r="1024" customFormat="false" ht="15" hidden="false" customHeight="true" outlineLevel="0" collapsed="false">
      <c r="A1024" s="5" t="n">
        <v>1023</v>
      </c>
      <c r="B1024" s="5" t="s">
        <v>2580</v>
      </c>
      <c r="C1024" s="5" t="s">
        <v>108</v>
      </c>
      <c r="D1024" s="5" t="s">
        <v>109</v>
      </c>
      <c r="E1024" s="5" t="n">
        <v>109</v>
      </c>
      <c r="F1024" s="5" t="s">
        <v>2580</v>
      </c>
      <c r="G1024" s="5" t="n">
        <v>4</v>
      </c>
      <c r="H1024" s="5" t="s">
        <v>53</v>
      </c>
      <c r="I1024" s="5" t="s">
        <v>54</v>
      </c>
      <c r="J1024" s="5" t="s">
        <v>117</v>
      </c>
      <c r="K1024" s="5" t="s">
        <v>117</v>
      </c>
      <c r="L1024" s="5" t="n">
        <v>3</v>
      </c>
      <c r="M1024" s="5" t="n">
        <v>1</v>
      </c>
      <c r="N1024" s="5" t="n">
        <v>7</v>
      </c>
      <c r="O1024" s="5" t="n">
        <v>3</v>
      </c>
      <c r="P1024" s="5" t="n">
        <v>2</v>
      </c>
      <c r="Q1024" s="5" t="n">
        <v>1</v>
      </c>
      <c r="R1024" s="5" t="n">
        <v>4</v>
      </c>
      <c r="S1024" s="5" t="n">
        <v>7</v>
      </c>
      <c r="T1024" s="5" t="s">
        <v>2581</v>
      </c>
      <c r="U1024" s="6"/>
      <c r="V1024" s="6"/>
      <c r="W1024" s="6"/>
      <c r="X1024" s="6"/>
      <c r="Y1024" s="7" t="str">
        <f aca="false">IF(COUNT(U1024:X1024)=4,(W1024-X1024)/2,"")</f>
        <v/>
      </c>
      <c r="Z1024" s="7" t="str">
        <f aca="false">IF(COUNT(U1024:X1024)=4,(U1024-V1024)/2,"")</f>
        <v/>
      </c>
      <c r="AA1024" s="7" t="str">
        <f aca="false">IF(COUNT(U1024:X1024)=4,MAX(1,MIN(10,ROUNDUP(5-Z1024,0))),"")</f>
        <v/>
      </c>
      <c r="AB1024" s="7" t="str">
        <f aca="false">IF(COUNT(U1024:X1024)=4,MAX(1,MIN(10,ROUNDUP(Y1024+5,0))),"")</f>
        <v/>
      </c>
      <c r="AC1024" s="6"/>
      <c r="AD1024" s="6"/>
    </row>
    <row r="1025" customFormat="false" ht="15" hidden="false" customHeight="true" outlineLevel="0" collapsed="false">
      <c r="A1025" s="5" t="n">
        <v>1024</v>
      </c>
      <c r="B1025" s="5" t="s">
        <v>2582</v>
      </c>
      <c r="C1025" s="5" t="s">
        <v>145</v>
      </c>
      <c r="D1025" s="5" t="s">
        <v>51</v>
      </c>
      <c r="E1025" s="5" t="n">
        <v>109</v>
      </c>
      <c r="F1025" s="5" t="s">
        <v>2583</v>
      </c>
      <c r="G1025" s="5" t="n">
        <v>4</v>
      </c>
      <c r="H1025" s="5" t="s">
        <v>53</v>
      </c>
      <c r="I1025" s="5" t="s">
        <v>54</v>
      </c>
      <c r="J1025" s="5" t="s">
        <v>55</v>
      </c>
      <c r="K1025" s="5" t="s">
        <v>55</v>
      </c>
      <c r="L1025" s="5" t="n">
        <v>4</v>
      </c>
      <c r="M1025" s="5" t="n">
        <v>3</v>
      </c>
      <c r="N1025" s="5" t="n">
        <v>3</v>
      </c>
      <c r="O1025" s="5" t="n">
        <v>6</v>
      </c>
      <c r="P1025" s="5" t="n">
        <v>-1.5</v>
      </c>
      <c r="Q1025" s="5" t="n">
        <v>0.5</v>
      </c>
      <c r="R1025" s="5" t="n">
        <v>5</v>
      </c>
      <c r="S1025" s="5" t="n">
        <v>4</v>
      </c>
      <c r="T1025" s="5" t="s">
        <v>2584</v>
      </c>
      <c r="U1025" s="6"/>
      <c r="V1025" s="6"/>
      <c r="W1025" s="6"/>
      <c r="X1025" s="6"/>
      <c r="Y1025" s="7" t="str">
        <f aca="false">IF(COUNT(U1025:X1025)=4,(W1025-X1025)/2,"")</f>
        <v/>
      </c>
      <c r="Z1025" s="7" t="str">
        <f aca="false">IF(COUNT(U1025:X1025)=4,(U1025-V1025)/2,"")</f>
        <v/>
      </c>
      <c r="AA1025" s="7" t="str">
        <f aca="false">IF(COUNT(U1025:X1025)=4,MAX(1,MIN(10,ROUNDUP(5-Z1025,0))),"")</f>
        <v/>
      </c>
      <c r="AB1025" s="7" t="str">
        <f aca="false">IF(COUNT(U1025:X1025)=4,MAX(1,MIN(10,ROUNDUP(Y1025+5,0))),"")</f>
        <v/>
      </c>
      <c r="AC1025" s="6"/>
      <c r="AD1025" s="6"/>
    </row>
    <row r="1026" customFormat="false" ht="15" hidden="false" customHeight="true" outlineLevel="0" collapsed="false">
      <c r="A1026" s="5" t="n">
        <v>1025</v>
      </c>
      <c r="B1026" s="5" t="s">
        <v>2585</v>
      </c>
      <c r="C1026" s="5" t="s">
        <v>171</v>
      </c>
      <c r="D1026" s="5" t="s">
        <v>172</v>
      </c>
      <c r="E1026" s="5" t="n">
        <v>109</v>
      </c>
      <c r="F1026" s="5" t="s">
        <v>2586</v>
      </c>
      <c r="G1026" s="5" t="n">
        <v>4</v>
      </c>
      <c r="H1026" s="5" t="s">
        <v>53</v>
      </c>
      <c r="I1026" s="5" t="s">
        <v>54</v>
      </c>
      <c r="J1026" s="5" t="s">
        <v>181</v>
      </c>
      <c r="K1026" s="5" t="s">
        <v>309</v>
      </c>
      <c r="L1026" s="5" t="n">
        <v>2</v>
      </c>
      <c r="M1026" s="5" t="n">
        <v>5</v>
      </c>
      <c r="N1026" s="5" t="n">
        <v>5</v>
      </c>
      <c r="O1026" s="5" t="n">
        <v>4</v>
      </c>
      <c r="P1026" s="5" t="n">
        <v>0.5</v>
      </c>
      <c r="Q1026" s="5" t="n">
        <v>-1.5</v>
      </c>
      <c r="R1026" s="5" t="n">
        <v>7</v>
      </c>
      <c r="S1026" s="5" t="n">
        <v>6</v>
      </c>
      <c r="T1026" s="5" t="s">
        <v>2587</v>
      </c>
      <c r="U1026" s="6"/>
      <c r="V1026" s="6"/>
      <c r="W1026" s="6"/>
      <c r="X1026" s="6"/>
      <c r="Y1026" s="7" t="str">
        <f aca="false">IF(COUNT(U1026:X1026)=4,(W1026-X1026)/2,"")</f>
        <v/>
      </c>
      <c r="Z1026" s="7" t="str">
        <f aca="false">IF(COUNT(U1026:X1026)=4,(U1026-V1026)/2,"")</f>
        <v/>
      </c>
      <c r="AA1026" s="7" t="str">
        <f aca="false">IF(COUNT(U1026:X1026)=4,MAX(1,MIN(10,ROUNDUP(5-Z1026,0))),"")</f>
        <v/>
      </c>
      <c r="AB1026" s="7" t="str">
        <f aca="false">IF(COUNT(U1026:X1026)=4,MAX(1,MIN(10,ROUNDUP(Y1026+5,0))),"")</f>
        <v/>
      </c>
      <c r="AC1026" s="6"/>
      <c r="AD1026" s="6"/>
    </row>
    <row r="1027" customFormat="false" ht="15" hidden="false" customHeight="true" outlineLevel="0" collapsed="false">
      <c r="A1027" s="5" t="n">
        <v>1026</v>
      </c>
      <c r="B1027" s="5" t="s">
        <v>2588</v>
      </c>
      <c r="C1027" s="5" t="s">
        <v>203</v>
      </c>
      <c r="D1027" s="5" t="s">
        <v>204</v>
      </c>
      <c r="E1027" s="5" t="n">
        <v>109</v>
      </c>
      <c r="F1027" s="5" t="s">
        <v>2588</v>
      </c>
      <c r="G1027" s="5" t="n">
        <v>4</v>
      </c>
      <c r="H1027" s="5" t="s">
        <v>53</v>
      </c>
      <c r="I1027" s="5" t="s">
        <v>54</v>
      </c>
      <c r="J1027" s="5" t="s">
        <v>117</v>
      </c>
      <c r="K1027" s="5" t="s">
        <v>117</v>
      </c>
      <c r="L1027" s="5" t="n">
        <v>5</v>
      </c>
      <c r="M1027" s="5" t="n">
        <v>1</v>
      </c>
      <c r="N1027" s="5" t="n">
        <v>2</v>
      </c>
      <c r="O1027" s="5" t="n">
        <v>8</v>
      </c>
      <c r="P1027" s="5" t="n">
        <v>-3</v>
      </c>
      <c r="Q1027" s="5" t="n">
        <v>2</v>
      </c>
      <c r="R1027" s="5" t="n">
        <v>3</v>
      </c>
      <c r="S1027" s="5" t="n">
        <v>2</v>
      </c>
      <c r="T1027" s="5" t="s">
        <v>2589</v>
      </c>
      <c r="U1027" s="6"/>
      <c r="V1027" s="6"/>
      <c r="W1027" s="6"/>
      <c r="X1027" s="6"/>
      <c r="Y1027" s="7" t="str">
        <f aca="false">IF(COUNT(U1027:X1027)=4,(W1027-X1027)/2,"")</f>
        <v/>
      </c>
      <c r="Z1027" s="7" t="str">
        <f aca="false">IF(COUNT(U1027:X1027)=4,(U1027-V1027)/2,"")</f>
        <v/>
      </c>
      <c r="AA1027" s="7" t="str">
        <f aca="false">IF(COUNT(U1027:X1027)=4,MAX(1,MIN(10,ROUNDUP(5-Z1027,0))),"")</f>
        <v/>
      </c>
      <c r="AB1027" s="7" t="str">
        <f aca="false">IF(COUNT(U1027:X1027)=4,MAX(1,MIN(10,ROUNDUP(Y1027+5,0))),"")</f>
        <v/>
      </c>
      <c r="AC1027" s="6"/>
      <c r="AD1027" s="6"/>
    </row>
    <row r="1028" customFormat="false" ht="15" hidden="false" customHeight="true" outlineLevel="0" collapsed="false">
      <c r="A1028" s="5" t="n">
        <v>1027</v>
      </c>
      <c r="B1028" s="5" t="s">
        <v>2590</v>
      </c>
      <c r="C1028" s="5" t="s">
        <v>145</v>
      </c>
      <c r="D1028" s="5" t="s">
        <v>51</v>
      </c>
      <c r="E1028" s="5" t="n">
        <v>109</v>
      </c>
      <c r="F1028" s="5" t="s">
        <v>2591</v>
      </c>
      <c r="G1028" s="5" t="n">
        <v>4</v>
      </c>
      <c r="H1028" s="5" t="s">
        <v>53</v>
      </c>
      <c r="I1028" s="5" t="s">
        <v>54</v>
      </c>
      <c r="J1028" s="5" t="s">
        <v>55</v>
      </c>
      <c r="K1028" s="5" t="s">
        <v>55</v>
      </c>
      <c r="L1028" s="5" t="n">
        <v>5</v>
      </c>
      <c r="M1028" s="5" t="n">
        <v>4</v>
      </c>
      <c r="N1028" s="5" t="n">
        <v>4</v>
      </c>
      <c r="O1028" s="5" t="n">
        <v>8</v>
      </c>
      <c r="P1028" s="5" t="n">
        <v>-2</v>
      </c>
      <c r="Q1028" s="5" t="n">
        <v>0.5</v>
      </c>
      <c r="R1028" s="5" t="n">
        <v>5</v>
      </c>
      <c r="S1028" s="5" t="n">
        <v>3</v>
      </c>
      <c r="T1028" s="5" t="s">
        <v>236</v>
      </c>
      <c r="U1028" s="6"/>
      <c r="V1028" s="6"/>
      <c r="W1028" s="6"/>
      <c r="X1028" s="6"/>
      <c r="Y1028" s="7" t="str">
        <f aca="false">IF(COUNT(U1028:X1028)=4,(W1028-X1028)/2,"")</f>
        <v/>
      </c>
      <c r="Z1028" s="7" t="str">
        <f aca="false">IF(COUNT(U1028:X1028)=4,(U1028-V1028)/2,"")</f>
        <v/>
      </c>
      <c r="AA1028" s="7" t="str">
        <f aca="false">IF(COUNT(U1028:X1028)=4,MAX(1,MIN(10,ROUNDUP(5-Z1028,0))),"")</f>
        <v/>
      </c>
      <c r="AB1028" s="7" t="str">
        <f aca="false">IF(COUNT(U1028:X1028)=4,MAX(1,MIN(10,ROUNDUP(Y1028+5,0))),"")</f>
        <v/>
      </c>
      <c r="AC1028" s="6"/>
      <c r="AD1028" s="6"/>
    </row>
    <row r="1029" customFormat="false" ht="15" hidden="false" customHeight="true" outlineLevel="0" collapsed="false">
      <c r="A1029" s="5" t="n">
        <v>1028</v>
      </c>
      <c r="B1029" s="5" t="s">
        <v>2592</v>
      </c>
      <c r="C1029" s="5" t="s">
        <v>171</v>
      </c>
      <c r="D1029" s="5" t="s">
        <v>172</v>
      </c>
      <c r="E1029" s="5" t="n">
        <v>109</v>
      </c>
      <c r="F1029" s="5" t="s">
        <v>2593</v>
      </c>
      <c r="G1029" s="5" t="n">
        <v>4</v>
      </c>
      <c r="H1029" s="5" t="s">
        <v>53</v>
      </c>
      <c r="I1029" s="5" t="s">
        <v>54</v>
      </c>
      <c r="J1029" s="5" t="s">
        <v>181</v>
      </c>
      <c r="K1029" s="5" t="s">
        <v>221</v>
      </c>
      <c r="L1029" s="5" t="n">
        <v>2</v>
      </c>
      <c r="M1029" s="5" t="n">
        <v>5</v>
      </c>
      <c r="N1029" s="5" t="n">
        <v>6</v>
      </c>
      <c r="O1029" s="5" t="n">
        <v>5</v>
      </c>
      <c r="P1029" s="5" t="n">
        <v>0.5</v>
      </c>
      <c r="Q1029" s="5" t="n">
        <v>-1.5</v>
      </c>
      <c r="R1029" s="5" t="n">
        <v>7</v>
      </c>
      <c r="S1029" s="5" t="n">
        <v>6</v>
      </c>
      <c r="T1029" s="5" t="s">
        <v>2594</v>
      </c>
      <c r="U1029" s="6"/>
      <c r="V1029" s="6"/>
      <c r="W1029" s="6"/>
      <c r="X1029" s="6"/>
      <c r="Y1029" s="7" t="str">
        <f aca="false">IF(COUNT(U1029:X1029)=4,(W1029-X1029)/2,"")</f>
        <v/>
      </c>
      <c r="Z1029" s="7" t="str">
        <f aca="false">IF(COUNT(U1029:X1029)=4,(U1029-V1029)/2,"")</f>
        <v/>
      </c>
      <c r="AA1029" s="7" t="str">
        <f aca="false">IF(COUNT(U1029:X1029)=4,MAX(1,MIN(10,ROUNDUP(5-Z1029,0))),"")</f>
        <v/>
      </c>
      <c r="AB1029" s="7" t="str">
        <f aca="false">IF(COUNT(U1029:X1029)=4,MAX(1,MIN(10,ROUNDUP(Y1029+5,0))),"")</f>
        <v/>
      </c>
      <c r="AC1029" s="6"/>
      <c r="AD1029" s="6"/>
    </row>
    <row r="1030" customFormat="false" ht="15" hidden="false" customHeight="true" outlineLevel="0" collapsed="false">
      <c r="A1030" s="5" t="n">
        <v>1029</v>
      </c>
      <c r="B1030" s="5" t="s">
        <v>2595</v>
      </c>
      <c r="C1030" s="5" t="s">
        <v>145</v>
      </c>
      <c r="D1030" s="5" t="s">
        <v>51</v>
      </c>
      <c r="E1030" s="5" t="n">
        <v>109</v>
      </c>
      <c r="F1030" s="5" t="s">
        <v>2596</v>
      </c>
      <c r="G1030" s="5" t="n">
        <v>4</v>
      </c>
      <c r="H1030" s="5" t="s">
        <v>53</v>
      </c>
      <c r="I1030" s="5" t="s">
        <v>54</v>
      </c>
      <c r="J1030" s="5" t="s">
        <v>55</v>
      </c>
      <c r="K1030" s="5" t="s">
        <v>55</v>
      </c>
      <c r="L1030" s="5" t="n">
        <v>5</v>
      </c>
      <c r="M1030" s="5" t="n">
        <v>2</v>
      </c>
      <c r="N1030" s="5" t="n">
        <v>8</v>
      </c>
      <c r="O1030" s="5" t="n">
        <v>2</v>
      </c>
      <c r="P1030" s="5" t="n">
        <v>3</v>
      </c>
      <c r="Q1030" s="5" t="n">
        <v>1.5</v>
      </c>
      <c r="R1030" s="5" t="n">
        <v>4</v>
      </c>
      <c r="S1030" s="5" t="n">
        <v>8</v>
      </c>
      <c r="T1030" s="5" t="s">
        <v>2597</v>
      </c>
      <c r="U1030" s="6"/>
      <c r="V1030" s="6"/>
      <c r="W1030" s="6"/>
      <c r="X1030" s="6"/>
      <c r="Y1030" s="7" t="str">
        <f aca="false">IF(COUNT(U1030:X1030)=4,(W1030-X1030)/2,"")</f>
        <v/>
      </c>
      <c r="Z1030" s="7" t="str">
        <f aca="false">IF(COUNT(U1030:X1030)=4,(U1030-V1030)/2,"")</f>
        <v/>
      </c>
      <c r="AA1030" s="7" t="str">
        <f aca="false">IF(COUNT(U1030:X1030)=4,MAX(1,MIN(10,ROUNDUP(5-Z1030,0))),"")</f>
        <v/>
      </c>
      <c r="AB1030" s="7" t="str">
        <f aca="false">IF(COUNT(U1030:X1030)=4,MAX(1,MIN(10,ROUNDUP(Y1030+5,0))),"")</f>
        <v/>
      </c>
      <c r="AC1030" s="6"/>
      <c r="AD1030" s="6"/>
    </row>
    <row r="1031" customFormat="false" ht="15" hidden="false" customHeight="true" outlineLevel="0" collapsed="false">
      <c r="A1031" s="5" t="n">
        <v>1030</v>
      </c>
      <c r="B1031" s="5" t="s">
        <v>2598</v>
      </c>
      <c r="C1031" s="5" t="s">
        <v>145</v>
      </c>
      <c r="D1031" s="5" t="s">
        <v>51</v>
      </c>
      <c r="E1031" s="5" t="n">
        <v>108</v>
      </c>
      <c r="F1031" s="5" t="s">
        <v>2599</v>
      </c>
      <c r="G1031" s="5" t="n">
        <v>4</v>
      </c>
      <c r="H1031" s="5" t="s">
        <v>53</v>
      </c>
      <c r="I1031" s="5" t="s">
        <v>54</v>
      </c>
      <c r="J1031" s="5" t="s">
        <v>55</v>
      </c>
      <c r="K1031" s="5" t="s">
        <v>55</v>
      </c>
      <c r="L1031" s="5" t="n">
        <v>5</v>
      </c>
      <c r="M1031" s="5" t="n">
        <v>2</v>
      </c>
      <c r="N1031" s="5" t="n">
        <v>8</v>
      </c>
      <c r="O1031" s="5" t="n">
        <v>2</v>
      </c>
      <c r="P1031" s="5" t="n">
        <v>3</v>
      </c>
      <c r="Q1031" s="5" t="n">
        <v>1.5</v>
      </c>
      <c r="R1031" s="5" t="n">
        <v>4</v>
      </c>
      <c r="S1031" s="5" t="n">
        <v>8</v>
      </c>
      <c r="T1031" s="5" t="s">
        <v>822</v>
      </c>
      <c r="U1031" s="6"/>
      <c r="V1031" s="6"/>
      <c r="W1031" s="6"/>
      <c r="X1031" s="6"/>
      <c r="Y1031" s="7" t="str">
        <f aca="false">IF(COUNT(U1031:X1031)=4,(W1031-X1031)/2,"")</f>
        <v/>
      </c>
      <c r="Z1031" s="7" t="str">
        <f aca="false">IF(COUNT(U1031:X1031)=4,(U1031-V1031)/2,"")</f>
        <v/>
      </c>
      <c r="AA1031" s="7" t="str">
        <f aca="false">IF(COUNT(U1031:X1031)=4,MAX(1,MIN(10,ROUNDUP(5-Z1031,0))),"")</f>
        <v/>
      </c>
      <c r="AB1031" s="7" t="str">
        <f aca="false">IF(COUNT(U1031:X1031)=4,MAX(1,MIN(10,ROUNDUP(Y1031+5,0))),"")</f>
        <v/>
      </c>
      <c r="AC1031" s="6"/>
      <c r="AD1031" s="6"/>
    </row>
    <row r="1032" customFormat="false" ht="15" hidden="false" customHeight="true" outlineLevel="0" collapsed="false">
      <c r="A1032" s="5" t="n">
        <v>1031</v>
      </c>
      <c r="B1032" s="5" t="s">
        <v>2600</v>
      </c>
      <c r="C1032" s="5" t="s">
        <v>145</v>
      </c>
      <c r="D1032" s="5" t="s">
        <v>51</v>
      </c>
      <c r="E1032" s="5" t="n">
        <v>108</v>
      </c>
      <c r="F1032" s="5" t="s">
        <v>2601</v>
      </c>
      <c r="G1032" s="5" t="n">
        <v>4</v>
      </c>
      <c r="H1032" s="5" t="s">
        <v>53</v>
      </c>
      <c r="I1032" s="5" t="s">
        <v>54</v>
      </c>
      <c r="J1032" s="5" t="s">
        <v>55</v>
      </c>
      <c r="K1032" s="5" t="s">
        <v>55</v>
      </c>
      <c r="L1032" s="5" t="n">
        <v>6</v>
      </c>
      <c r="M1032" s="5" t="n">
        <v>4</v>
      </c>
      <c r="N1032" s="5" t="n">
        <v>4</v>
      </c>
      <c r="O1032" s="5" t="n">
        <v>6</v>
      </c>
      <c r="P1032" s="5" t="n">
        <v>-1</v>
      </c>
      <c r="Q1032" s="5" t="n">
        <v>1</v>
      </c>
      <c r="R1032" s="5" t="n">
        <v>4</v>
      </c>
      <c r="S1032" s="5" t="n">
        <v>4</v>
      </c>
      <c r="T1032" s="5" t="s">
        <v>2534</v>
      </c>
      <c r="U1032" s="6"/>
      <c r="V1032" s="6"/>
      <c r="W1032" s="6"/>
      <c r="X1032" s="6"/>
      <c r="Y1032" s="7" t="str">
        <f aca="false">IF(COUNT(U1032:X1032)=4,(W1032-X1032)/2,"")</f>
        <v/>
      </c>
      <c r="Z1032" s="7" t="str">
        <f aca="false">IF(COUNT(U1032:X1032)=4,(U1032-V1032)/2,"")</f>
        <v/>
      </c>
      <c r="AA1032" s="7" t="str">
        <f aca="false">IF(COUNT(U1032:X1032)=4,MAX(1,MIN(10,ROUNDUP(5-Z1032,0))),"")</f>
        <v/>
      </c>
      <c r="AB1032" s="7" t="str">
        <f aca="false">IF(COUNT(U1032:X1032)=4,MAX(1,MIN(10,ROUNDUP(Y1032+5,0))),"")</f>
        <v/>
      </c>
      <c r="AC1032" s="6"/>
      <c r="AD1032" s="6"/>
    </row>
    <row r="1033" customFormat="false" ht="15" hidden="false" customHeight="true" outlineLevel="0" collapsed="false">
      <c r="A1033" s="5" t="n">
        <v>1032</v>
      </c>
      <c r="B1033" s="5" t="s">
        <v>2602</v>
      </c>
      <c r="C1033" s="5" t="s">
        <v>171</v>
      </c>
      <c r="D1033" s="5" t="s">
        <v>172</v>
      </c>
      <c r="E1033" s="5" t="n">
        <v>108</v>
      </c>
      <c r="F1033" s="5" t="s">
        <v>2602</v>
      </c>
      <c r="G1033" s="5" t="n">
        <v>4</v>
      </c>
      <c r="H1033" s="5" t="s">
        <v>53</v>
      </c>
      <c r="I1033" s="5" t="s">
        <v>54</v>
      </c>
      <c r="J1033" s="5" t="s">
        <v>181</v>
      </c>
      <c r="K1033" s="5" t="s">
        <v>279</v>
      </c>
      <c r="L1033" s="5" t="n">
        <v>7</v>
      </c>
      <c r="M1033" s="5" t="n">
        <v>5</v>
      </c>
      <c r="N1033" s="5" t="n">
        <v>5</v>
      </c>
      <c r="O1033" s="5" t="n">
        <v>7</v>
      </c>
      <c r="P1033" s="5" t="n">
        <v>-1</v>
      </c>
      <c r="Q1033" s="5" t="n">
        <v>1</v>
      </c>
      <c r="R1033" s="5" t="n">
        <v>4</v>
      </c>
      <c r="S1033" s="5" t="n">
        <v>4</v>
      </c>
      <c r="T1033" s="5" t="s">
        <v>2603</v>
      </c>
      <c r="U1033" s="6"/>
      <c r="V1033" s="6"/>
      <c r="W1033" s="6"/>
      <c r="X1033" s="6"/>
      <c r="Y1033" s="7" t="str">
        <f aca="false">IF(COUNT(U1033:X1033)=4,(W1033-X1033)/2,"")</f>
        <v/>
      </c>
      <c r="Z1033" s="7" t="str">
        <f aca="false">IF(COUNT(U1033:X1033)=4,(U1033-V1033)/2,"")</f>
        <v/>
      </c>
      <c r="AA1033" s="7" t="str">
        <f aca="false">IF(COUNT(U1033:X1033)=4,MAX(1,MIN(10,ROUNDUP(5-Z1033,0))),"")</f>
        <v/>
      </c>
      <c r="AB1033" s="7" t="str">
        <f aca="false">IF(COUNT(U1033:X1033)=4,MAX(1,MIN(10,ROUNDUP(Y1033+5,0))),"")</f>
        <v/>
      </c>
      <c r="AC1033" s="6"/>
      <c r="AD1033" s="6"/>
    </row>
    <row r="1034" customFormat="false" ht="15" hidden="false" customHeight="true" outlineLevel="0" collapsed="false">
      <c r="A1034" s="5" t="n">
        <v>1033</v>
      </c>
      <c r="B1034" s="5" t="s">
        <v>2604</v>
      </c>
      <c r="C1034" s="5" t="s">
        <v>171</v>
      </c>
      <c r="D1034" s="5" t="s">
        <v>172</v>
      </c>
      <c r="E1034" s="5" t="n">
        <v>108</v>
      </c>
      <c r="F1034" s="5" t="s">
        <v>2605</v>
      </c>
      <c r="G1034" s="5" t="n">
        <v>4</v>
      </c>
      <c r="H1034" s="5" t="s">
        <v>53</v>
      </c>
      <c r="I1034" s="5" t="s">
        <v>81</v>
      </c>
      <c r="J1034" s="5" t="s">
        <v>174</v>
      </c>
      <c r="K1034" s="5" t="s">
        <v>175</v>
      </c>
      <c r="L1034" s="5" t="n">
        <v>7</v>
      </c>
      <c r="M1034" s="5" t="n">
        <v>1</v>
      </c>
      <c r="N1034" s="5" t="n">
        <v>3</v>
      </c>
      <c r="O1034" s="5" t="n">
        <v>8</v>
      </c>
      <c r="P1034" s="5" t="n">
        <v>-2.5</v>
      </c>
      <c r="Q1034" s="5" t="n">
        <v>3</v>
      </c>
      <c r="R1034" s="5" t="n">
        <v>2</v>
      </c>
      <c r="S1034" s="5" t="n">
        <v>3</v>
      </c>
      <c r="T1034" s="5" t="s">
        <v>2606</v>
      </c>
      <c r="U1034" s="6"/>
      <c r="V1034" s="6"/>
      <c r="W1034" s="6"/>
      <c r="X1034" s="6"/>
      <c r="Y1034" s="7" t="str">
        <f aca="false">IF(COUNT(U1034:X1034)=4,(W1034-X1034)/2,"")</f>
        <v/>
      </c>
      <c r="Z1034" s="7" t="str">
        <f aca="false">IF(COUNT(U1034:X1034)=4,(U1034-V1034)/2,"")</f>
        <v/>
      </c>
      <c r="AA1034" s="7" t="str">
        <f aca="false">IF(COUNT(U1034:X1034)=4,MAX(1,MIN(10,ROUNDUP(5-Z1034,0))),"")</f>
        <v/>
      </c>
      <c r="AB1034" s="7" t="str">
        <f aca="false">IF(COUNT(U1034:X1034)=4,MAX(1,MIN(10,ROUNDUP(Y1034+5,0))),"")</f>
        <v/>
      </c>
      <c r="AC1034" s="6"/>
      <c r="AD1034" s="6"/>
    </row>
    <row r="1035" customFormat="false" ht="15" hidden="false" customHeight="true" outlineLevel="0" collapsed="false">
      <c r="A1035" s="5" t="n">
        <v>1034</v>
      </c>
      <c r="B1035" s="5" t="s">
        <v>2607</v>
      </c>
      <c r="C1035" s="5" t="s">
        <v>171</v>
      </c>
      <c r="D1035" s="5" t="s">
        <v>172</v>
      </c>
      <c r="E1035" s="5" t="n">
        <v>108</v>
      </c>
      <c r="F1035" s="5" t="s">
        <v>2607</v>
      </c>
      <c r="G1035" s="5" t="n">
        <v>4</v>
      </c>
      <c r="H1035" s="5" t="s">
        <v>53</v>
      </c>
      <c r="I1035" s="5" t="s">
        <v>54</v>
      </c>
      <c r="J1035" s="5" t="s">
        <v>181</v>
      </c>
      <c r="K1035" s="5" t="s">
        <v>179</v>
      </c>
      <c r="L1035" s="5" t="n">
        <v>2</v>
      </c>
      <c r="M1035" s="5" t="n">
        <v>6</v>
      </c>
      <c r="N1035" s="5" t="n">
        <v>2</v>
      </c>
      <c r="O1035" s="5" t="n">
        <v>6</v>
      </c>
      <c r="P1035" s="5" t="n">
        <v>-2</v>
      </c>
      <c r="Q1035" s="5" t="n">
        <v>-2</v>
      </c>
      <c r="R1035" s="5" t="n">
        <v>7</v>
      </c>
      <c r="S1035" s="5" t="n">
        <v>3</v>
      </c>
      <c r="T1035" s="5" t="s">
        <v>1296</v>
      </c>
      <c r="U1035" s="6"/>
      <c r="V1035" s="6"/>
      <c r="W1035" s="6"/>
      <c r="X1035" s="6"/>
      <c r="Y1035" s="7" t="str">
        <f aca="false">IF(COUNT(U1035:X1035)=4,(W1035-X1035)/2,"")</f>
        <v/>
      </c>
      <c r="Z1035" s="7" t="str">
        <f aca="false">IF(COUNT(U1035:X1035)=4,(U1035-V1035)/2,"")</f>
        <v/>
      </c>
      <c r="AA1035" s="7" t="str">
        <f aca="false">IF(COUNT(U1035:X1035)=4,MAX(1,MIN(10,ROUNDUP(5-Z1035,0))),"")</f>
        <v/>
      </c>
      <c r="AB1035" s="7" t="str">
        <f aca="false">IF(COUNT(U1035:X1035)=4,MAX(1,MIN(10,ROUNDUP(Y1035+5,0))),"")</f>
        <v/>
      </c>
      <c r="AC1035" s="6"/>
      <c r="AD1035" s="6"/>
    </row>
    <row r="1036" customFormat="false" ht="15" hidden="false" customHeight="true" outlineLevel="0" collapsed="false">
      <c r="A1036" s="5" t="n">
        <v>1035</v>
      </c>
      <c r="B1036" s="5" t="s">
        <v>2608</v>
      </c>
      <c r="C1036" s="5" t="s">
        <v>145</v>
      </c>
      <c r="D1036" s="5" t="s">
        <v>51</v>
      </c>
      <c r="E1036" s="5" t="n">
        <v>108</v>
      </c>
      <c r="F1036" s="5" t="s">
        <v>2609</v>
      </c>
      <c r="G1036" s="5" t="n">
        <v>4</v>
      </c>
      <c r="H1036" s="5" t="s">
        <v>53</v>
      </c>
      <c r="I1036" s="5" t="s">
        <v>54</v>
      </c>
      <c r="J1036" s="5" t="s">
        <v>55</v>
      </c>
      <c r="K1036" s="5" t="s">
        <v>55</v>
      </c>
      <c r="L1036" s="5" t="n">
        <v>6</v>
      </c>
      <c r="M1036" s="5" t="n">
        <v>1</v>
      </c>
      <c r="N1036" s="5" t="n">
        <v>6</v>
      </c>
      <c r="O1036" s="5" t="n">
        <v>5</v>
      </c>
      <c r="P1036" s="5" t="n">
        <v>0.5</v>
      </c>
      <c r="Q1036" s="5" t="n">
        <v>2.5</v>
      </c>
      <c r="R1036" s="5" t="n">
        <v>3</v>
      </c>
      <c r="S1036" s="5" t="n">
        <v>6</v>
      </c>
      <c r="T1036" s="5" t="s">
        <v>2610</v>
      </c>
      <c r="U1036" s="6"/>
      <c r="V1036" s="6"/>
      <c r="W1036" s="6"/>
      <c r="X1036" s="6"/>
      <c r="Y1036" s="7" t="str">
        <f aca="false">IF(COUNT(U1036:X1036)=4,(W1036-X1036)/2,"")</f>
        <v/>
      </c>
      <c r="Z1036" s="7" t="str">
        <f aca="false">IF(COUNT(U1036:X1036)=4,(U1036-V1036)/2,"")</f>
        <v/>
      </c>
      <c r="AA1036" s="7" t="str">
        <f aca="false">IF(COUNT(U1036:X1036)=4,MAX(1,MIN(10,ROUNDUP(5-Z1036,0))),"")</f>
        <v/>
      </c>
      <c r="AB1036" s="7" t="str">
        <f aca="false">IF(COUNT(U1036:X1036)=4,MAX(1,MIN(10,ROUNDUP(Y1036+5,0))),"")</f>
        <v/>
      </c>
      <c r="AC1036" s="6"/>
      <c r="AD1036" s="6"/>
    </row>
    <row r="1037" customFormat="false" ht="15" hidden="false" customHeight="true" outlineLevel="0" collapsed="false">
      <c r="A1037" s="5" t="n">
        <v>1036</v>
      </c>
      <c r="B1037" s="5" t="s">
        <v>2611</v>
      </c>
      <c r="C1037" s="5" t="s">
        <v>145</v>
      </c>
      <c r="D1037" s="5" t="s">
        <v>51</v>
      </c>
      <c r="E1037" s="5" t="n">
        <v>108</v>
      </c>
      <c r="F1037" s="5" t="s">
        <v>2612</v>
      </c>
      <c r="G1037" s="5" t="n">
        <v>4</v>
      </c>
      <c r="H1037" s="5" t="s">
        <v>53</v>
      </c>
      <c r="I1037" s="5" t="s">
        <v>54</v>
      </c>
      <c r="J1037" s="5" t="s">
        <v>55</v>
      </c>
      <c r="K1037" s="5" t="s">
        <v>55</v>
      </c>
      <c r="L1037" s="5" t="n">
        <v>5</v>
      </c>
      <c r="M1037" s="5" t="n">
        <v>2</v>
      </c>
      <c r="N1037" s="5" t="n">
        <v>4</v>
      </c>
      <c r="O1037" s="5" t="n">
        <v>8</v>
      </c>
      <c r="P1037" s="5" t="n">
        <v>-2</v>
      </c>
      <c r="Q1037" s="5" t="n">
        <v>1.5</v>
      </c>
      <c r="R1037" s="5" t="n">
        <v>4</v>
      </c>
      <c r="S1037" s="5" t="n">
        <v>3</v>
      </c>
      <c r="T1037" s="5" t="s">
        <v>789</v>
      </c>
      <c r="U1037" s="6"/>
      <c r="V1037" s="6"/>
      <c r="W1037" s="6"/>
      <c r="X1037" s="6"/>
      <c r="Y1037" s="7" t="str">
        <f aca="false">IF(COUNT(U1037:X1037)=4,(W1037-X1037)/2,"")</f>
        <v/>
      </c>
      <c r="Z1037" s="7" t="str">
        <f aca="false">IF(COUNT(U1037:X1037)=4,(U1037-V1037)/2,"")</f>
        <v/>
      </c>
      <c r="AA1037" s="7" t="str">
        <f aca="false">IF(COUNT(U1037:X1037)=4,MAX(1,MIN(10,ROUNDUP(5-Z1037,0))),"")</f>
        <v/>
      </c>
      <c r="AB1037" s="7" t="str">
        <f aca="false">IF(COUNT(U1037:X1037)=4,MAX(1,MIN(10,ROUNDUP(Y1037+5,0))),"")</f>
        <v/>
      </c>
      <c r="AC1037" s="6"/>
      <c r="AD1037" s="6"/>
    </row>
    <row r="1038" customFormat="false" ht="15" hidden="false" customHeight="true" outlineLevel="0" collapsed="false">
      <c r="A1038" s="5" t="n">
        <v>1037</v>
      </c>
      <c r="B1038" s="5" t="s">
        <v>2613</v>
      </c>
      <c r="C1038" s="5" t="s">
        <v>145</v>
      </c>
      <c r="D1038" s="5" t="s">
        <v>51</v>
      </c>
      <c r="E1038" s="5" t="n">
        <v>108</v>
      </c>
      <c r="F1038" s="5" t="s">
        <v>2614</v>
      </c>
      <c r="G1038" s="5" t="n">
        <v>4</v>
      </c>
      <c r="H1038" s="5" t="s">
        <v>53</v>
      </c>
      <c r="I1038" s="5" t="s">
        <v>54</v>
      </c>
      <c r="J1038" s="5" t="s">
        <v>55</v>
      </c>
      <c r="K1038" s="5" t="s">
        <v>55</v>
      </c>
      <c r="L1038" s="5" t="n">
        <v>4</v>
      </c>
      <c r="M1038" s="5" t="n">
        <v>3</v>
      </c>
      <c r="N1038" s="5" t="n">
        <v>9</v>
      </c>
      <c r="O1038" s="5" t="n">
        <v>2</v>
      </c>
      <c r="P1038" s="5" t="n">
        <v>3.5</v>
      </c>
      <c r="Q1038" s="5" t="n">
        <v>0.5</v>
      </c>
      <c r="R1038" s="5" t="n">
        <v>5</v>
      </c>
      <c r="S1038" s="5" t="n">
        <v>9</v>
      </c>
      <c r="T1038" s="5" t="s">
        <v>2615</v>
      </c>
      <c r="U1038" s="6"/>
      <c r="V1038" s="6"/>
      <c r="W1038" s="6"/>
      <c r="X1038" s="6"/>
      <c r="Y1038" s="7" t="str">
        <f aca="false">IF(COUNT(U1038:X1038)=4,(W1038-X1038)/2,"")</f>
        <v/>
      </c>
      <c r="Z1038" s="7" t="str">
        <f aca="false">IF(COUNT(U1038:X1038)=4,(U1038-V1038)/2,"")</f>
        <v/>
      </c>
      <c r="AA1038" s="7" t="str">
        <f aca="false">IF(COUNT(U1038:X1038)=4,MAX(1,MIN(10,ROUNDUP(5-Z1038,0))),"")</f>
        <v/>
      </c>
      <c r="AB1038" s="7" t="str">
        <f aca="false">IF(COUNT(U1038:X1038)=4,MAX(1,MIN(10,ROUNDUP(Y1038+5,0))),"")</f>
        <v/>
      </c>
      <c r="AC1038" s="6"/>
      <c r="AD1038" s="6"/>
    </row>
    <row r="1039" customFormat="false" ht="15" hidden="false" customHeight="true" outlineLevel="0" collapsed="false">
      <c r="A1039" s="5" t="n">
        <v>1038</v>
      </c>
      <c r="B1039" s="5" t="s">
        <v>2616</v>
      </c>
      <c r="C1039" s="5" t="s">
        <v>171</v>
      </c>
      <c r="D1039" s="5" t="s">
        <v>172</v>
      </c>
      <c r="E1039" s="5" t="n">
        <v>108</v>
      </c>
      <c r="F1039" s="5" t="s">
        <v>2617</v>
      </c>
      <c r="G1039" s="5" t="n">
        <v>4</v>
      </c>
      <c r="H1039" s="5" t="s">
        <v>53</v>
      </c>
      <c r="I1039" s="5" t="s">
        <v>81</v>
      </c>
      <c r="J1039" s="5" t="s">
        <v>174</v>
      </c>
      <c r="K1039" s="5" t="s">
        <v>309</v>
      </c>
      <c r="L1039" s="5" t="n">
        <v>6</v>
      </c>
      <c r="M1039" s="5" t="n">
        <v>2</v>
      </c>
      <c r="N1039" s="5" t="n">
        <v>3</v>
      </c>
      <c r="O1039" s="5" t="n">
        <v>8</v>
      </c>
      <c r="P1039" s="5" t="n">
        <v>-2.5</v>
      </c>
      <c r="Q1039" s="5" t="n">
        <v>2</v>
      </c>
      <c r="R1039" s="5" t="n">
        <v>3</v>
      </c>
      <c r="S1039" s="5" t="n">
        <v>3</v>
      </c>
      <c r="T1039" s="5" t="s">
        <v>1605</v>
      </c>
      <c r="U1039" s="6"/>
      <c r="V1039" s="6"/>
      <c r="W1039" s="6"/>
      <c r="X1039" s="6"/>
      <c r="Y1039" s="7" t="str">
        <f aca="false">IF(COUNT(U1039:X1039)=4,(W1039-X1039)/2,"")</f>
        <v/>
      </c>
      <c r="Z1039" s="7" t="str">
        <f aca="false">IF(COUNT(U1039:X1039)=4,(U1039-V1039)/2,"")</f>
        <v/>
      </c>
      <c r="AA1039" s="7" t="str">
        <f aca="false">IF(COUNT(U1039:X1039)=4,MAX(1,MIN(10,ROUNDUP(5-Z1039,0))),"")</f>
        <v/>
      </c>
      <c r="AB1039" s="7" t="str">
        <f aca="false">IF(COUNT(U1039:X1039)=4,MAX(1,MIN(10,ROUNDUP(Y1039+5,0))),"")</f>
        <v/>
      </c>
      <c r="AC1039" s="6"/>
      <c r="AD1039" s="6"/>
    </row>
    <row r="1040" customFormat="false" ht="15" hidden="false" customHeight="true" outlineLevel="0" collapsed="false">
      <c r="A1040" s="5" t="n">
        <v>1039</v>
      </c>
      <c r="B1040" s="5" t="s">
        <v>2618</v>
      </c>
      <c r="C1040" s="5" t="s">
        <v>171</v>
      </c>
      <c r="D1040" s="5" t="s">
        <v>172</v>
      </c>
      <c r="E1040" s="5" t="n">
        <v>107</v>
      </c>
      <c r="F1040" s="5" t="s">
        <v>2619</v>
      </c>
      <c r="G1040" s="5" t="n">
        <v>4</v>
      </c>
      <c r="H1040" s="5" t="s">
        <v>53</v>
      </c>
      <c r="I1040" s="5" t="s">
        <v>54</v>
      </c>
      <c r="J1040" s="5" t="s">
        <v>181</v>
      </c>
      <c r="K1040" s="5" t="s">
        <v>309</v>
      </c>
      <c r="L1040" s="5" t="n">
        <v>2</v>
      </c>
      <c r="M1040" s="5" t="n">
        <v>5</v>
      </c>
      <c r="N1040" s="5" t="n">
        <v>5</v>
      </c>
      <c r="O1040" s="5" t="n">
        <v>4</v>
      </c>
      <c r="P1040" s="5" t="n">
        <v>0.5</v>
      </c>
      <c r="Q1040" s="5" t="n">
        <v>-1.5</v>
      </c>
      <c r="R1040" s="5" t="n">
        <v>7</v>
      </c>
      <c r="S1040" s="5" t="n">
        <v>6</v>
      </c>
      <c r="T1040" s="5" t="s">
        <v>2620</v>
      </c>
      <c r="U1040" s="6"/>
      <c r="V1040" s="6"/>
      <c r="W1040" s="6"/>
      <c r="X1040" s="6"/>
      <c r="Y1040" s="7" t="str">
        <f aca="false">IF(COUNT(U1040:X1040)=4,(W1040-X1040)/2,"")</f>
        <v/>
      </c>
      <c r="Z1040" s="7" t="str">
        <f aca="false">IF(COUNT(U1040:X1040)=4,(U1040-V1040)/2,"")</f>
        <v/>
      </c>
      <c r="AA1040" s="7" t="str">
        <f aca="false">IF(COUNT(U1040:X1040)=4,MAX(1,MIN(10,ROUNDUP(5-Z1040,0))),"")</f>
        <v/>
      </c>
      <c r="AB1040" s="7" t="str">
        <f aca="false">IF(COUNT(U1040:X1040)=4,MAX(1,MIN(10,ROUNDUP(Y1040+5,0))),"")</f>
        <v/>
      </c>
      <c r="AC1040" s="6"/>
      <c r="AD1040" s="6"/>
    </row>
    <row r="1041" customFormat="false" ht="15" hidden="false" customHeight="true" outlineLevel="0" collapsed="false">
      <c r="A1041" s="5" t="n">
        <v>1040</v>
      </c>
      <c r="B1041" s="5" t="s">
        <v>2621</v>
      </c>
      <c r="C1041" s="5" t="s">
        <v>108</v>
      </c>
      <c r="D1041" s="5" t="s">
        <v>109</v>
      </c>
      <c r="E1041" s="5" t="n">
        <v>107</v>
      </c>
      <c r="F1041" s="5" t="s">
        <v>2621</v>
      </c>
      <c r="G1041" s="5" t="n">
        <v>4</v>
      </c>
      <c r="H1041" s="5" t="s">
        <v>53</v>
      </c>
      <c r="I1041" s="5" t="s">
        <v>54</v>
      </c>
      <c r="J1041" s="5" t="s">
        <v>117</v>
      </c>
      <c r="K1041" s="5" t="s">
        <v>117</v>
      </c>
      <c r="L1041" s="5" t="n">
        <v>2</v>
      </c>
      <c r="M1041" s="5" t="n">
        <v>3</v>
      </c>
      <c r="N1041" s="5" t="n">
        <v>3</v>
      </c>
      <c r="O1041" s="5" t="n">
        <v>7</v>
      </c>
      <c r="P1041" s="5" t="n">
        <v>-2</v>
      </c>
      <c r="Q1041" s="5" t="n">
        <v>-0.5</v>
      </c>
      <c r="R1041" s="5" t="n">
        <v>6</v>
      </c>
      <c r="S1041" s="5" t="n">
        <v>3</v>
      </c>
      <c r="T1041" s="5" t="s">
        <v>1302</v>
      </c>
      <c r="U1041" s="6"/>
      <c r="V1041" s="6"/>
      <c r="W1041" s="6"/>
      <c r="X1041" s="6"/>
      <c r="Y1041" s="7" t="str">
        <f aca="false">IF(COUNT(U1041:X1041)=4,(W1041-X1041)/2,"")</f>
        <v/>
      </c>
      <c r="Z1041" s="7" t="str">
        <f aca="false">IF(COUNT(U1041:X1041)=4,(U1041-V1041)/2,"")</f>
        <v/>
      </c>
      <c r="AA1041" s="7" t="str">
        <f aca="false">IF(COUNT(U1041:X1041)=4,MAX(1,MIN(10,ROUNDUP(5-Z1041,0))),"")</f>
        <v/>
      </c>
      <c r="AB1041" s="7" t="str">
        <f aca="false">IF(COUNT(U1041:X1041)=4,MAX(1,MIN(10,ROUNDUP(Y1041+5,0))),"")</f>
        <v/>
      </c>
      <c r="AC1041" s="6"/>
      <c r="AD1041" s="6"/>
    </row>
    <row r="1042" customFormat="false" ht="15" hidden="false" customHeight="true" outlineLevel="0" collapsed="false">
      <c r="A1042" s="5" t="n">
        <v>1041</v>
      </c>
      <c r="B1042" s="5" t="s">
        <v>2622</v>
      </c>
      <c r="C1042" s="5" t="s">
        <v>171</v>
      </c>
      <c r="D1042" s="5" t="s">
        <v>172</v>
      </c>
      <c r="E1042" s="5" t="n">
        <v>107</v>
      </c>
      <c r="F1042" s="5" t="s">
        <v>2623</v>
      </c>
      <c r="G1042" s="5" t="n">
        <v>4</v>
      </c>
      <c r="H1042" s="5" t="s">
        <v>53</v>
      </c>
      <c r="I1042" s="5" t="s">
        <v>81</v>
      </c>
      <c r="J1042" s="5" t="s">
        <v>174</v>
      </c>
      <c r="K1042" s="5" t="s">
        <v>175</v>
      </c>
      <c r="L1042" s="5" t="n">
        <v>7</v>
      </c>
      <c r="M1042" s="5" t="n">
        <v>1</v>
      </c>
      <c r="N1042" s="5" t="n">
        <v>3</v>
      </c>
      <c r="O1042" s="5" t="n">
        <v>8</v>
      </c>
      <c r="P1042" s="5" t="n">
        <v>-2.5</v>
      </c>
      <c r="Q1042" s="5" t="n">
        <v>3</v>
      </c>
      <c r="R1042" s="5" t="n">
        <v>2</v>
      </c>
      <c r="S1042" s="5" t="n">
        <v>3</v>
      </c>
      <c r="T1042" s="5" t="s">
        <v>2589</v>
      </c>
      <c r="U1042" s="6"/>
      <c r="V1042" s="6"/>
      <c r="W1042" s="6"/>
      <c r="X1042" s="6"/>
      <c r="Y1042" s="7" t="str">
        <f aca="false">IF(COUNT(U1042:X1042)=4,(W1042-X1042)/2,"")</f>
        <v/>
      </c>
      <c r="Z1042" s="7" t="str">
        <f aca="false">IF(COUNT(U1042:X1042)=4,(U1042-V1042)/2,"")</f>
        <v/>
      </c>
      <c r="AA1042" s="7" t="str">
        <f aca="false">IF(COUNT(U1042:X1042)=4,MAX(1,MIN(10,ROUNDUP(5-Z1042,0))),"")</f>
        <v/>
      </c>
      <c r="AB1042" s="7" t="str">
        <f aca="false">IF(COUNT(U1042:X1042)=4,MAX(1,MIN(10,ROUNDUP(Y1042+5,0))),"")</f>
        <v/>
      </c>
      <c r="AC1042" s="6"/>
      <c r="AD1042" s="6"/>
    </row>
    <row r="1043" customFormat="false" ht="15" hidden="false" customHeight="true" outlineLevel="0" collapsed="false">
      <c r="A1043" s="5" t="n">
        <v>1042</v>
      </c>
      <c r="B1043" s="5" t="s">
        <v>2624</v>
      </c>
      <c r="C1043" s="5" t="s">
        <v>171</v>
      </c>
      <c r="D1043" s="5" t="s">
        <v>172</v>
      </c>
      <c r="E1043" s="5" t="n">
        <v>107</v>
      </c>
      <c r="F1043" s="5" t="s">
        <v>2624</v>
      </c>
      <c r="G1043" s="5" t="n">
        <v>4</v>
      </c>
      <c r="H1043" s="5" t="s">
        <v>53</v>
      </c>
      <c r="I1043" s="5" t="s">
        <v>54</v>
      </c>
      <c r="J1043" s="5" t="s">
        <v>181</v>
      </c>
      <c r="K1043" s="5" t="s">
        <v>221</v>
      </c>
      <c r="L1043" s="5" t="n">
        <v>2</v>
      </c>
      <c r="M1043" s="5" t="n">
        <v>5</v>
      </c>
      <c r="N1043" s="5" t="n">
        <v>6</v>
      </c>
      <c r="O1043" s="5" t="n">
        <v>5</v>
      </c>
      <c r="P1043" s="5" t="n">
        <v>0.5</v>
      </c>
      <c r="Q1043" s="5" t="n">
        <v>-1.5</v>
      </c>
      <c r="R1043" s="5" t="n">
        <v>7</v>
      </c>
      <c r="S1043" s="5" t="n">
        <v>6</v>
      </c>
      <c r="T1043" s="5" t="s">
        <v>2625</v>
      </c>
      <c r="U1043" s="6"/>
      <c r="V1043" s="6"/>
      <c r="W1043" s="6"/>
      <c r="X1043" s="6"/>
      <c r="Y1043" s="7" t="str">
        <f aca="false">IF(COUNT(U1043:X1043)=4,(W1043-X1043)/2,"")</f>
        <v/>
      </c>
      <c r="Z1043" s="7" t="str">
        <f aca="false">IF(COUNT(U1043:X1043)=4,(U1043-V1043)/2,"")</f>
        <v/>
      </c>
      <c r="AA1043" s="7" t="str">
        <f aca="false">IF(COUNT(U1043:X1043)=4,MAX(1,MIN(10,ROUNDUP(5-Z1043,0))),"")</f>
        <v/>
      </c>
      <c r="AB1043" s="7" t="str">
        <f aca="false">IF(COUNT(U1043:X1043)=4,MAX(1,MIN(10,ROUNDUP(Y1043+5,0))),"")</f>
        <v/>
      </c>
      <c r="AC1043" s="6"/>
      <c r="AD1043" s="6"/>
    </row>
    <row r="1044" customFormat="false" ht="15" hidden="false" customHeight="true" outlineLevel="0" collapsed="false">
      <c r="A1044" s="5" t="n">
        <v>1043</v>
      </c>
      <c r="B1044" s="5" t="s">
        <v>2626</v>
      </c>
      <c r="C1044" s="5" t="s">
        <v>171</v>
      </c>
      <c r="D1044" s="5" t="s">
        <v>172</v>
      </c>
      <c r="E1044" s="5" t="n">
        <v>107</v>
      </c>
      <c r="F1044" s="5" t="s">
        <v>2627</v>
      </c>
      <c r="G1044" s="5" t="n">
        <v>4</v>
      </c>
      <c r="H1044" s="5" t="s">
        <v>53</v>
      </c>
      <c r="I1044" s="5" t="s">
        <v>54</v>
      </c>
      <c r="J1044" s="5" t="s">
        <v>181</v>
      </c>
      <c r="K1044" s="5" t="s">
        <v>333</v>
      </c>
      <c r="L1044" s="5" t="n">
        <v>3</v>
      </c>
      <c r="M1044" s="5" t="n">
        <v>5</v>
      </c>
      <c r="N1044" s="5" t="n">
        <v>9</v>
      </c>
      <c r="O1044" s="5" t="n">
        <v>2</v>
      </c>
      <c r="P1044" s="5" t="n">
        <v>3.5</v>
      </c>
      <c r="Q1044" s="5" t="n">
        <v>-1</v>
      </c>
      <c r="R1044" s="5" t="n">
        <v>6</v>
      </c>
      <c r="S1044" s="5" t="n">
        <v>9</v>
      </c>
      <c r="T1044" s="5" t="s">
        <v>2628</v>
      </c>
      <c r="U1044" s="6"/>
      <c r="V1044" s="6"/>
      <c r="W1044" s="6"/>
      <c r="X1044" s="6"/>
      <c r="Y1044" s="7" t="str">
        <f aca="false">IF(COUNT(U1044:X1044)=4,(W1044-X1044)/2,"")</f>
        <v/>
      </c>
      <c r="Z1044" s="7" t="str">
        <f aca="false">IF(COUNT(U1044:X1044)=4,(U1044-V1044)/2,"")</f>
        <v/>
      </c>
      <c r="AA1044" s="7" t="str">
        <f aca="false">IF(COUNT(U1044:X1044)=4,MAX(1,MIN(10,ROUNDUP(5-Z1044,0))),"")</f>
        <v/>
      </c>
      <c r="AB1044" s="7" t="str">
        <f aca="false">IF(COUNT(U1044:X1044)=4,MAX(1,MIN(10,ROUNDUP(Y1044+5,0))),"")</f>
        <v/>
      </c>
      <c r="AC1044" s="6"/>
      <c r="AD1044" s="6"/>
    </row>
    <row r="1045" customFormat="false" ht="15" hidden="false" customHeight="true" outlineLevel="0" collapsed="false">
      <c r="A1045" s="5" t="n">
        <v>1044</v>
      </c>
      <c r="B1045" s="5" t="s">
        <v>2629</v>
      </c>
      <c r="C1045" s="5" t="s">
        <v>145</v>
      </c>
      <c r="D1045" s="5" t="s">
        <v>51</v>
      </c>
      <c r="E1045" s="5" t="n">
        <v>107</v>
      </c>
      <c r="F1045" s="5" t="s">
        <v>2630</v>
      </c>
      <c r="G1045" s="5" t="n">
        <v>4</v>
      </c>
      <c r="H1045" s="5" t="s">
        <v>53</v>
      </c>
      <c r="I1045" s="5" t="s">
        <v>54</v>
      </c>
      <c r="J1045" s="5" t="s">
        <v>55</v>
      </c>
      <c r="K1045" s="5" t="s">
        <v>55</v>
      </c>
      <c r="L1045" s="5" t="n">
        <v>4</v>
      </c>
      <c r="M1045" s="5" t="n">
        <v>2</v>
      </c>
      <c r="N1045" s="5" t="n">
        <v>10</v>
      </c>
      <c r="O1045" s="5" t="n">
        <v>1</v>
      </c>
      <c r="P1045" s="5" t="n">
        <v>4.5</v>
      </c>
      <c r="Q1045" s="5" t="n">
        <v>1</v>
      </c>
      <c r="R1045" s="5" t="n">
        <v>4</v>
      </c>
      <c r="S1045" s="5" t="n">
        <v>10</v>
      </c>
      <c r="T1045" s="5" t="s">
        <v>2631</v>
      </c>
      <c r="U1045" s="6"/>
      <c r="V1045" s="6"/>
      <c r="W1045" s="6"/>
      <c r="X1045" s="6"/>
      <c r="Y1045" s="7" t="str">
        <f aca="false">IF(COUNT(U1045:X1045)=4,(W1045-X1045)/2,"")</f>
        <v/>
      </c>
      <c r="Z1045" s="7" t="str">
        <f aca="false">IF(COUNT(U1045:X1045)=4,(U1045-V1045)/2,"")</f>
        <v/>
      </c>
      <c r="AA1045" s="7" t="str">
        <f aca="false">IF(COUNT(U1045:X1045)=4,MAX(1,MIN(10,ROUNDUP(5-Z1045,0))),"")</f>
        <v/>
      </c>
      <c r="AB1045" s="7" t="str">
        <f aca="false">IF(COUNT(U1045:X1045)=4,MAX(1,MIN(10,ROUNDUP(Y1045+5,0))),"")</f>
        <v/>
      </c>
      <c r="AC1045" s="6"/>
      <c r="AD1045" s="6"/>
    </row>
    <row r="1046" customFormat="false" ht="15" hidden="false" customHeight="true" outlineLevel="0" collapsed="false">
      <c r="A1046" s="5" t="n">
        <v>1045</v>
      </c>
      <c r="B1046" s="5" t="s">
        <v>2632</v>
      </c>
      <c r="C1046" s="5" t="s">
        <v>171</v>
      </c>
      <c r="D1046" s="5" t="s">
        <v>172</v>
      </c>
      <c r="E1046" s="5" t="n">
        <v>107</v>
      </c>
      <c r="F1046" s="5" t="s">
        <v>2633</v>
      </c>
      <c r="G1046" s="5" t="n">
        <v>4</v>
      </c>
      <c r="H1046" s="5" t="s">
        <v>53</v>
      </c>
      <c r="I1046" s="5" t="s">
        <v>54</v>
      </c>
      <c r="J1046" s="5" t="s">
        <v>117</v>
      </c>
      <c r="K1046" s="5" t="s">
        <v>117</v>
      </c>
      <c r="L1046" s="5" t="n">
        <v>4</v>
      </c>
      <c r="M1046" s="5" t="n">
        <v>1</v>
      </c>
      <c r="N1046" s="5" t="n">
        <v>8</v>
      </c>
      <c r="O1046" s="5" t="n">
        <v>2</v>
      </c>
      <c r="P1046" s="5" t="n">
        <v>3</v>
      </c>
      <c r="Q1046" s="5" t="n">
        <v>1.5</v>
      </c>
      <c r="R1046" s="5" t="n">
        <v>4</v>
      </c>
      <c r="S1046" s="5" t="n">
        <v>8</v>
      </c>
      <c r="T1046" s="5" t="s">
        <v>2634</v>
      </c>
      <c r="U1046" s="6"/>
      <c r="V1046" s="6"/>
      <c r="W1046" s="6"/>
      <c r="X1046" s="6"/>
      <c r="Y1046" s="7" t="str">
        <f aca="false">IF(COUNT(U1046:X1046)=4,(W1046-X1046)/2,"")</f>
        <v/>
      </c>
      <c r="Z1046" s="7" t="str">
        <f aca="false">IF(COUNT(U1046:X1046)=4,(U1046-V1046)/2,"")</f>
        <v/>
      </c>
      <c r="AA1046" s="7" t="str">
        <f aca="false">IF(COUNT(U1046:X1046)=4,MAX(1,MIN(10,ROUNDUP(5-Z1046,0))),"")</f>
        <v/>
      </c>
      <c r="AB1046" s="7" t="str">
        <f aca="false">IF(COUNT(U1046:X1046)=4,MAX(1,MIN(10,ROUNDUP(Y1046+5,0))),"")</f>
        <v/>
      </c>
      <c r="AC1046" s="6"/>
      <c r="AD1046" s="6"/>
    </row>
    <row r="1047" customFormat="false" ht="15" hidden="false" customHeight="true" outlineLevel="0" collapsed="false">
      <c r="A1047" s="5" t="n">
        <v>1046</v>
      </c>
      <c r="B1047" s="5" t="s">
        <v>2635</v>
      </c>
      <c r="C1047" s="5" t="s">
        <v>171</v>
      </c>
      <c r="D1047" s="5" t="s">
        <v>172</v>
      </c>
      <c r="E1047" s="5" t="n">
        <v>107</v>
      </c>
      <c r="F1047" s="5" t="s">
        <v>2636</v>
      </c>
      <c r="G1047" s="5" t="n">
        <v>4</v>
      </c>
      <c r="H1047" s="5" t="s">
        <v>53</v>
      </c>
      <c r="I1047" s="5" t="s">
        <v>54</v>
      </c>
      <c r="J1047" s="5" t="s">
        <v>181</v>
      </c>
      <c r="K1047" s="5" t="s">
        <v>413</v>
      </c>
      <c r="L1047" s="5" t="n">
        <v>5</v>
      </c>
      <c r="M1047" s="5" t="n">
        <v>3</v>
      </c>
      <c r="N1047" s="5" t="n">
        <v>3</v>
      </c>
      <c r="O1047" s="5" t="n">
        <v>8</v>
      </c>
      <c r="P1047" s="5" t="n">
        <v>-2.5</v>
      </c>
      <c r="Q1047" s="5" t="n">
        <v>1</v>
      </c>
      <c r="R1047" s="5" t="n">
        <v>4</v>
      </c>
      <c r="S1047" s="5" t="n">
        <v>3</v>
      </c>
      <c r="T1047" s="5" t="s">
        <v>1618</v>
      </c>
      <c r="U1047" s="6"/>
      <c r="V1047" s="6"/>
      <c r="W1047" s="6"/>
      <c r="X1047" s="6"/>
      <c r="Y1047" s="7" t="str">
        <f aca="false">IF(COUNT(U1047:X1047)=4,(W1047-X1047)/2,"")</f>
        <v/>
      </c>
      <c r="Z1047" s="7" t="str">
        <f aca="false">IF(COUNT(U1047:X1047)=4,(U1047-V1047)/2,"")</f>
        <v/>
      </c>
      <c r="AA1047" s="7" t="str">
        <f aca="false">IF(COUNT(U1047:X1047)=4,MAX(1,MIN(10,ROUNDUP(5-Z1047,0))),"")</f>
        <v/>
      </c>
      <c r="AB1047" s="7" t="str">
        <f aca="false">IF(COUNT(U1047:X1047)=4,MAX(1,MIN(10,ROUNDUP(Y1047+5,0))),"")</f>
        <v/>
      </c>
      <c r="AC1047" s="6"/>
      <c r="AD1047" s="6"/>
    </row>
    <row r="1048" customFormat="false" ht="15" hidden="false" customHeight="true" outlineLevel="0" collapsed="false">
      <c r="A1048" s="5" t="n">
        <v>1047</v>
      </c>
      <c r="B1048" s="5" t="s">
        <v>2637</v>
      </c>
      <c r="C1048" s="5" t="s">
        <v>171</v>
      </c>
      <c r="D1048" s="5" t="s">
        <v>172</v>
      </c>
      <c r="E1048" s="5" t="n">
        <v>107</v>
      </c>
      <c r="F1048" s="5" t="s">
        <v>2638</v>
      </c>
      <c r="G1048" s="5" t="n">
        <v>4</v>
      </c>
      <c r="H1048" s="5" t="s">
        <v>53</v>
      </c>
      <c r="I1048" s="5" t="s">
        <v>54</v>
      </c>
      <c r="J1048" s="5" t="s">
        <v>181</v>
      </c>
      <c r="K1048" s="5" t="s">
        <v>223</v>
      </c>
      <c r="L1048" s="5" t="n">
        <v>4</v>
      </c>
      <c r="M1048" s="5" t="n">
        <v>4</v>
      </c>
      <c r="N1048" s="5" t="n">
        <v>6</v>
      </c>
      <c r="O1048" s="5" t="n">
        <v>4</v>
      </c>
      <c r="P1048" s="5" t="n">
        <v>1</v>
      </c>
      <c r="Q1048" s="5" t="n">
        <v>0</v>
      </c>
      <c r="R1048" s="5" t="n">
        <v>5</v>
      </c>
      <c r="S1048" s="5" t="n">
        <v>6</v>
      </c>
      <c r="T1048" s="5" t="s">
        <v>2639</v>
      </c>
      <c r="U1048" s="6"/>
      <c r="V1048" s="6"/>
      <c r="W1048" s="6"/>
      <c r="X1048" s="6"/>
      <c r="Y1048" s="7" t="str">
        <f aca="false">IF(COUNT(U1048:X1048)=4,(W1048-X1048)/2,"")</f>
        <v/>
      </c>
      <c r="Z1048" s="7" t="str">
        <f aca="false">IF(COUNT(U1048:X1048)=4,(U1048-V1048)/2,"")</f>
        <v/>
      </c>
      <c r="AA1048" s="7" t="str">
        <f aca="false">IF(COUNT(U1048:X1048)=4,MAX(1,MIN(10,ROUNDUP(5-Z1048,0))),"")</f>
        <v/>
      </c>
      <c r="AB1048" s="7" t="str">
        <f aca="false">IF(COUNT(U1048:X1048)=4,MAX(1,MIN(10,ROUNDUP(Y1048+5,0))),"")</f>
        <v/>
      </c>
      <c r="AC1048" s="6"/>
      <c r="AD1048" s="6"/>
    </row>
    <row r="1049" customFormat="false" ht="15" hidden="false" customHeight="true" outlineLevel="0" collapsed="false">
      <c r="A1049" s="5" t="n">
        <v>1048</v>
      </c>
      <c r="B1049" s="5" t="s">
        <v>2640</v>
      </c>
      <c r="C1049" s="5" t="s">
        <v>171</v>
      </c>
      <c r="D1049" s="5" t="s">
        <v>172</v>
      </c>
      <c r="E1049" s="5" t="n">
        <v>107</v>
      </c>
      <c r="F1049" s="5" t="s">
        <v>2641</v>
      </c>
      <c r="G1049" s="5" t="n">
        <v>4</v>
      </c>
      <c r="H1049" s="5" t="s">
        <v>53</v>
      </c>
      <c r="I1049" s="5" t="s">
        <v>54</v>
      </c>
      <c r="J1049" s="5" t="s">
        <v>181</v>
      </c>
      <c r="K1049" s="5" t="s">
        <v>593</v>
      </c>
      <c r="L1049" s="5" t="n">
        <v>2</v>
      </c>
      <c r="M1049" s="5" t="n">
        <v>6</v>
      </c>
      <c r="N1049" s="5" t="n">
        <v>7</v>
      </c>
      <c r="O1049" s="5" t="n">
        <v>3</v>
      </c>
      <c r="P1049" s="5" t="n">
        <v>2</v>
      </c>
      <c r="Q1049" s="5" t="n">
        <v>-2</v>
      </c>
      <c r="R1049" s="5" t="n">
        <v>7</v>
      </c>
      <c r="S1049" s="5" t="n">
        <v>7</v>
      </c>
      <c r="T1049" s="5" t="s">
        <v>2642</v>
      </c>
      <c r="U1049" s="6"/>
      <c r="V1049" s="6"/>
      <c r="W1049" s="6"/>
      <c r="X1049" s="6"/>
      <c r="Y1049" s="7" t="str">
        <f aca="false">IF(COUNT(U1049:X1049)=4,(W1049-X1049)/2,"")</f>
        <v/>
      </c>
      <c r="Z1049" s="7" t="str">
        <f aca="false">IF(COUNT(U1049:X1049)=4,(U1049-V1049)/2,"")</f>
        <v/>
      </c>
      <c r="AA1049" s="7" t="str">
        <f aca="false">IF(COUNT(U1049:X1049)=4,MAX(1,MIN(10,ROUNDUP(5-Z1049,0))),"")</f>
        <v/>
      </c>
      <c r="AB1049" s="7" t="str">
        <f aca="false">IF(COUNT(U1049:X1049)=4,MAX(1,MIN(10,ROUNDUP(Y1049+5,0))),"")</f>
        <v/>
      </c>
      <c r="AC1049" s="6"/>
      <c r="AD1049" s="6"/>
    </row>
    <row r="1050" customFormat="false" ht="15" hidden="false" customHeight="true" outlineLevel="0" collapsed="false">
      <c r="A1050" s="5" t="n">
        <v>1049</v>
      </c>
      <c r="B1050" s="5" t="s">
        <v>2643</v>
      </c>
      <c r="C1050" s="5" t="s">
        <v>145</v>
      </c>
      <c r="D1050" s="5" t="s">
        <v>51</v>
      </c>
      <c r="E1050" s="5" t="n">
        <v>106</v>
      </c>
      <c r="F1050" s="5" t="s">
        <v>2644</v>
      </c>
      <c r="G1050" s="5" t="n">
        <v>4</v>
      </c>
      <c r="H1050" s="5" t="s">
        <v>53</v>
      </c>
      <c r="I1050" s="5" t="s">
        <v>54</v>
      </c>
      <c r="J1050" s="5" t="s">
        <v>55</v>
      </c>
      <c r="K1050" s="5" t="s">
        <v>55</v>
      </c>
      <c r="L1050" s="5" t="n">
        <v>5</v>
      </c>
      <c r="M1050" s="5" t="n">
        <v>3</v>
      </c>
      <c r="N1050" s="5" t="n">
        <v>3</v>
      </c>
      <c r="O1050" s="5" t="n">
        <v>6</v>
      </c>
      <c r="P1050" s="5" t="n">
        <v>-1.5</v>
      </c>
      <c r="Q1050" s="5" t="n">
        <v>1</v>
      </c>
      <c r="R1050" s="5" t="n">
        <v>4</v>
      </c>
      <c r="S1050" s="5" t="n">
        <v>4</v>
      </c>
      <c r="T1050" s="5" t="s">
        <v>981</v>
      </c>
      <c r="U1050" s="6"/>
      <c r="V1050" s="6"/>
      <c r="W1050" s="6"/>
      <c r="X1050" s="6"/>
      <c r="Y1050" s="7" t="str">
        <f aca="false">IF(COUNT(U1050:X1050)=4,(W1050-X1050)/2,"")</f>
        <v/>
      </c>
      <c r="Z1050" s="7" t="str">
        <f aca="false">IF(COUNT(U1050:X1050)=4,(U1050-V1050)/2,"")</f>
        <v/>
      </c>
      <c r="AA1050" s="7" t="str">
        <f aca="false">IF(COUNT(U1050:X1050)=4,MAX(1,MIN(10,ROUNDUP(5-Z1050,0))),"")</f>
        <v/>
      </c>
      <c r="AB1050" s="7" t="str">
        <f aca="false">IF(COUNT(U1050:X1050)=4,MAX(1,MIN(10,ROUNDUP(Y1050+5,0))),"")</f>
        <v/>
      </c>
      <c r="AC1050" s="6"/>
      <c r="AD1050" s="6"/>
    </row>
    <row r="1051" customFormat="false" ht="15" hidden="false" customHeight="true" outlineLevel="0" collapsed="false">
      <c r="A1051" s="5" t="n">
        <v>1050</v>
      </c>
      <c r="B1051" s="5" t="s">
        <v>2645</v>
      </c>
      <c r="C1051" s="5" t="s">
        <v>108</v>
      </c>
      <c r="D1051" s="5" t="s">
        <v>109</v>
      </c>
      <c r="E1051" s="5" t="n">
        <v>106</v>
      </c>
      <c r="F1051" s="5" t="s">
        <v>2645</v>
      </c>
      <c r="G1051" s="5" t="n">
        <v>2</v>
      </c>
      <c r="H1051" s="5" t="s">
        <v>47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 t="s">
        <v>2646</v>
      </c>
      <c r="U1051" s="6"/>
      <c r="V1051" s="6"/>
      <c r="W1051" s="6"/>
      <c r="X1051" s="6"/>
      <c r="Y1051" s="7" t="str">
        <f aca="false">IF(COUNT(U1051:X1051)=4,(W1051-X1051)/2,"")</f>
        <v/>
      </c>
      <c r="Z1051" s="7" t="str">
        <f aca="false">IF(COUNT(U1051:X1051)=4,(U1051-V1051)/2,"")</f>
        <v/>
      </c>
      <c r="AA1051" s="7" t="str">
        <f aca="false">IF(COUNT(U1051:X1051)=4,MAX(1,MIN(10,ROUNDUP(5-Z1051,0))),"")</f>
        <v/>
      </c>
      <c r="AB1051" s="7" t="str">
        <f aca="false">IF(COUNT(U1051:X1051)=4,MAX(1,MIN(10,ROUNDUP(Y1051+5,0))),"")</f>
        <v/>
      </c>
      <c r="AC1051" s="6"/>
      <c r="AD1051" s="6"/>
    </row>
    <row r="1052" customFormat="false" ht="15" hidden="false" customHeight="true" outlineLevel="0" collapsed="false">
      <c r="A1052" s="5" t="n">
        <v>1051</v>
      </c>
      <c r="B1052" s="5" t="s">
        <v>2647</v>
      </c>
      <c r="C1052" s="5" t="s">
        <v>203</v>
      </c>
      <c r="D1052" s="5" t="s">
        <v>204</v>
      </c>
      <c r="E1052" s="5" t="n">
        <v>106</v>
      </c>
      <c r="F1052" s="5" t="s">
        <v>2648</v>
      </c>
      <c r="G1052" s="5" t="n">
        <v>4</v>
      </c>
      <c r="H1052" s="5" t="s">
        <v>53</v>
      </c>
      <c r="I1052" s="5" t="s">
        <v>54</v>
      </c>
      <c r="J1052" s="5" t="s">
        <v>117</v>
      </c>
      <c r="K1052" s="5" t="s">
        <v>117</v>
      </c>
      <c r="L1052" s="5" t="n">
        <v>3</v>
      </c>
      <c r="M1052" s="5" t="n">
        <v>4</v>
      </c>
      <c r="N1052" s="5" t="n">
        <v>2</v>
      </c>
      <c r="O1052" s="5" t="n">
        <v>7</v>
      </c>
      <c r="P1052" s="5" t="n">
        <v>-2.5</v>
      </c>
      <c r="Q1052" s="5" t="n">
        <v>-0.5</v>
      </c>
      <c r="R1052" s="5" t="n">
        <v>6</v>
      </c>
      <c r="S1052" s="5" t="n">
        <v>3</v>
      </c>
      <c r="T1052" s="5" t="s">
        <v>384</v>
      </c>
      <c r="U1052" s="6"/>
      <c r="V1052" s="6"/>
      <c r="W1052" s="6"/>
      <c r="X1052" s="6"/>
      <c r="Y1052" s="7" t="str">
        <f aca="false">IF(COUNT(U1052:X1052)=4,(W1052-X1052)/2,"")</f>
        <v/>
      </c>
      <c r="Z1052" s="7" t="str">
        <f aca="false">IF(COUNT(U1052:X1052)=4,(U1052-V1052)/2,"")</f>
        <v/>
      </c>
      <c r="AA1052" s="7" t="str">
        <f aca="false">IF(COUNT(U1052:X1052)=4,MAX(1,MIN(10,ROUNDUP(5-Z1052,0))),"")</f>
        <v/>
      </c>
      <c r="AB1052" s="7" t="str">
        <f aca="false">IF(COUNT(U1052:X1052)=4,MAX(1,MIN(10,ROUNDUP(Y1052+5,0))),"")</f>
        <v/>
      </c>
      <c r="AC1052" s="6"/>
      <c r="AD1052" s="6"/>
    </row>
    <row r="1053" customFormat="false" ht="15" hidden="false" customHeight="true" outlineLevel="0" collapsed="false">
      <c r="A1053" s="5" t="n">
        <v>1052</v>
      </c>
      <c r="B1053" s="5" t="s">
        <v>2649</v>
      </c>
      <c r="C1053" s="5" t="s">
        <v>203</v>
      </c>
      <c r="D1053" s="5" t="s">
        <v>204</v>
      </c>
      <c r="E1053" s="5" t="n">
        <v>106</v>
      </c>
      <c r="F1053" s="5" t="s">
        <v>2650</v>
      </c>
      <c r="G1053" s="5" t="n">
        <v>4</v>
      </c>
      <c r="H1053" s="5" t="s">
        <v>53</v>
      </c>
      <c r="I1053" s="5" t="s">
        <v>54</v>
      </c>
      <c r="J1053" s="5" t="s">
        <v>117</v>
      </c>
      <c r="K1053" s="5" t="s">
        <v>117</v>
      </c>
      <c r="L1053" s="5" t="n">
        <v>3</v>
      </c>
      <c r="M1053" s="5" t="n">
        <v>3</v>
      </c>
      <c r="N1053" s="5" t="n">
        <v>2</v>
      </c>
      <c r="O1053" s="5" t="n">
        <v>7</v>
      </c>
      <c r="P1053" s="5" t="n">
        <v>-2.5</v>
      </c>
      <c r="Q1053" s="5" t="n">
        <v>0</v>
      </c>
      <c r="R1053" s="5" t="n">
        <v>5</v>
      </c>
      <c r="S1053" s="5" t="n">
        <v>3</v>
      </c>
      <c r="T1053" s="5" t="s">
        <v>2651</v>
      </c>
      <c r="U1053" s="6"/>
      <c r="V1053" s="6"/>
      <c r="W1053" s="6"/>
      <c r="X1053" s="6"/>
      <c r="Y1053" s="7" t="str">
        <f aca="false">IF(COUNT(U1053:X1053)=4,(W1053-X1053)/2,"")</f>
        <v/>
      </c>
      <c r="Z1053" s="7" t="str">
        <f aca="false">IF(COUNT(U1053:X1053)=4,(U1053-V1053)/2,"")</f>
        <v/>
      </c>
      <c r="AA1053" s="7" t="str">
        <f aca="false">IF(COUNT(U1053:X1053)=4,MAX(1,MIN(10,ROUNDUP(5-Z1053,0))),"")</f>
        <v/>
      </c>
      <c r="AB1053" s="7" t="str">
        <f aca="false">IF(COUNT(U1053:X1053)=4,MAX(1,MIN(10,ROUNDUP(Y1053+5,0))),"")</f>
        <v/>
      </c>
      <c r="AC1053" s="6"/>
      <c r="AD1053" s="6"/>
    </row>
    <row r="1054" customFormat="false" ht="15" hidden="false" customHeight="true" outlineLevel="0" collapsed="false">
      <c r="A1054" s="5" t="n">
        <v>1053</v>
      </c>
      <c r="B1054" s="5" t="s">
        <v>2652</v>
      </c>
      <c r="C1054" s="5" t="s">
        <v>171</v>
      </c>
      <c r="D1054" s="5" t="s">
        <v>172</v>
      </c>
      <c r="E1054" s="5" t="n">
        <v>106</v>
      </c>
      <c r="F1054" s="5" t="s">
        <v>2653</v>
      </c>
      <c r="G1054" s="5" t="n">
        <v>4</v>
      </c>
      <c r="H1054" s="5" t="s">
        <v>53</v>
      </c>
      <c r="I1054" s="5" t="s">
        <v>81</v>
      </c>
      <c r="J1054" s="5" t="s">
        <v>174</v>
      </c>
      <c r="K1054" s="5" t="s">
        <v>175</v>
      </c>
      <c r="L1054" s="5" t="n">
        <v>9</v>
      </c>
      <c r="M1054" s="5" t="n">
        <v>1</v>
      </c>
      <c r="N1054" s="5" t="n">
        <v>1</v>
      </c>
      <c r="O1054" s="5" t="n">
        <v>10</v>
      </c>
      <c r="P1054" s="5" t="n">
        <v>-4.5</v>
      </c>
      <c r="Q1054" s="5" t="n">
        <v>4</v>
      </c>
      <c r="R1054" s="5" t="n">
        <v>1</v>
      </c>
      <c r="S1054" s="5" t="n">
        <v>1</v>
      </c>
      <c r="T1054" s="5" t="s">
        <v>2654</v>
      </c>
      <c r="U1054" s="6"/>
      <c r="V1054" s="6"/>
      <c r="W1054" s="6"/>
      <c r="X1054" s="6"/>
      <c r="Y1054" s="7" t="str">
        <f aca="false">IF(COUNT(U1054:X1054)=4,(W1054-X1054)/2,"")</f>
        <v/>
      </c>
      <c r="Z1054" s="7" t="str">
        <f aca="false">IF(COUNT(U1054:X1054)=4,(U1054-V1054)/2,"")</f>
        <v/>
      </c>
      <c r="AA1054" s="7" t="str">
        <f aca="false">IF(COUNT(U1054:X1054)=4,MAX(1,MIN(10,ROUNDUP(5-Z1054,0))),"")</f>
        <v/>
      </c>
      <c r="AB1054" s="7" t="str">
        <f aca="false">IF(COUNT(U1054:X1054)=4,MAX(1,MIN(10,ROUNDUP(Y1054+5,0))),"")</f>
        <v/>
      </c>
      <c r="AC1054" s="6"/>
      <c r="AD1054" s="6"/>
    </row>
    <row r="1055" customFormat="false" ht="15" hidden="false" customHeight="true" outlineLevel="0" collapsed="false">
      <c r="A1055" s="5" t="n">
        <v>1054</v>
      </c>
      <c r="B1055" s="5" t="s">
        <v>2655</v>
      </c>
      <c r="C1055" s="5" t="s">
        <v>171</v>
      </c>
      <c r="D1055" s="5" t="s">
        <v>172</v>
      </c>
      <c r="E1055" s="5" t="n">
        <v>106</v>
      </c>
      <c r="F1055" s="5" t="s">
        <v>2656</v>
      </c>
      <c r="G1055" s="5" t="n">
        <v>4</v>
      </c>
      <c r="H1055" s="5" t="s">
        <v>53</v>
      </c>
      <c r="I1055" s="5" t="s">
        <v>54</v>
      </c>
      <c r="J1055" s="5" t="s">
        <v>181</v>
      </c>
      <c r="K1055" s="5" t="s">
        <v>443</v>
      </c>
      <c r="L1055" s="5" t="n">
        <v>5</v>
      </c>
      <c r="M1055" s="5" t="n">
        <v>3</v>
      </c>
      <c r="N1055" s="5" t="n">
        <v>4</v>
      </c>
      <c r="O1055" s="5" t="n">
        <v>8</v>
      </c>
      <c r="P1055" s="5" t="n">
        <v>-2</v>
      </c>
      <c r="Q1055" s="5" t="n">
        <v>1</v>
      </c>
      <c r="R1055" s="5" t="n">
        <v>4</v>
      </c>
      <c r="S1055" s="5" t="n">
        <v>3</v>
      </c>
      <c r="T1055" s="5" t="s">
        <v>1149</v>
      </c>
      <c r="U1055" s="6"/>
      <c r="V1055" s="6"/>
      <c r="W1055" s="6"/>
      <c r="X1055" s="6"/>
      <c r="Y1055" s="7" t="str">
        <f aca="false">IF(COUNT(U1055:X1055)=4,(W1055-X1055)/2,"")</f>
        <v/>
      </c>
      <c r="Z1055" s="7" t="str">
        <f aca="false">IF(COUNT(U1055:X1055)=4,(U1055-V1055)/2,"")</f>
        <v/>
      </c>
      <c r="AA1055" s="7" t="str">
        <f aca="false">IF(COUNT(U1055:X1055)=4,MAX(1,MIN(10,ROUNDUP(5-Z1055,0))),"")</f>
        <v/>
      </c>
      <c r="AB1055" s="7" t="str">
        <f aca="false">IF(COUNT(U1055:X1055)=4,MAX(1,MIN(10,ROUNDUP(Y1055+5,0))),"")</f>
        <v/>
      </c>
      <c r="AC1055" s="6"/>
      <c r="AD1055" s="6"/>
    </row>
    <row r="1056" customFormat="false" ht="15" hidden="false" customHeight="true" outlineLevel="0" collapsed="false">
      <c r="A1056" s="5" t="n">
        <v>1055</v>
      </c>
      <c r="B1056" s="5" t="s">
        <v>2657</v>
      </c>
      <c r="C1056" s="5" t="s">
        <v>171</v>
      </c>
      <c r="D1056" s="5" t="s">
        <v>172</v>
      </c>
      <c r="E1056" s="5" t="n">
        <v>106</v>
      </c>
      <c r="F1056" s="5" t="s">
        <v>2658</v>
      </c>
      <c r="G1056" s="5" t="n">
        <v>4</v>
      </c>
      <c r="H1056" s="5" t="s">
        <v>53</v>
      </c>
      <c r="I1056" s="5" t="s">
        <v>54</v>
      </c>
      <c r="J1056" s="5" t="s">
        <v>181</v>
      </c>
      <c r="K1056" s="5" t="s">
        <v>443</v>
      </c>
      <c r="L1056" s="5" t="n">
        <v>5</v>
      </c>
      <c r="M1056" s="5" t="n">
        <v>3</v>
      </c>
      <c r="N1056" s="5" t="n">
        <v>4</v>
      </c>
      <c r="O1056" s="5" t="n">
        <v>8</v>
      </c>
      <c r="P1056" s="5" t="n">
        <v>-2</v>
      </c>
      <c r="Q1056" s="5" t="n">
        <v>1</v>
      </c>
      <c r="R1056" s="5" t="n">
        <v>4</v>
      </c>
      <c r="S1056" s="5" t="n">
        <v>3</v>
      </c>
      <c r="T1056" s="5" t="s">
        <v>2659</v>
      </c>
      <c r="U1056" s="6"/>
      <c r="V1056" s="6"/>
      <c r="W1056" s="6"/>
      <c r="X1056" s="6"/>
      <c r="Y1056" s="7" t="str">
        <f aca="false">IF(COUNT(U1056:X1056)=4,(W1056-X1056)/2,"")</f>
        <v/>
      </c>
      <c r="Z1056" s="7" t="str">
        <f aca="false">IF(COUNT(U1056:X1056)=4,(U1056-V1056)/2,"")</f>
        <v/>
      </c>
      <c r="AA1056" s="7" t="str">
        <f aca="false">IF(COUNT(U1056:X1056)=4,MAX(1,MIN(10,ROUNDUP(5-Z1056,0))),"")</f>
        <v/>
      </c>
      <c r="AB1056" s="7" t="str">
        <f aca="false">IF(COUNT(U1056:X1056)=4,MAX(1,MIN(10,ROUNDUP(Y1056+5,0))),"")</f>
        <v/>
      </c>
      <c r="AC1056" s="6"/>
      <c r="AD1056" s="6"/>
    </row>
    <row r="1057" customFormat="false" ht="15" hidden="false" customHeight="true" outlineLevel="0" collapsed="false">
      <c r="A1057" s="5" t="n">
        <v>1056</v>
      </c>
      <c r="B1057" s="5" t="s">
        <v>2660</v>
      </c>
      <c r="C1057" s="5" t="s">
        <v>171</v>
      </c>
      <c r="D1057" s="5" t="s">
        <v>172</v>
      </c>
      <c r="E1057" s="5" t="n">
        <v>106</v>
      </c>
      <c r="F1057" s="5" t="s">
        <v>2661</v>
      </c>
      <c r="G1057" s="5" t="n">
        <v>4</v>
      </c>
      <c r="H1057" s="5" t="s">
        <v>53</v>
      </c>
      <c r="I1057" s="5" t="s">
        <v>54</v>
      </c>
      <c r="J1057" s="5" t="s">
        <v>181</v>
      </c>
      <c r="K1057" s="5" t="s">
        <v>673</v>
      </c>
      <c r="L1057" s="5" t="n">
        <v>4</v>
      </c>
      <c r="M1057" s="5" t="n">
        <v>4</v>
      </c>
      <c r="N1057" s="5" t="n">
        <v>5</v>
      </c>
      <c r="O1057" s="5" t="n">
        <v>6</v>
      </c>
      <c r="P1057" s="5" t="n">
        <v>-0.5</v>
      </c>
      <c r="Q1057" s="5" t="n">
        <v>0</v>
      </c>
      <c r="R1057" s="5" t="n">
        <v>5</v>
      </c>
      <c r="S1057" s="5" t="n">
        <v>5</v>
      </c>
      <c r="T1057" s="5" t="s">
        <v>2662</v>
      </c>
      <c r="U1057" s="6"/>
      <c r="V1057" s="6"/>
      <c r="W1057" s="6"/>
      <c r="X1057" s="6"/>
      <c r="Y1057" s="7" t="str">
        <f aca="false">IF(COUNT(U1057:X1057)=4,(W1057-X1057)/2,"")</f>
        <v/>
      </c>
      <c r="Z1057" s="7" t="str">
        <f aca="false">IF(COUNT(U1057:X1057)=4,(U1057-V1057)/2,"")</f>
        <v/>
      </c>
      <c r="AA1057" s="7" t="str">
        <f aca="false">IF(COUNT(U1057:X1057)=4,MAX(1,MIN(10,ROUNDUP(5-Z1057,0))),"")</f>
        <v/>
      </c>
      <c r="AB1057" s="7" t="str">
        <f aca="false">IF(COUNT(U1057:X1057)=4,MAX(1,MIN(10,ROUNDUP(Y1057+5,0))),"")</f>
        <v/>
      </c>
      <c r="AC1057" s="6"/>
      <c r="AD1057" s="6"/>
    </row>
    <row r="1058" customFormat="false" ht="15" hidden="false" customHeight="true" outlineLevel="0" collapsed="false">
      <c r="A1058" s="5" t="n">
        <v>1057</v>
      </c>
      <c r="B1058" s="5" t="s">
        <v>2663</v>
      </c>
      <c r="C1058" s="5" t="s">
        <v>171</v>
      </c>
      <c r="D1058" s="5" t="s">
        <v>172</v>
      </c>
      <c r="E1058" s="5" t="n">
        <v>106</v>
      </c>
      <c r="F1058" s="5" t="s">
        <v>2664</v>
      </c>
      <c r="G1058" s="5" t="n">
        <v>4</v>
      </c>
      <c r="H1058" s="5" t="s">
        <v>53</v>
      </c>
      <c r="I1058" s="5" t="s">
        <v>54</v>
      </c>
      <c r="J1058" s="5" t="s">
        <v>181</v>
      </c>
      <c r="K1058" s="5" t="s">
        <v>279</v>
      </c>
      <c r="L1058" s="5" t="n">
        <v>5</v>
      </c>
      <c r="M1058" s="5" t="n">
        <v>5</v>
      </c>
      <c r="N1058" s="5" t="n">
        <v>5</v>
      </c>
      <c r="O1058" s="5" t="n">
        <v>7</v>
      </c>
      <c r="P1058" s="5" t="n">
        <v>-1</v>
      </c>
      <c r="Q1058" s="5" t="n">
        <v>0</v>
      </c>
      <c r="R1058" s="5" t="n">
        <v>5</v>
      </c>
      <c r="S1058" s="5" t="n">
        <v>4</v>
      </c>
      <c r="T1058" s="5" t="s">
        <v>2665</v>
      </c>
      <c r="U1058" s="6"/>
      <c r="V1058" s="6"/>
      <c r="W1058" s="6"/>
      <c r="X1058" s="6"/>
      <c r="Y1058" s="7" t="str">
        <f aca="false">IF(COUNT(U1058:X1058)=4,(W1058-X1058)/2,"")</f>
        <v/>
      </c>
      <c r="Z1058" s="7" t="str">
        <f aca="false">IF(COUNT(U1058:X1058)=4,(U1058-V1058)/2,"")</f>
        <v/>
      </c>
      <c r="AA1058" s="7" t="str">
        <f aca="false">IF(COUNT(U1058:X1058)=4,MAX(1,MIN(10,ROUNDUP(5-Z1058,0))),"")</f>
        <v/>
      </c>
      <c r="AB1058" s="7" t="str">
        <f aca="false">IF(COUNT(U1058:X1058)=4,MAX(1,MIN(10,ROUNDUP(Y1058+5,0))),"")</f>
        <v/>
      </c>
      <c r="AC1058" s="6"/>
      <c r="AD1058" s="6"/>
    </row>
    <row r="1059" customFormat="false" ht="15" hidden="false" customHeight="true" outlineLevel="0" collapsed="false">
      <c r="A1059" s="5" t="n">
        <v>1058</v>
      </c>
      <c r="B1059" s="5" t="s">
        <v>2666</v>
      </c>
      <c r="C1059" s="5" t="s">
        <v>171</v>
      </c>
      <c r="D1059" s="5" t="s">
        <v>172</v>
      </c>
      <c r="E1059" s="5" t="n">
        <v>105</v>
      </c>
      <c r="F1059" s="5" t="s">
        <v>2667</v>
      </c>
      <c r="G1059" s="5" t="n">
        <v>4</v>
      </c>
      <c r="H1059" s="5" t="s">
        <v>53</v>
      </c>
      <c r="I1059" s="5" t="s">
        <v>54</v>
      </c>
      <c r="J1059" s="5" t="s">
        <v>181</v>
      </c>
      <c r="K1059" s="5" t="s">
        <v>574</v>
      </c>
      <c r="L1059" s="5" t="n">
        <v>3</v>
      </c>
      <c r="M1059" s="5" t="n">
        <v>5</v>
      </c>
      <c r="N1059" s="5" t="n">
        <v>4</v>
      </c>
      <c r="O1059" s="5" t="n">
        <v>7</v>
      </c>
      <c r="P1059" s="5" t="n">
        <v>-1.5</v>
      </c>
      <c r="Q1059" s="5" t="n">
        <v>-1</v>
      </c>
      <c r="R1059" s="5" t="n">
        <v>6</v>
      </c>
      <c r="S1059" s="5" t="n">
        <v>4</v>
      </c>
      <c r="T1059" s="5" t="s">
        <v>71</v>
      </c>
      <c r="U1059" s="6"/>
      <c r="V1059" s="6"/>
      <c r="W1059" s="6"/>
      <c r="X1059" s="6"/>
      <c r="Y1059" s="7" t="str">
        <f aca="false">IF(COUNT(U1059:X1059)=4,(W1059-X1059)/2,"")</f>
        <v/>
      </c>
      <c r="Z1059" s="7" t="str">
        <f aca="false">IF(COUNT(U1059:X1059)=4,(U1059-V1059)/2,"")</f>
        <v/>
      </c>
      <c r="AA1059" s="7" t="str">
        <f aca="false">IF(COUNT(U1059:X1059)=4,MAX(1,MIN(10,ROUNDUP(5-Z1059,0))),"")</f>
        <v/>
      </c>
      <c r="AB1059" s="7" t="str">
        <f aca="false">IF(COUNT(U1059:X1059)=4,MAX(1,MIN(10,ROUNDUP(Y1059+5,0))),"")</f>
        <v/>
      </c>
      <c r="AC1059" s="6"/>
      <c r="AD1059" s="6"/>
    </row>
    <row r="1060" customFormat="false" ht="15" hidden="false" customHeight="true" outlineLevel="0" collapsed="false">
      <c r="A1060" s="5" t="n">
        <v>1059</v>
      </c>
      <c r="B1060" s="5" t="s">
        <v>2668</v>
      </c>
      <c r="C1060" s="5" t="s">
        <v>171</v>
      </c>
      <c r="D1060" s="5" t="s">
        <v>172</v>
      </c>
      <c r="E1060" s="5" t="n">
        <v>105</v>
      </c>
      <c r="F1060" s="5" t="s">
        <v>2669</v>
      </c>
      <c r="G1060" s="5" t="n">
        <v>4</v>
      </c>
      <c r="H1060" s="5" t="s">
        <v>53</v>
      </c>
      <c r="I1060" s="5" t="s">
        <v>54</v>
      </c>
      <c r="J1060" s="5" t="s">
        <v>181</v>
      </c>
      <c r="K1060" s="5" t="s">
        <v>182</v>
      </c>
      <c r="L1060" s="5" t="n">
        <v>2</v>
      </c>
      <c r="M1060" s="5" t="n">
        <v>6</v>
      </c>
      <c r="N1060" s="5" t="n">
        <v>7</v>
      </c>
      <c r="O1060" s="5" t="n">
        <v>3</v>
      </c>
      <c r="P1060" s="5" t="n">
        <v>2</v>
      </c>
      <c r="Q1060" s="5" t="n">
        <v>-2</v>
      </c>
      <c r="R1060" s="5" t="n">
        <v>7</v>
      </c>
      <c r="S1060" s="5" t="n">
        <v>7</v>
      </c>
      <c r="T1060" s="5" t="s">
        <v>2670</v>
      </c>
      <c r="U1060" s="6"/>
      <c r="V1060" s="6"/>
      <c r="W1060" s="6"/>
      <c r="X1060" s="6"/>
      <c r="Y1060" s="7" t="str">
        <f aca="false">IF(COUNT(U1060:X1060)=4,(W1060-X1060)/2,"")</f>
        <v/>
      </c>
      <c r="Z1060" s="7" t="str">
        <f aca="false">IF(COUNT(U1060:X1060)=4,(U1060-V1060)/2,"")</f>
        <v/>
      </c>
      <c r="AA1060" s="7" t="str">
        <f aca="false">IF(COUNT(U1060:X1060)=4,MAX(1,MIN(10,ROUNDUP(5-Z1060,0))),"")</f>
        <v/>
      </c>
      <c r="AB1060" s="7" t="str">
        <f aca="false">IF(COUNT(U1060:X1060)=4,MAX(1,MIN(10,ROUNDUP(Y1060+5,0))),"")</f>
        <v/>
      </c>
      <c r="AC1060" s="6"/>
      <c r="AD1060" s="6"/>
    </row>
    <row r="1061" customFormat="false" ht="15" hidden="false" customHeight="true" outlineLevel="0" collapsed="false">
      <c r="A1061" s="5" t="n">
        <v>1060</v>
      </c>
      <c r="B1061" s="5" t="s">
        <v>2671</v>
      </c>
      <c r="C1061" s="5" t="s">
        <v>171</v>
      </c>
      <c r="D1061" s="5" t="s">
        <v>172</v>
      </c>
      <c r="E1061" s="5" t="n">
        <v>105</v>
      </c>
      <c r="F1061" s="5" t="s">
        <v>2671</v>
      </c>
      <c r="G1061" s="5" t="n">
        <v>4</v>
      </c>
      <c r="H1061" s="5" t="s">
        <v>53</v>
      </c>
      <c r="I1061" s="5" t="s">
        <v>54</v>
      </c>
      <c r="J1061" s="5" t="s">
        <v>181</v>
      </c>
      <c r="K1061" s="5" t="s">
        <v>221</v>
      </c>
      <c r="L1061" s="5" t="n">
        <v>4</v>
      </c>
      <c r="M1061" s="5" t="n">
        <v>5</v>
      </c>
      <c r="N1061" s="5" t="n">
        <v>6</v>
      </c>
      <c r="O1061" s="5" t="n">
        <v>5</v>
      </c>
      <c r="P1061" s="5" t="n">
        <v>0.5</v>
      </c>
      <c r="Q1061" s="5" t="n">
        <v>-0.5</v>
      </c>
      <c r="R1061" s="5" t="n">
        <v>6</v>
      </c>
      <c r="S1061" s="5" t="n">
        <v>6</v>
      </c>
      <c r="T1061" s="5" t="s">
        <v>2672</v>
      </c>
      <c r="U1061" s="6"/>
      <c r="V1061" s="6"/>
      <c r="W1061" s="6"/>
      <c r="X1061" s="6"/>
      <c r="Y1061" s="7" t="str">
        <f aca="false">IF(COUNT(U1061:X1061)=4,(W1061-X1061)/2,"")</f>
        <v/>
      </c>
      <c r="Z1061" s="7" t="str">
        <f aca="false">IF(COUNT(U1061:X1061)=4,(U1061-V1061)/2,"")</f>
        <v/>
      </c>
      <c r="AA1061" s="7" t="str">
        <f aca="false">IF(COUNT(U1061:X1061)=4,MAX(1,MIN(10,ROUNDUP(5-Z1061,0))),"")</f>
        <v/>
      </c>
      <c r="AB1061" s="7" t="str">
        <f aca="false">IF(COUNT(U1061:X1061)=4,MAX(1,MIN(10,ROUNDUP(Y1061+5,0))),"")</f>
        <v/>
      </c>
      <c r="AC1061" s="6"/>
      <c r="AD1061" s="6"/>
    </row>
    <row r="1062" customFormat="false" ht="15" hidden="false" customHeight="true" outlineLevel="0" collapsed="false">
      <c r="A1062" s="5" t="n">
        <v>1061</v>
      </c>
      <c r="B1062" s="5" t="s">
        <v>2673</v>
      </c>
      <c r="C1062" s="5" t="s">
        <v>145</v>
      </c>
      <c r="D1062" s="5" t="s">
        <v>51</v>
      </c>
      <c r="E1062" s="5" t="n">
        <v>105</v>
      </c>
      <c r="F1062" s="5" t="s">
        <v>2674</v>
      </c>
      <c r="G1062" s="5" t="n">
        <v>4</v>
      </c>
      <c r="H1062" s="5" t="s">
        <v>53</v>
      </c>
      <c r="I1062" s="5" t="s">
        <v>54</v>
      </c>
      <c r="J1062" s="5" t="s">
        <v>55</v>
      </c>
      <c r="K1062" s="5" t="s">
        <v>55</v>
      </c>
      <c r="L1062" s="5" t="n">
        <v>5</v>
      </c>
      <c r="M1062" s="5" t="n">
        <v>2</v>
      </c>
      <c r="N1062" s="5" t="n">
        <v>8</v>
      </c>
      <c r="O1062" s="5" t="n">
        <v>4</v>
      </c>
      <c r="P1062" s="5" t="n">
        <v>2</v>
      </c>
      <c r="Q1062" s="5" t="n">
        <v>1.5</v>
      </c>
      <c r="R1062" s="5" t="n">
        <v>4</v>
      </c>
      <c r="S1062" s="5" t="n">
        <v>7</v>
      </c>
      <c r="T1062" s="5" t="s">
        <v>2675</v>
      </c>
      <c r="U1062" s="6"/>
      <c r="V1062" s="6"/>
      <c r="W1062" s="6"/>
      <c r="X1062" s="6"/>
      <c r="Y1062" s="7" t="str">
        <f aca="false">IF(COUNT(U1062:X1062)=4,(W1062-X1062)/2,"")</f>
        <v/>
      </c>
      <c r="Z1062" s="7" t="str">
        <f aca="false">IF(COUNT(U1062:X1062)=4,(U1062-V1062)/2,"")</f>
        <v/>
      </c>
      <c r="AA1062" s="7" t="str">
        <f aca="false">IF(COUNT(U1062:X1062)=4,MAX(1,MIN(10,ROUNDUP(5-Z1062,0))),"")</f>
        <v/>
      </c>
      <c r="AB1062" s="7" t="str">
        <f aca="false">IF(COUNT(U1062:X1062)=4,MAX(1,MIN(10,ROUNDUP(Y1062+5,0))),"")</f>
        <v/>
      </c>
      <c r="AC1062" s="6"/>
      <c r="AD1062" s="6"/>
    </row>
    <row r="1063" customFormat="false" ht="15" hidden="false" customHeight="true" outlineLevel="0" collapsed="false">
      <c r="A1063" s="5" t="n">
        <v>1062</v>
      </c>
      <c r="B1063" s="5" t="s">
        <v>2676</v>
      </c>
      <c r="C1063" s="5" t="s">
        <v>171</v>
      </c>
      <c r="D1063" s="5" t="s">
        <v>172</v>
      </c>
      <c r="E1063" s="5" t="n">
        <v>105</v>
      </c>
      <c r="F1063" s="5" t="s">
        <v>2677</v>
      </c>
      <c r="G1063" s="5" t="n">
        <v>4</v>
      </c>
      <c r="H1063" s="5" t="s">
        <v>53</v>
      </c>
      <c r="I1063" s="5" t="s">
        <v>54</v>
      </c>
      <c r="J1063" s="5" t="s">
        <v>181</v>
      </c>
      <c r="K1063" s="5" t="s">
        <v>593</v>
      </c>
      <c r="L1063" s="5" t="n">
        <v>2</v>
      </c>
      <c r="M1063" s="5" t="n">
        <v>6</v>
      </c>
      <c r="N1063" s="5" t="n">
        <v>7</v>
      </c>
      <c r="O1063" s="5" t="n">
        <v>3</v>
      </c>
      <c r="P1063" s="5" t="n">
        <v>2</v>
      </c>
      <c r="Q1063" s="5" t="n">
        <v>-2</v>
      </c>
      <c r="R1063" s="5" t="n">
        <v>7</v>
      </c>
      <c r="S1063" s="5" t="n">
        <v>7</v>
      </c>
      <c r="T1063" s="5" t="s">
        <v>112</v>
      </c>
      <c r="U1063" s="6"/>
      <c r="V1063" s="6"/>
      <c r="W1063" s="6"/>
      <c r="X1063" s="6"/>
      <c r="Y1063" s="7" t="str">
        <f aca="false">IF(COUNT(U1063:X1063)=4,(W1063-X1063)/2,"")</f>
        <v/>
      </c>
      <c r="Z1063" s="7" t="str">
        <f aca="false">IF(COUNT(U1063:X1063)=4,(U1063-V1063)/2,"")</f>
        <v/>
      </c>
      <c r="AA1063" s="7" t="str">
        <f aca="false">IF(COUNT(U1063:X1063)=4,MAX(1,MIN(10,ROUNDUP(5-Z1063,0))),"")</f>
        <v/>
      </c>
      <c r="AB1063" s="7" t="str">
        <f aca="false">IF(COUNT(U1063:X1063)=4,MAX(1,MIN(10,ROUNDUP(Y1063+5,0))),"")</f>
        <v/>
      </c>
      <c r="AC1063" s="6"/>
      <c r="AD1063" s="6"/>
    </row>
    <row r="1064" customFormat="false" ht="15" hidden="false" customHeight="true" outlineLevel="0" collapsed="false">
      <c r="A1064" s="5" t="n">
        <v>1063</v>
      </c>
      <c r="B1064" s="5" t="s">
        <v>2678</v>
      </c>
      <c r="C1064" s="5" t="s">
        <v>171</v>
      </c>
      <c r="D1064" s="5" t="s">
        <v>172</v>
      </c>
      <c r="E1064" s="5" t="n">
        <v>105</v>
      </c>
      <c r="F1064" s="5" t="s">
        <v>2679</v>
      </c>
      <c r="G1064" s="5" t="n">
        <v>4</v>
      </c>
      <c r="H1064" s="5" t="s">
        <v>53</v>
      </c>
      <c r="I1064" s="5" t="s">
        <v>54</v>
      </c>
      <c r="J1064" s="5" t="s">
        <v>181</v>
      </c>
      <c r="K1064" s="5" t="s">
        <v>413</v>
      </c>
      <c r="L1064" s="5" t="n">
        <v>5</v>
      </c>
      <c r="M1064" s="5" t="n">
        <v>3</v>
      </c>
      <c r="N1064" s="5" t="n">
        <v>3</v>
      </c>
      <c r="O1064" s="5" t="n">
        <v>8</v>
      </c>
      <c r="P1064" s="5" t="n">
        <v>-2.5</v>
      </c>
      <c r="Q1064" s="5" t="n">
        <v>1</v>
      </c>
      <c r="R1064" s="5" t="n">
        <v>4</v>
      </c>
      <c r="S1064" s="5" t="n">
        <v>3</v>
      </c>
      <c r="T1064" s="5" t="s">
        <v>2680</v>
      </c>
      <c r="U1064" s="6"/>
      <c r="V1064" s="6"/>
      <c r="W1064" s="6"/>
      <c r="X1064" s="6"/>
      <c r="Y1064" s="7" t="str">
        <f aca="false">IF(COUNT(U1064:X1064)=4,(W1064-X1064)/2,"")</f>
        <v/>
      </c>
      <c r="Z1064" s="7" t="str">
        <f aca="false">IF(COUNT(U1064:X1064)=4,(U1064-V1064)/2,"")</f>
        <v/>
      </c>
      <c r="AA1064" s="7" t="str">
        <f aca="false">IF(COUNT(U1064:X1064)=4,MAX(1,MIN(10,ROUNDUP(5-Z1064,0))),"")</f>
        <v/>
      </c>
      <c r="AB1064" s="7" t="str">
        <f aca="false">IF(COUNT(U1064:X1064)=4,MAX(1,MIN(10,ROUNDUP(Y1064+5,0))),"")</f>
        <v/>
      </c>
      <c r="AC1064" s="6"/>
      <c r="AD1064" s="6"/>
    </row>
    <row r="1065" customFormat="false" ht="15" hidden="false" customHeight="true" outlineLevel="0" collapsed="false">
      <c r="A1065" s="5" t="n">
        <v>1064</v>
      </c>
      <c r="B1065" s="5" t="s">
        <v>2681</v>
      </c>
      <c r="C1065" s="5" t="s">
        <v>171</v>
      </c>
      <c r="D1065" s="5" t="s">
        <v>172</v>
      </c>
      <c r="E1065" s="5" t="n">
        <v>105</v>
      </c>
      <c r="F1065" s="5" t="s">
        <v>2682</v>
      </c>
      <c r="G1065" s="5" t="n">
        <v>4</v>
      </c>
      <c r="H1065" s="5" t="s">
        <v>53</v>
      </c>
      <c r="I1065" s="5" t="s">
        <v>54</v>
      </c>
      <c r="J1065" s="5" t="s">
        <v>181</v>
      </c>
      <c r="K1065" s="5" t="s">
        <v>223</v>
      </c>
      <c r="L1065" s="5" t="n">
        <v>3</v>
      </c>
      <c r="M1065" s="5" t="n">
        <v>5</v>
      </c>
      <c r="N1065" s="5" t="n">
        <v>7</v>
      </c>
      <c r="O1065" s="5" t="n">
        <v>3</v>
      </c>
      <c r="P1065" s="5" t="n">
        <v>2</v>
      </c>
      <c r="Q1065" s="5" t="n">
        <v>-1</v>
      </c>
      <c r="R1065" s="5" t="n">
        <v>6</v>
      </c>
      <c r="S1065" s="5" t="n">
        <v>7</v>
      </c>
      <c r="T1065" s="5" t="s">
        <v>2683</v>
      </c>
      <c r="U1065" s="6"/>
      <c r="V1065" s="6"/>
      <c r="W1065" s="6"/>
      <c r="X1065" s="6"/>
      <c r="Y1065" s="7" t="str">
        <f aca="false">IF(COUNT(U1065:X1065)=4,(W1065-X1065)/2,"")</f>
        <v/>
      </c>
      <c r="Z1065" s="7" t="str">
        <f aca="false">IF(COUNT(U1065:X1065)=4,(U1065-V1065)/2,"")</f>
        <v/>
      </c>
      <c r="AA1065" s="7" t="str">
        <f aca="false">IF(COUNT(U1065:X1065)=4,MAX(1,MIN(10,ROUNDUP(5-Z1065,0))),"")</f>
        <v/>
      </c>
      <c r="AB1065" s="7" t="str">
        <f aca="false">IF(COUNT(U1065:X1065)=4,MAX(1,MIN(10,ROUNDUP(Y1065+5,0))),"")</f>
        <v/>
      </c>
      <c r="AC1065" s="6"/>
      <c r="AD1065" s="6"/>
    </row>
    <row r="1066" customFormat="false" ht="15" hidden="false" customHeight="true" outlineLevel="0" collapsed="false">
      <c r="A1066" s="5" t="n">
        <v>1065</v>
      </c>
      <c r="B1066" s="5" t="s">
        <v>2684</v>
      </c>
      <c r="C1066" s="5" t="s">
        <v>145</v>
      </c>
      <c r="D1066" s="5" t="s">
        <v>51</v>
      </c>
      <c r="E1066" s="5" t="n">
        <v>105</v>
      </c>
      <c r="F1066" s="5" t="s">
        <v>2685</v>
      </c>
      <c r="G1066" s="5" t="n">
        <v>4</v>
      </c>
      <c r="H1066" s="5" t="s">
        <v>53</v>
      </c>
      <c r="I1066" s="5" t="s">
        <v>54</v>
      </c>
      <c r="J1066" s="5" t="s">
        <v>55</v>
      </c>
      <c r="K1066" s="5" t="s">
        <v>55</v>
      </c>
      <c r="L1066" s="5" t="n">
        <v>5</v>
      </c>
      <c r="M1066" s="5" t="n">
        <v>2</v>
      </c>
      <c r="N1066" s="5" t="n">
        <v>8</v>
      </c>
      <c r="O1066" s="5" t="n">
        <v>2</v>
      </c>
      <c r="P1066" s="5" t="n">
        <v>3</v>
      </c>
      <c r="Q1066" s="5" t="n">
        <v>1.5</v>
      </c>
      <c r="R1066" s="5" t="n">
        <v>4</v>
      </c>
      <c r="S1066" s="5" t="n">
        <v>8</v>
      </c>
      <c r="T1066" s="5" t="s">
        <v>2686</v>
      </c>
      <c r="U1066" s="6"/>
      <c r="V1066" s="6"/>
      <c r="W1066" s="6"/>
      <c r="X1066" s="6"/>
      <c r="Y1066" s="7" t="str">
        <f aca="false">IF(COUNT(U1066:X1066)=4,(W1066-X1066)/2,"")</f>
        <v/>
      </c>
      <c r="Z1066" s="7" t="str">
        <f aca="false">IF(COUNT(U1066:X1066)=4,(U1066-V1066)/2,"")</f>
        <v/>
      </c>
      <c r="AA1066" s="7" t="str">
        <f aca="false">IF(COUNT(U1066:X1066)=4,MAX(1,MIN(10,ROUNDUP(5-Z1066,0))),"")</f>
        <v/>
      </c>
      <c r="AB1066" s="7" t="str">
        <f aca="false">IF(COUNT(U1066:X1066)=4,MAX(1,MIN(10,ROUNDUP(Y1066+5,0))),"")</f>
        <v/>
      </c>
      <c r="AC1066" s="6"/>
      <c r="AD1066" s="6"/>
    </row>
    <row r="1067" customFormat="false" ht="15" hidden="false" customHeight="true" outlineLevel="0" collapsed="false">
      <c r="A1067" s="5" t="n">
        <v>1066</v>
      </c>
      <c r="B1067" s="5" t="s">
        <v>2687</v>
      </c>
      <c r="C1067" s="5" t="s">
        <v>203</v>
      </c>
      <c r="D1067" s="5" t="s">
        <v>204</v>
      </c>
      <c r="E1067" s="5" t="n">
        <v>104</v>
      </c>
      <c r="F1067" s="5" t="s">
        <v>2688</v>
      </c>
      <c r="G1067" s="5" t="n">
        <v>4</v>
      </c>
      <c r="H1067" s="5" t="s">
        <v>53</v>
      </c>
      <c r="I1067" s="5" t="s">
        <v>54</v>
      </c>
      <c r="J1067" s="5" t="s">
        <v>117</v>
      </c>
      <c r="K1067" s="5" t="s">
        <v>117</v>
      </c>
      <c r="L1067" s="5" t="n">
        <v>5</v>
      </c>
      <c r="M1067" s="5" t="n">
        <v>2</v>
      </c>
      <c r="N1067" s="5" t="n">
        <v>2</v>
      </c>
      <c r="O1067" s="5" t="n">
        <v>7</v>
      </c>
      <c r="P1067" s="5" t="n">
        <v>-2.5</v>
      </c>
      <c r="Q1067" s="5" t="n">
        <v>1.5</v>
      </c>
      <c r="R1067" s="5" t="n">
        <v>4</v>
      </c>
      <c r="S1067" s="5" t="n">
        <v>3</v>
      </c>
      <c r="T1067" s="5" t="s">
        <v>1266</v>
      </c>
      <c r="U1067" s="6"/>
      <c r="V1067" s="6"/>
      <c r="W1067" s="6"/>
      <c r="X1067" s="6"/>
      <c r="Y1067" s="7" t="str">
        <f aca="false">IF(COUNT(U1067:X1067)=4,(W1067-X1067)/2,"")</f>
        <v/>
      </c>
      <c r="Z1067" s="7" t="str">
        <f aca="false">IF(COUNT(U1067:X1067)=4,(U1067-V1067)/2,"")</f>
        <v/>
      </c>
      <c r="AA1067" s="7" t="str">
        <f aca="false">IF(COUNT(U1067:X1067)=4,MAX(1,MIN(10,ROUNDUP(5-Z1067,0))),"")</f>
        <v/>
      </c>
      <c r="AB1067" s="7" t="str">
        <f aca="false">IF(COUNT(U1067:X1067)=4,MAX(1,MIN(10,ROUNDUP(Y1067+5,0))),"")</f>
        <v/>
      </c>
      <c r="AC1067" s="6"/>
      <c r="AD1067" s="6"/>
    </row>
    <row r="1068" customFormat="false" ht="15" hidden="false" customHeight="true" outlineLevel="0" collapsed="false">
      <c r="A1068" s="5" t="n">
        <v>1067</v>
      </c>
      <c r="B1068" s="5" t="s">
        <v>2689</v>
      </c>
      <c r="C1068" s="5" t="s">
        <v>58</v>
      </c>
      <c r="D1068" s="5" t="s">
        <v>59</v>
      </c>
      <c r="E1068" s="5" t="n">
        <v>104</v>
      </c>
      <c r="F1068" s="5" t="s">
        <v>2689</v>
      </c>
      <c r="G1068" s="5" t="n">
        <v>3</v>
      </c>
      <c r="H1068" s="5" t="s">
        <v>53</v>
      </c>
      <c r="I1068" s="5" t="s">
        <v>64</v>
      </c>
      <c r="J1068" s="5"/>
      <c r="K1068" s="5"/>
      <c r="L1068" s="5" t="n">
        <v>4</v>
      </c>
      <c r="M1068" s="5" t="n">
        <v>4</v>
      </c>
      <c r="N1068" s="5" t="n">
        <v>2</v>
      </c>
      <c r="O1068" s="5" t="n">
        <v>8</v>
      </c>
      <c r="P1068" s="5" t="n">
        <v>-3</v>
      </c>
      <c r="Q1068" s="5" t="n">
        <v>0</v>
      </c>
      <c r="R1068" s="5" t="n">
        <v>5</v>
      </c>
      <c r="S1068" s="5" t="n">
        <v>2</v>
      </c>
      <c r="T1068" s="5" t="s">
        <v>2372</v>
      </c>
      <c r="U1068" s="6"/>
      <c r="V1068" s="6"/>
      <c r="W1068" s="6"/>
      <c r="X1068" s="6"/>
      <c r="Y1068" s="7" t="str">
        <f aca="false">IF(COUNT(U1068:X1068)=4,(W1068-X1068)/2,"")</f>
        <v/>
      </c>
      <c r="Z1068" s="7" t="str">
        <f aca="false">IF(COUNT(U1068:X1068)=4,(U1068-V1068)/2,"")</f>
        <v/>
      </c>
      <c r="AA1068" s="7" t="str">
        <f aca="false">IF(COUNT(U1068:X1068)=4,MAX(1,MIN(10,ROUNDUP(5-Z1068,0))),"")</f>
        <v/>
      </c>
      <c r="AB1068" s="7" t="str">
        <f aca="false">IF(COUNT(U1068:X1068)=4,MAX(1,MIN(10,ROUNDUP(Y1068+5,0))),"")</f>
        <v/>
      </c>
      <c r="AC1068" s="6"/>
      <c r="AD1068" s="6"/>
    </row>
    <row r="1069" customFormat="false" ht="15" hidden="false" customHeight="true" outlineLevel="0" collapsed="false">
      <c r="A1069" s="5" t="n">
        <v>1068</v>
      </c>
      <c r="B1069" s="5" t="s">
        <v>2690</v>
      </c>
      <c r="C1069" s="5" t="s">
        <v>145</v>
      </c>
      <c r="D1069" s="5" t="s">
        <v>51</v>
      </c>
      <c r="E1069" s="5" t="n">
        <v>104</v>
      </c>
      <c r="F1069" s="5" t="s">
        <v>2691</v>
      </c>
      <c r="G1069" s="5" t="n">
        <v>4</v>
      </c>
      <c r="H1069" s="5" t="s">
        <v>53</v>
      </c>
      <c r="I1069" s="5" t="s">
        <v>54</v>
      </c>
      <c r="J1069" s="5" t="s">
        <v>55</v>
      </c>
      <c r="K1069" s="5" t="s">
        <v>55</v>
      </c>
      <c r="L1069" s="5" t="n">
        <v>6</v>
      </c>
      <c r="M1069" s="5" t="n">
        <v>2</v>
      </c>
      <c r="N1069" s="5" t="n">
        <v>6</v>
      </c>
      <c r="O1069" s="5" t="n">
        <v>5</v>
      </c>
      <c r="P1069" s="5" t="n">
        <v>0.5</v>
      </c>
      <c r="Q1069" s="5" t="n">
        <v>2</v>
      </c>
      <c r="R1069" s="5" t="n">
        <v>3</v>
      </c>
      <c r="S1069" s="5" t="n">
        <v>6</v>
      </c>
      <c r="T1069" s="5" t="s">
        <v>2692</v>
      </c>
      <c r="U1069" s="6"/>
      <c r="V1069" s="6"/>
      <c r="W1069" s="6"/>
      <c r="X1069" s="6"/>
      <c r="Y1069" s="7" t="str">
        <f aca="false">IF(COUNT(U1069:X1069)=4,(W1069-X1069)/2,"")</f>
        <v/>
      </c>
      <c r="Z1069" s="7" t="str">
        <f aca="false">IF(COUNT(U1069:X1069)=4,(U1069-V1069)/2,"")</f>
        <v/>
      </c>
      <c r="AA1069" s="7" t="str">
        <f aca="false">IF(COUNT(U1069:X1069)=4,MAX(1,MIN(10,ROUNDUP(5-Z1069,0))),"")</f>
        <v/>
      </c>
      <c r="AB1069" s="7" t="str">
        <f aca="false">IF(COUNT(U1069:X1069)=4,MAX(1,MIN(10,ROUNDUP(Y1069+5,0))),"")</f>
        <v/>
      </c>
      <c r="AC1069" s="6"/>
      <c r="AD1069" s="6"/>
    </row>
    <row r="1070" customFormat="false" ht="15" hidden="false" customHeight="true" outlineLevel="0" collapsed="false">
      <c r="A1070" s="5" t="n">
        <v>1069</v>
      </c>
      <c r="B1070" s="5" t="s">
        <v>2693</v>
      </c>
      <c r="C1070" s="5" t="s">
        <v>127</v>
      </c>
      <c r="D1070" s="5" t="s">
        <v>128</v>
      </c>
      <c r="E1070" s="5" t="n">
        <v>104</v>
      </c>
      <c r="F1070" s="5" t="s">
        <v>2693</v>
      </c>
      <c r="G1070" s="5" t="n">
        <v>4</v>
      </c>
      <c r="H1070" s="5" t="s">
        <v>53</v>
      </c>
      <c r="I1070" s="5" t="s">
        <v>54</v>
      </c>
      <c r="J1070" s="5" t="s">
        <v>117</v>
      </c>
      <c r="K1070" s="5" t="s">
        <v>117</v>
      </c>
      <c r="L1070" s="5" t="n">
        <v>3</v>
      </c>
      <c r="M1070" s="5" t="n">
        <v>1</v>
      </c>
      <c r="N1070" s="5" t="n">
        <v>2</v>
      </c>
      <c r="O1070" s="5" t="n">
        <v>7</v>
      </c>
      <c r="P1070" s="5" t="n">
        <v>-2.5</v>
      </c>
      <c r="Q1070" s="5" t="n">
        <v>1</v>
      </c>
      <c r="R1070" s="5" t="n">
        <v>4</v>
      </c>
      <c r="S1070" s="5" t="n">
        <v>3</v>
      </c>
      <c r="T1070" s="5" t="s">
        <v>528</v>
      </c>
      <c r="U1070" s="6"/>
      <c r="V1070" s="6"/>
      <c r="W1070" s="6"/>
      <c r="X1070" s="6"/>
      <c r="Y1070" s="7" t="str">
        <f aca="false">IF(COUNT(U1070:X1070)=4,(W1070-X1070)/2,"")</f>
        <v/>
      </c>
      <c r="Z1070" s="7" t="str">
        <f aca="false">IF(COUNT(U1070:X1070)=4,(U1070-V1070)/2,"")</f>
        <v/>
      </c>
      <c r="AA1070" s="7" t="str">
        <f aca="false">IF(COUNT(U1070:X1070)=4,MAX(1,MIN(10,ROUNDUP(5-Z1070,0))),"")</f>
        <v/>
      </c>
      <c r="AB1070" s="7" t="str">
        <f aca="false">IF(COUNT(U1070:X1070)=4,MAX(1,MIN(10,ROUNDUP(Y1070+5,0))),"")</f>
        <v/>
      </c>
      <c r="AC1070" s="6"/>
      <c r="AD1070" s="6"/>
    </row>
    <row r="1071" customFormat="false" ht="15" hidden="false" customHeight="true" outlineLevel="0" collapsed="false">
      <c r="A1071" s="5" t="n">
        <v>1070</v>
      </c>
      <c r="B1071" s="5" t="s">
        <v>2694</v>
      </c>
      <c r="C1071" s="5" t="s">
        <v>171</v>
      </c>
      <c r="D1071" s="5" t="s">
        <v>172</v>
      </c>
      <c r="E1071" s="5" t="n">
        <v>104</v>
      </c>
      <c r="F1071" s="5" t="s">
        <v>2695</v>
      </c>
      <c r="G1071" s="5" t="n">
        <v>4</v>
      </c>
      <c r="H1071" s="5" t="s">
        <v>53</v>
      </c>
      <c r="I1071" s="5" t="s">
        <v>54</v>
      </c>
      <c r="J1071" s="5" t="s">
        <v>181</v>
      </c>
      <c r="K1071" s="5" t="s">
        <v>235</v>
      </c>
      <c r="L1071" s="5" t="n">
        <v>4</v>
      </c>
      <c r="M1071" s="5" t="n">
        <v>4</v>
      </c>
      <c r="N1071" s="5" t="n">
        <v>7</v>
      </c>
      <c r="O1071" s="5" t="n">
        <v>4</v>
      </c>
      <c r="P1071" s="5" t="n">
        <v>1.5</v>
      </c>
      <c r="Q1071" s="5" t="n">
        <v>0</v>
      </c>
      <c r="R1071" s="5" t="n">
        <v>5</v>
      </c>
      <c r="S1071" s="5" t="n">
        <v>7</v>
      </c>
      <c r="T1071" s="5" t="s">
        <v>2696</v>
      </c>
      <c r="U1071" s="6"/>
      <c r="V1071" s="6"/>
      <c r="W1071" s="6"/>
      <c r="X1071" s="6"/>
      <c r="Y1071" s="7" t="str">
        <f aca="false">IF(COUNT(U1071:X1071)=4,(W1071-X1071)/2,"")</f>
        <v/>
      </c>
      <c r="Z1071" s="7" t="str">
        <f aca="false">IF(COUNT(U1071:X1071)=4,(U1071-V1071)/2,"")</f>
        <v/>
      </c>
      <c r="AA1071" s="7" t="str">
        <f aca="false">IF(COUNT(U1071:X1071)=4,MAX(1,MIN(10,ROUNDUP(5-Z1071,0))),"")</f>
        <v/>
      </c>
      <c r="AB1071" s="7" t="str">
        <f aca="false">IF(COUNT(U1071:X1071)=4,MAX(1,MIN(10,ROUNDUP(Y1071+5,0))),"")</f>
        <v/>
      </c>
      <c r="AC1071" s="6"/>
      <c r="AD1071" s="6"/>
    </row>
    <row r="1072" customFormat="false" ht="15" hidden="false" customHeight="true" outlineLevel="0" collapsed="false">
      <c r="A1072" s="5" t="n">
        <v>1071</v>
      </c>
      <c r="B1072" s="5" t="s">
        <v>2697</v>
      </c>
      <c r="C1072" s="5" t="s">
        <v>145</v>
      </c>
      <c r="D1072" s="5" t="s">
        <v>51</v>
      </c>
      <c r="E1072" s="5" t="n">
        <v>104</v>
      </c>
      <c r="F1072" s="5" t="s">
        <v>2698</v>
      </c>
      <c r="G1072" s="5" t="n">
        <v>4</v>
      </c>
      <c r="H1072" s="5" t="s">
        <v>53</v>
      </c>
      <c r="I1072" s="5" t="s">
        <v>54</v>
      </c>
      <c r="J1072" s="5" t="s">
        <v>55</v>
      </c>
      <c r="K1072" s="5" t="s">
        <v>55</v>
      </c>
      <c r="L1072" s="5" t="n">
        <v>5</v>
      </c>
      <c r="M1072" s="5" t="n">
        <v>3</v>
      </c>
      <c r="N1072" s="5" t="n">
        <v>3</v>
      </c>
      <c r="O1072" s="5" t="n">
        <v>6</v>
      </c>
      <c r="P1072" s="5" t="n">
        <v>-1.5</v>
      </c>
      <c r="Q1072" s="5" t="n">
        <v>1</v>
      </c>
      <c r="R1072" s="5" t="n">
        <v>4</v>
      </c>
      <c r="S1072" s="5" t="n">
        <v>4</v>
      </c>
      <c r="T1072" s="5" t="s">
        <v>2699</v>
      </c>
      <c r="U1072" s="6"/>
      <c r="V1072" s="6"/>
      <c r="W1072" s="6"/>
      <c r="X1072" s="6"/>
      <c r="Y1072" s="7" t="str">
        <f aca="false">IF(COUNT(U1072:X1072)=4,(W1072-X1072)/2,"")</f>
        <v/>
      </c>
      <c r="Z1072" s="7" t="str">
        <f aca="false">IF(COUNT(U1072:X1072)=4,(U1072-V1072)/2,"")</f>
        <v/>
      </c>
      <c r="AA1072" s="7" t="str">
        <f aca="false">IF(COUNT(U1072:X1072)=4,MAX(1,MIN(10,ROUNDUP(5-Z1072,0))),"")</f>
        <v/>
      </c>
      <c r="AB1072" s="7" t="str">
        <f aca="false">IF(COUNT(U1072:X1072)=4,MAX(1,MIN(10,ROUNDUP(Y1072+5,0))),"")</f>
        <v/>
      </c>
      <c r="AC1072" s="6"/>
      <c r="AD1072" s="6"/>
    </row>
    <row r="1073" customFormat="false" ht="15" hidden="false" customHeight="true" outlineLevel="0" collapsed="false">
      <c r="A1073" s="5" t="n">
        <v>1072</v>
      </c>
      <c r="B1073" s="5" t="s">
        <v>2700</v>
      </c>
      <c r="C1073" s="5" t="s">
        <v>171</v>
      </c>
      <c r="D1073" s="5" t="s">
        <v>172</v>
      </c>
      <c r="E1073" s="5" t="n">
        <v>103</v>
      </c>
      <c r="F1073" s="5" t="s">
        <v>2701</v>
      </c>
      <c r="G1073" s="5" t="n">
        <v>4</v>
      </c>
      <c r="H1073" s="5" t="s">
        <v>53</v>
      </c>
      <c r="I1073" s="5" t="s">
        <v>54</v>
      </c>
      <c r="J1073" s="5" t="s">
        <v>181</v>
      </c>
      <c r="K1073" s="5" t="s">
        <v>1767</v>
      </c>
      <c r="L1073" s="5" t="n">
        <v>3</v>
      </c>
      <c r="M1073" s="5" t="n">
        <v>5</v>
      </c>
      <c r="N1073" s="5" t="n">
        <v>8</v>
      </c>
      <c r="O1073" s="5" t="n">
        <v>4</v>
      </c>
      <c r="P1073" s="5" t="n">
        <v>2</v>
      </c>
      <c r="Q1073" s="5" t="n">
        <v>-1</v>
      </c>
      <c r="R1073" s="5" t="n">
        <v>6</v>
      </c>
      <c r="S1073" s="5" t="n">
        <v>7</v>
      </c>
      <c r="T1073" s="5" t="s">
        <v>2702</v>
      </c>
      <c r="U1073" s="6"/>
      <c r="V1073" s="6"/>
      <c r="W1073" s="6"/>
      <c r="X1073" s="6"/>
      <c r="Y1073" s="7" t="str">
        <f aca="false">IF(COUNT(U1073:X1073)=4,(W1073-X1073)/2,"")</f>
        <v/>
      </c>
      <c r="Z1073" s="7" t="str">
        <f aca="false">IF(COUNT(U1073:X1073)=4,(U1073-V1073)/2,"")</f>
        <v/>
      </c>
      <c r="AA1073" s="7" t="str">
        <f aca="false">IF(COUNT(U1073:X1073)=4,MAX(1,MIN(10,ROUNDUP(5-Z1073,0))),"")</f>
        <v/>
      </c>
      <c r="AB1073" s="7" t="str">
        <f aca="false">IF(COUNT(U1073:X1073)=4,MAX(1,MIN(10,ROUNDUP(Y1073+5,0))),"")</f>
        <v/>
      </c>
      <c r="AC1073" s="6"/>
      <c r="AD1073" s="6"/>
    </row>
    <row r="1074" customFormat="false" ht="15" hidden="false" customHeight="true" outlineLevel="0" collapsed="false">
      <c r="A1074" s="5" t="n">
        <v>1073</v>
      </c>
      <c r="B1074" s="5" t="s">
        <v>2703</v>
      </c>
      <c r="C1074" s="5" t="s">
        <v>171</v>
      </c>
      <c r="D1074" s="5" t="s">
        <v>172</v>
      </c>
      <c r="E1074" s="5" t="n">
        <v>103</v>
      </c>
      <c r="F1074" s="5" t="s">
        <v>2704</v>
      </c>
      <c r="G1074" s="5" t="n">
        <v>4</v>
      </c>
      <c r="H1074" s="5" t="s">
        <v>53</v>
      </c>
      <c r="I1074" s="5" t="s">
        <v>54</v>
      </c>
      <c r="J1074" s="5" t="s">
        <v>181</v>
      </c>
      <c r="K1074" s="5" t="s">
        <v>221</v>
      </c>
      <c r="L1074" s="5" t="n">
        <v>3</v>
      </c>
      <c r="M1074" s="5" t="n">
        <v>6</v>
      </c>
      <c r="N1074" s="5" t="n">
        <v>6</v>
      </c>
      <c r="O1074" s="5" t="n">
        <v>5</v>
      </c>
      <c r="P1074" s="5" t="n">
        <v>0.5</v>
      </c>
      <c r="Q1074" s="5" t="n">
        <v>-1.5</v>
      </c>
      <c r="R1074" s="5" t="n">
        <v>7</v>
      </c>
      <c r="S1074" s="5" t="n">
        <v>6</v>
      </c>
      <c r="T1074" s="5" t="s">
        <v>762</v>
      </c>
      <c r="U1074" s="6"/>
      <c r="V1074" s="6"/>
      <c r="W1074" s="6"/>
      <c r="X1074" s="6"/>
      <c r="Y1074" s="7" t="str">
        <f aca="false">IF(COUNT(U1074:X1074)=4,(W1074-X1074)/2,"")</f>
        <v/>
      </c>
      <c r="Z1074" s="7" t="str">
        <f aca="false">IF(COUNT(U1074:X1074)=4,(U1074-V1074)/2,"")</f>
        <v/>
      </c>
      <c r="AA1074" s="7" t="str">
        <f aca="false">IF(COUNT(U1074:X1074)=4,MAX(1,MIN(10,ROUNDUP(5-Z1074,0))),"")</f>
        <v/>
      </c>
      <c r="AB1074" s="7" t="str">
        <f aca="false">IF(COUNT(U1074:X1074)=4,MAX(1,MIN(10,ROUNDUP(Y1074+5,0))),"")</f>
        <v/>
      </c>
      <c r="AC1074" s="6"/>
      <c r="AD1074" s="6"/>
    </row>
    <row r="1075" customFormat="false" ht="15" hidden="false" customHeight="true" outlineLevel="0" collapsed="false">
      <c r="A1075" s="5" t="n">
        <v>1074</v>
      </c>
      <c r="B1075" s="5" t="s">
        <v>2705</v>
      </c>
      <c r="C1075" s="5" t="s">
        <v>145</v>
      </c>
      <c r="D1075" s="5" t="s">
        <v>51</v>
      </c>
      <c r="E1075" s="5" t="n">
        <v>103</v>
      </c>
      <c r="F1075" s="5" t="s">
        <v>2706</v>
      </c>
      <c r="G1075" s="5" t="n">
        <v>4</v>
      </c>
      <c r="H1075" s="5" t="s">
        <v>53</v>
      </c>
      <c r="I1075" s="5" t="s">
        <v>54</v>
      </c>
      <c r="J1075" s="5" t="s">
        <v>55</v>
      </c>
      <c r="K1075" s="5" t="s">
        <v>55</v>
      </c>
      <c r="L1075" s="5" t="n">
        <v>6</v>
      </c>
      <c r="M1075" s="5" t="n">
        <v>2</v>
      </c>
      <c r="N1075" s="5" t="n">
        <v>5</v>
      </c>
      <c r="O1075" s="5" t="n">
        <v>8</v>
      </c>
      <c r="P1075" s="5" t="n">
        <v>-1.5</v>
      </c>
      <c r="Q1075" s="5" t="n">
        <v>2</v>
      </c>
      <c r="R1075" s="5" t="n">
        <v>3</v>
      </c>
      <c r="S1075" s="5" t="n">
        <v>4</v>
      </c>
      <c r="T1075" s="5" t="s">
        <v>2707</v>
      </c>
      <c r="U1075" s="6"/>
      <c r="V1075" s="6"/>
      <c r="W1075" s="6"/>
      <c r="X1075" s="6"/>
      <c r="Y1075" s="7" t="str">
        <f aca="false">IF(COUNT(U1075:X1075)=4,(W1075-X1075)/2,"")</f>
        <v/>
      </c>
      <c r="Z1075" s="7" t="str">
        <f aca="false">IF(COUNT(U1075:X1075)=4,(U1075-V1075)/2,"")</f>
        <v/>
      </c>
      <c r="AA1075" s="7" t="str">
        <f aca="false">IF(COUNT(U1075:X1075)=4,MAX(1,MIN(10,ROUNDUP(5-Z1075,0))),"")</f>
        <v/>
      </c>
      <c r="AB1075" s="7" t="str">
        <f aca="false">IF(COUNT(U1075:X1075)=4,MAX(1,MIN(10,ROUNDUP(Y1075+5,0))),"")</f>
        <v/>
      </c>
      <c r="AC1075" s="6"/>
      <c r="AD1075" s="6"/>
    </row>
    <row r="1076" customFormat="false" ht="15" hidden="false" customHeight="true" outlineLevel="0" collapsed="false">
      <c r="A1076" s="5" t="n">
        <v>1075</v>
      </c>
      <c r="B1076" s="5" t="s">
        <v>2708</v>
      </c>
      <c r="C1076" s="5" t="s">
        <v>108</v>
      </c>
      <c r="D1076" s="5" t="s">
        <v>109</v>
      </c>
      <c r="E1076" s="5" t="n">
        <v>103</v>
      </c>
      <c r="F1076" s="5" t="s">
        <v>2708</v>
      </c>
      <c r="G1076" s="5" t="n">
        <v>4</v>
      </c>
      <c r="H1076" s="5" t="s">
        <v>53</v>
      </c>
      <c r="I1076" s="5" t="s">
        <v>54</v>
      </c>
      <c r="J1076" s="5" t="s">
        <v>117</v>
      </c>
      <c r="K1076" s="5" t="s">
        <v>117</v>
      </c>
      <c r="L1076" s="5" t="n">
        <v>3</v>
      </c>
      <c r="M1076" s="5" t="n">
        <v>1</v>
      </c>
      <c r="N1076" s="5" t="n">
        <v>1</v>
      </c>
      <c r="O1076" s="5" t="n">
        <v>8</v>
      </c>
      <c r="P1076" s="5" t="n">
        <v>-3.5</v>
      </c>
      <c r="Q1076" s="5" t="n">
        <v>1</v>
      </c>
      <c r="R1076" s="5" t="n">
        <v>4</v>
      </c>
      <c r="S1076" s="5" t="n">
        <v>2</v>
      </c>
      <c r="T1076" s="5" t="s">
        <v>1884</v>
      </c>
      <c r="U1076" s="6"/>
      <c r="V1076" s="6"/>
      <c r="W1076" s="6"/>
      <c r="X1076" s="6"/>
      <c r="Y1076" s="7" t="str">
        <f aca="false">IF(COUNT(U1076:X1076)=4,(W1076-X1076)/2,"")</f>
        <v/>
      </c>
      <c r="Z1076" s="7" t="str">
        <f aca="false">IF(COUNT(U1076:X1076)=4,(U1076-V1076)/2,"")</f>
        <v/>
      </c>
      <c r="AA1076" s="7" t="str">
        <f aca="false">IF(COUNT(U1076:X1076)=4,MAX(1,MIN(10,ROUNDUP(5-Z1076,0))),"")</f>
        <v/>
      </c>
      <c r="AB1076" s="7" t="str">
        <f aca="false">IF(COUNT(U1076:X1076)=4,MAX(1,MIN(10,ROUNDUP(Y1076+5,0))),"")</f>
        <v/>
      </c>
      <c r="AC1076" s="6"/>
      <c r="AD1076" s="6"/>
    </row>
    <row r="1077" customFormat="false" ht="15" hidden="false" customHeight="true" outlineLevel="0" collapsed="false">
      <c r="A1077" s="5" t="n">
        <v>1076</v>
      </c>
      <c r="B1077" s="5" t="s">
        <v>2709</v>
      </c>
      <c r="C1077" s="5" t="s">
        <v>108</v>
      </c>
      <c r="D1077" s="5" t="s">
        <v>109</v>
      </c>
      <c r="E1077" s="5" t="n">
        <v>103</v>
      </c>
      <c r="F1077" s="5" t="s">
        <v>2710</v>
      </c>
      <c r="G1077" s="5" t="n">
        <v>4</v>
      </c>
      <c r="H1077" s="5" t="s">
        <v>53</v>
      </c>
      <c r="I1077" s="5" t="s">
        <v>54</v>
      </c>
      <c r="J1077" s="5" t="s">
        <v>117</v>
      </c>
      <c r="K1077" s="5" t="s">
        <v>117</v>
      </c>
      <c r="L1077" s="5" t="n">
        <v>3</v>
      </c>
      <c r="M1077" s="5" t="n">
        <v>1</v>
      </c>
      <c r="N1077" s="5" t="n">
        <v>8</v>
      </c>
      <c r="O1077" s="5" t="n">
        <v>2</v>
      </c>
      <c r="P1077" s="5" t="n">
        <v>3</v>
      </c>
      <c r="Q1077" s="5" t="n">
        <v>1</v>
      </c>
      <c r="R1077" s="5" t="n">
        <v>4</v>
      </c>
      <c r="S1077" s="5" t="n">
        <v>8</v>
      </c>
      <c r="T1077" s="5" t="s">
        <v>195</v>
      </c>
      <c r="U1077" s="6"/>
      <c r="V1077" s="6"/>
      <c r="W1077" s="6"/>
      <c r="X1077" s="6"/>
      <c r="Y1077" s="7" t="str">
        <f aca="false">IF(COUNT(U1077:X1077)=4,(W1077-X1077)/2,"")</f>
        <v/>
      </c>
      <c r="Z1077" s="7" t="str">
        <f aca="false">IF(COUNT(U1077:X1077)=4,(U1077-V1077)/2,"")</f>
        <v/>
      </c>
      <c r="AA1077" s="7" t="str">
        <f aca="false">IF(COUNT(U1077:X1077)=4,MAX(1,MIN(10,ROUNDUP(5-Z1077,0))),"")</f>
        <v/>
      </c>
      <c r="AB1077" s="7" t="str">
        <f aca="false">IF(COUNT(U1077:X1077)=4,MAX(1,MIN(10,ROUNDUP(Y1077+5,0))),"")</f>
        <v/>
      </c>
      <c r="AC1077" s="6"/>
      <c r="AD1077" s="6"/>
    </row>
    <row r="1078" customFormat="false" ht="15" hidden="false" customHeight="true" outlineLevel="0" collapsed="false">
      <c r="A1078" s="5" t="n">
        <v>1077</v>
      </c>
      <c r="B1078" s="5" t="s">
        <v>2711</v>
      </c>
      <c r="C1078" s="5" t="s">
        <v>145</v>
      </c>
      <c r="D1078" s="5" t="s">
        <v>51</v>
      </c>
      <c r="E1078" s="5" t="n">
        <v>103</v>
      </c>
      <c r="F1078" s="5" t="s">
        <v>2712</v>
      </c>
      <c r="G1078" s="5" t="n">
        <v>4</v>
      </c>
      <c r="H1078" s="5" t="s">
        <v>53</v>
      </c>
      <c r="I1078" s="5" t="s">
        <v>54</v>
      </c>
      <c r="J1078" s="5" t="s">
        <v>55</v>
      </c>
      <c r="K1078" s="5" t="s">
        <v>55</v>
      </c>
      <c r="L1078" s="5" t="n">
        <v>5</v>
      </c>
      <c r="M1078" s="5" t="n">
        <v>2</v>
      </c>
      <c r="N1078" s="5" t="n">
        <v>5</v>
      </c>
      <c r="O1078" s="5" t="n">
        <v>8</v>
      </c>
      <c r="P1078" s="5" t="n">
        <v>-1.5</v>
      </c>
      <c r="Q1078" s="5" t="n">
        <v>1.5</v>
      </c>
      <c r="R1078" s="5" t="n">
        <v>4</v>
      </c>
      <c r="S1078" s="5" t="n">
        <v>4</v>
      </c>
      <c r="T1078" s="5" t="s">
        <v>2713</v>
      </c>
      <c r="U1078" s="6"/>
      <c r="V1078" s="6"/>
      <c r="W1078" s="6"/>
      <c r="X1078" s="6"/>
      <c r="Y1078" s="7" t="str">
        <f aca="false">IF(COUNT(U1078:X1078)=4,(W1078-X1078)/2,"")</f>
        <v/>
      </c>
      <c r="Z1078" s="7" t="str">
        <f aca="false">IF(COUNT(U1078:X1078)=4,(U1078-V1078)/2,"")</f>
        <v/>
      </c>
      <c r="AA1078" s="7" t="str">
        <f aca="false">IF(COUNT(U1078:X1078)=4,MAX(1,MIN(10,ROUNDUP(5-Z1078,0))),"")</f>
        <v/>
      </c>
      <c r="AB1078" s="7" t="str">
        <f aca="false">IF(COUNT(U1078:X1078)=4,MAX(1,MIN(10,ROUNDUP(Y1078+5,0))),"")</f>
        <v/>
      </c>
      <c r="AC1078" s="6"/>
      <c r="AD1078" s="6"/>
    </row>
    <row r="1079" customFormat="false" ht="15" hidden="false" customHeight="true" outlineLevel="0" collapsed="false">
      <c r="A1079" s="5" t="n">
        <v>1078</v>
      </c>
      <c r="B1079" s="5" t="s">
        <v>2714</v>
      </c>
      <c r="C1079" s="5" t="s">
        <v>171</v>
      </c>
      <c r="D1079" s="5" t="s">
        <v>172</v>
      </c>
      <c r="E1079" s="5" t="n">
        <v>103</v>
      </c>
      <c r="F1079" s="5" t="s">
        <v>2715</v>
      </c>
      <c r="G1079" s="5" t="n">
        <v>4</v>
      </c>
      <c r="H1079" s="5" t="s">
        <v>53</v>
      </c>
      <c r="I1079" s="5" t="s">
        <v>54</v>
      </c>
      <c r="J1079" s="5" t="s">
        <v>181</v>
      </c>
      <c r="K1079" s="5" t="s">
        <v>443</v>
      </c>
      <c r="L1079" s="5" t="n">
        <v>5</v>
      </c>
      <c r="M1079" s="5" t="n">
        <v>3</v>
      </c>
      <c r="N1079" s="5" t="n">
        <v>4</v>
      </c>
      <c r="O1079" s="5" t="n">
        <v>8</v>
      </c>
      <c r="P1079" s="5" t="n">
        <v>-2</v>
      </c>
      <c r="Q1079" s="5" t="n">
        <v>1</v>
      </c>
      <c r="R1079" s="5" t="n">
        <v>4</v>
      </c>
      <c r="S1079" s="5" t="n">
        <v>3</v>
      </c>
      <c r="T1079" s="5" t="s">
        <v>2716</v>
      </c>
      <c r="U1079" s="6"/>
      <c r="V1079" s="6"/>
      <c r="W1079" s="6"/>
      <c r="X1079" s="6"/>
      <c r="Y1079" s="7" t="str">
        <f aca="false">IF(COUNT(U1079:X1079)=4,(W1079-X1079)/2,"")</f>
        <v/>
      </c>
      <c r="Z1079" s="7" t="str">
        <f aca="false">IF(COUNT(U1079:X1079)=4,(U1079-V1079)/2,"")</f>
        <v/>
      </c>
      <c r="AA1079" s="7" t="str">
        <f aca="false">IF(COUNT(U1079:X1079)=4,MAX(1,MIN(10,ROUNDUP(5-Z1079,0))),"")</f>
        <v/>
      </c>
      <c r="AB1079" s="7" t="str">
        <f aca="false">IF(COUNT(U1079:X1079)=4,MAX(1,MIN(10,ROUNDUP(Y1079+5,0))),"")</f>
        <v/>
      </c>
      <c r="AC1079" s="6"/>
      <c r="AD1079" s="6"/>
    </row>
    <row r="1080" customFormat="false" ht="15" hidden="false" customHeight="true" outlineLevel="0" collapsed="false">
      <c r="A1080" s="5" t="n">
        <v>1079</v>
      </c>
      <c r="B1080" s="5" t="s">
        <v>2717</v>
      </c>
      <c r="C1080" s="5" t="s">
        <v>171</v>
      </c>
      <c r="D1080" s="5" t="s">
        <v>172</v>
      </c>
      <c r="E1080" s="5" t="n">
        <v>103</v>
      </c>
      <c r="F1080" s="5" t="s">
        <v>2718</v>
      </c>
      <c r="G1080" s="5" t="n">
        <v>4</v>
      </c>
      <c r="H1080" s="5" t="s">
        <v>53</v>
      </c>
      <c r="I1080" s="5" t="s">
        <v>54</v>
      </c>
      <c r="J1080" s="5" t="s">
        <v>181</v>
      </c>
      <c r="K1080" s="5" t="s">
        <v>221</v>
      </c>
      <c r="L1080" s="5" t="n">
        <v>0</v>
      </c>
      <c r="M1080" s="5" t="n">
        <v>10</v>
      </c>
      <c r="N1080" s="5" t="n">
        <v>6</v>
      </c>
      <c r="O1080" s="5" t="n">
        <v>5</v>
      </c>
      <c r="P1080" s="5" t="n">
        <v>0.5</v>
      </c>
      <c r="Q1080" s="5" t="n">
        <v>-5</v>
      </c>
      <c r="R1080" s="5" t="n">
        <v>10</v>
      </c>
      <c r="S1080" s="5" t="n">
        <v>6</v>
      </c>
      <c r="T1080" s="5" t="s">
        <v>2719</v>
      </c>
      <c r="U1080" s="6"/>
      <c r="V1080" s="6"/>
      <c r="W1080" s="6"/>
      <c r="X1080" s="6"/>
      <c r="Y1080" s="7" t="str">
        <f aca="false">IF(COUNT(U1080:X1080)=4,(W1080-X1080)/2,"")</f>
        <v/>
      </c>
      <c r="Z1080" s="7" t="str">
        <f aca="false">IF(COUNT(U1080:X1080)=4,(U1080-V1080)/2,"")</f>
        <v/>
      </c>
      <c r="AA1080" s="7" t="str">
        <f aca="false">IF(COUNT(U1080:X1080)=4,MAX(1,MIN(10,ROUNDUP(5-Z1080,0))),"")</f>
        <v/>
      </c>
      <c r="AB1080" s="7" t="str">
        <f aca="false">IF(COUNT(U1080:X1080)=4,MAX(1,MIN(10,ROUNDUP(Y1080+5,0))),"")</f>
        <v/>
      </c>
      <c r="AC1080" s="6"/>
      <c r="AD1080" s="6"/>
    </row>
    <row r="1081" customFormat="false" ht="15" hidden="false" customHeight="true" outlineLevel="0" collapsed="false">
      <c r="A1081" s="5" t="n">
        <v>1080</v>
      </c>
      <c r="B1081" s="5" t="s">
        <v>2720</v>
      </c>
      <c r="C1081" s="5" t="s">
        <v>171</v>
      </c>
      <c r="D1081" s="5" t="s">
        <v>172</v>
      </c>
      <c r="E1081" s="5" t="n">
        <v>103</v>
      </c>
      <c r="F1081" s="5" t="s">
        <v>2721</v>
      </c>
      <c r="G1081" s="5" t="n">
        <v>4</v>
      </c>
      <c r="H1081" s="5" t="s">
        <v>53</v>
      </c>
      <c r="I1081" s="5" t="s">
        <v>54</v>
      </c>
      <c r="J1081" s="5" t="s">
        <v>181</v>
      </c>
      <c r="K1081" s="5" t="s">
        <v>333</v>
      </c>
      <c r="L1081" s="5" t="n">
        <v>1</v>
      </c>
      <c r="M1081" s="5" t="n">
        <v>7</v>
      </c>
      <c r="N1081" s="5" t="n">
        <v>9</v>
      </c>
      <c r="O1081" s="5" t="n">
        <v>1</v>
      </c>
      <c r="P1081" s="5" t="n">
        <v>4</v>
      </c>
      <c r="Q1081" s="5" t="n">
        <v>-3</v>
      </c>
      <c r="R1081" s="5" t="n">
        <v>8</v>
      </c>
      <c r="S1081" s="5" t="n">
        <v>9</v>
      </c>
      <c r="T1081" s="5" t="s">
        <v>2722</v>
      </c>
      <c r="U1081" s="6"/>
      <c r="V1081" s="6"/>
      <c r="W1081" s="6"/>
      <c r="X1081" s="6"/>
      <c r="Y1081" s="7" t="str">
        <f aca="false">IF(COUNT(U1081:X1081)=4,(W1081-X1081)/2,"")</f>
        <v/>
      </c>
      <c r="Z1081" s="7" t="str">
        <f aca="false">IF(COUNT(U1081:X1081)=4,(U1081-V1081)/2,"")</f>
        <v/>
      </c>
      <c r="AA1081" s="7" t="str">
        <f aca="false">IF(COUNT(U1081:X1081)=4,MAX(1,MIN(10,ROUNDUP(5-Z1081,0))),"")</f>
        <v/>
      </c>
      <c r="AB1081" s="7" t="str">
        <f aca="false">IF(COUNT(U1081:X1081)=4,MAX(1,MIN(10,ROUNDUP(Y1081+5,0))),"")</f>
        <v/>
      </c>
      <c r="AC1081" s="6"/>
      <c r="AD1081" s="6"/>
    </row>
    <row r="1082" customFormat="false" ht="15" hidden="false" customHeight="true" outlineLevel="0" collapsed="false">
      <c r="A1082" s="5" t="n">
        <v>1081</v>
      </c>
      <c r="B1082" s="5" t="s">
        <v>2723</v>
      </c>
      <c r="C1082" s="5" t="s">
        <v>171</v>
      </c>
      <c r="D1082" s="5" t="s">
        <v>172</v>
      </c>
      <c r="E1082" s="5" t="n">
        <v>102</v>
      </c>
      <c r="F1082" s="5" t="s">
        <v>2724</v>
      </c>
      <c r="G1082" s="5" t="n">
        <v>4</v>
      </c>
      <c r="H1082" s="5" t="s">
        <v>53</v>
      </c>
      <c r="I1082" s="5" t="s">
        <v>81</v>
      </c>
      <c r="J1082" s="5" t="s">
        <v>174</v>
      </c>
      <c r="K1082" s="5" t="s">
        <v>309</v>
      </c>
      <c r="L1082" s="5" t="n">
        <v>6</v>
      </c>
      <c r="M1082" s="5" t="n">
        <v>2</v>
      </c>
      <c r="N1082" s="5" t="n">
        <v>3</v>
      </c>
      <c r="O1082" s="5" t="n">
        <v>8</v>
      </c>
      <c r="P1082" s="5" t="n">
        <v>-2.5</v>
      </c>
      <c r="Q1082" s="5" t="n">
        <v>2</v>
      </c>
      <c r="R1082" s="5" t="n">
        <v>3</v>
      </c>
      <c r="S1082" s="5" t="n">
        <v>3</v>
      </c>
      <c r="T1082" s="5" t="s">
        <v>2725</v>
      </c>
      <c r="U1082" s="6"/>
      <c r="V1082" s="6"/>
      <c r="W1082" s="6"/>
      <c r="X1082" s="6"/>
      <c r="Y1082" s="7" t="str">
        <f aca="false">IF(COUNT(U1082:X1082)=4,(W1082-X1082)/2,"")</f>
        <v/>
      </c>
      <c r="Z1082" s="7" t="str">
        <f aca="false">IF(COUNT(U1082:X1082)=4,(U1082-V1082)/2,"")</f>
        <v/>
      </c>
      <c r="AA1082" s="7" t="str">
        <f aca="false">IF(COUNT(U1082:X1082)=4,MAX(1,MIN(10,ROUNDUP(5-Z1082,0))),"")</f>
        <v/>
      </c>
      <c r="AB1082" s="7" t="str">
        <f aca="false">IF(COUNT(U1082:X1082)=4,MAX(1,MIN(10,ROUNDUP(Y1082+5,0))),"")</f>
        <v/>
      </c>
      <c r="AC1082" s="6"/>
      <c r="AD1082" s="6"/>
    </row>
    <row r="1083" customFormat="false" ht="15" hidden="false" customHeight="true" outlineLevel="0" collapsed="false">
      <c r="A1083" s="5" t="n">
        <v>1082</v>
      </c>
      <c r="B1083" s="5" t="s">
        <v>2726</v>
      </c>
      <c r="C1083" s="5" t="s">
        <v>145</v>
      </c>
      <c r="D1083" s="5" t="s">
        <v>51</v>
      </c>
      <c r="E1083" s="5" t="n">
        <v>102</v>
      </c>
      <c r="F1083" s="5" t="s">
        <v>2727</v>
      </c>
      <c r="G1083" s="5" t="n">
        <v>4</v>
      </c>
      <c r="H1083" s="5" t="s">
        <v>53</v>
      </c>
      <c r="I1083" s="5" t="s">
        <v>54</v>
      </c>
      <c r="J1083" s="5" t="s">
        <v>55</v>
      </c>
      <c r="K1083" s="5" t="s">
        <v>55</v>
      </c>
      <c r="L1083" s="5" t="n">
        <v>4</v>
      </c>
      <c r="M1083" s="5" t="n">
        <v>3</v>
      </c>
      <c r="N1083" s="5" t="n">
        <v>3</v>
      </c>
      <c r="O1083" s="5" t="n">
        <v>6</v>
      </c>
      <c r="P1083" s="5" t="n">
        <v>-1.5</v>
      </c>
      <c r="Q1083" s="5" t="n">
        <v>0.5</v>
      </c>
      <c r="R1083" s="5" t="n">
        <v>5</v>
      </c>
      <c r="S1083" s="5" t="n">
        <v>4</v>
      </c>
      <c r="T1083" s="5" t="s">
        <v>2728</v>
      </c>
      <c r="U1083" s="6"/>
      <c r="V1083" s="6"/>
      <c r="W1083" s="6"/>
      <c r="X1083" s="6"/>
      <c r="Y1083" s="7" t="str">
        <f aca="false">IF(COUNT(U1083:X1083)=4,(W1083-X1083)/2,"")</f>
        <v/>
      </c>
      <c r="Z1083" s="7" t="str">
        <f aca="false">IF(COUNT(U1083:X1083)=4,(U1083-V1083)/2,"")</f>
        <v/>
      </c>
      <c r="AA1083" s="7" t="str">
        <f aca="false">IF(COUNT(U1083:X1083)=4,MAX(1,MIN(10,ROUNDUP(5-Z1083,0))),"")</f>
        <v/>
      </c>
      <c r="AB1083" s="7" t="str">
        <f aca="false">IF(COUNT(U1083:X1083)=4,MAX(1,MIN(10,ROUNDUP(Y1083+5,0))),"")</f>
        <v/>
      </c>
      <c r="AC1083" s="6"/>
      <c r="AD1083" s="6"/>
    </row>
    <row r="1084" customFormat="false" ht="15" hidden="false" customHeight="true" outlineLevel="0" collapsed="false">
      <c r="A1084" s="5" t="n">
        <v>1083</v>
      </c>
      <c r="B1084" s="5" t="s">
        <v>2729</v>
      </c>
      <c r="C1084" s="5" t="s">
        <v>171</v>
      </c>
      <c r="D1084" s="5" t="s">
        <v>172</v>
      </c>
      <c r="E1084" s="5" t="n">
        <v>102</v>
      </c>
      <c r="F1084" s="5" t="s">
        <v>2730</v>
      </c>
      <c r="G1084" s="5" t="n">
        <v>4</v>
      </c>
      <c r="H1084" s="5" t="s">
        <v>53</v>
      </c>
      <c r="I1084" s="5" t="s">
        <v>81</v>
      </c>
      <c r="J1084" s="5" t="s">
        <v>174</v>
      </c>
      <c r="K1084" s="5" t="s">
        <v>175</v>
      </c>
      <c r="L1084" s="5" t="n">
        <v>10</v>
      </c>
      <c r="M1084" s="5" t="n">
        <v>1</v>
      </c>
      <c r="N1084" s="5" t="n">
        <v>2</v>
      </c>
      <c r="O1084" s="5" t="n">
        <v>10</v>
      </c>
      <c r="P1084" s="5" t="n">
        <v>-4</v>
      </c>
      <c r="Q1084" s="5" t="n">
        <v>4.5</v>
      </c>
      <c r="R1084" s="5" t="n">
        <v>1</v>
      </c>
      <c r="S1084" s="5" t="n">
        <v>1</v>
      </c>
      <c r="T1084" s="5" t="s">
        <v>1745</v>
      </c>
      <c r="U1084" s="6"/>
      <c r="V1084" s="6"/>
      <c r="W1084" s="6"/>
      <c r="X1084" s="6"/>
      <c r="Y1084" s="7" t="str">
        <f aca="false">IF(COUNT(U1084:X1084)=4,(W1084-X1084)/2,"")</f>
        <v/>
      </c>
      <c r="Z1084" s="7" t="str">
        <f aca="false">IF(COUNT(U1084:X1084)=4,(U1084-V1084)/2,"")</f>
        <v/>
      </c>
      <c r="AA1084" s="7" t="str">
        <f aca="false">IF(COUNT(U1084:X1084)=4,MAX(1,MIN(10,ROUNDUP(5-Z1084,0))),"")</f>
        <v/>
      </c>
      <c r="AB1084" s="7" t="str">
        <f aca="false">IF(COUNT(U1084:X1084)=4,MAX(1,MIN(10,ROUNDUP(Y1084+5,0))),"")</f>
        <v/>
      </c>
      <c r="AC1084" s="6"/>
      <c r="AD1084" s="6"/>
    </row>
    <row r="1085" customFormat="false" ht="15" hidden="false" customHeight="true" outlineLevel="0" collapsed="false">
      <c r="A1085" s="5" t="n">
        <v>1084</v>
      </c>
      <c r="B1085" s="5" t="s">
        <v>2731</v>
      </c>
      <c r="C1085" s="5" t="s">
        <v>171</v>
      </c>
      <c r="D1085" s="5" t="s">
        <v>172</v>
      </c>
      <c r="E1085" s="5" t="n">
        <v>102</v>
      </c>
      <c r="F1085" s="5" t="s">
        <v>2731</v>
      </c>
      <c r="G1085" s="5" t="n">
        <v>4</v>
      </c>
      <c r="H1085" s="5" t="s">
        <v>53</v>
      </c>
      <c r="I1085" s="5" t="s">
        <v>54</v>
      </c>
      <c r="J1085" s="5" t="s">
        <v>181</v>
      </c>
      <c r="K1085" s="5" t="s">
        <v>443</v>
      </c>
      <c r="L1085" s="5" t="n">
        <v>5</v>
      </c>
      <c r="M1085" s="5" t="n">
        <v>3</v>
      </c>
      <c r="N1085" s="5" t="n">
        <v>4</v>
      </c>
      <c r="O1085" s="5" t="n">
        <v>8</v>
      </c>
      <c r="P1085" s="5" t="n">
        <v>-2</v>
      </c>
      <c r="Q1085" s="5" t="n">
        <v>1</v>
      </c>
      <c r="R1085" s="5" t="n">
        <v>4</v>
      </c>
      <c r="S1085" s="5" t="n">
        <v>3</v>
      </c>
      <c r="T1085" s="5" t="s">
        <v>2732</v>
      </c>
      <c r="U1085" s="6"/>
      <c r="V1085" s="6"/>
      <c r="W1085" s="6"/>
      <c r="X1085" s="6"/>
      <c r="Y1085" s="7" t="str">
        <f aca="false">IF(COUNT(U1085:X1085)=4,(W1085-X1085)/2,"")</f>
        <v/>
      </c>
      <c r="Z1085" s="7" t="str">
        <f aca="false">IF(COUNT(U1085:X1085)=4,(U1085-V1085)/2,"")</f>
        <v/>
      </c>
      <c r="AA1085" s="7" t="str">
        <f aca="false">IF(COUNT(U1085:X1085)=4,MAX(1,MIN(10,ROUNDUP(5-Z1085,0))),"")</f>
        <v/>
      </c>
      <c r="AB1085" s="7" t="str">
        <f aca="false">IF(COUNT(U1085:X1085)=4,MAX(1,MIN(10,ROUNDUP(Y1085+5,0))),"")</f>
        <v/>
      </c>
      <c r="AC1085" s="6"/>
      <c r="AD1085" s="6"/>
    </row>
    <row r="1086" customFormat="false" ht="15" hidden="false" customHeight="true" outlineLevel="0" collapsed="false">
      <c r="A1086" s="5" t="n">
        <v>1085</v>
      </c>
      <c r="B1086" s="5" t="s">
        <v>2733</v>
      </c>
      <c r="C1086" s="5" t="s">
        <v>171</v>
      </c>
      <c r="D1086" s="5" t="s">
        <v>172</v>
      </c>
      <c r="E1086" s="5" t="n">
        <v>102</v>
      </c>
      <c r="F1086" s="5" t="s">
        <v>2734</v>
      </c>
      <c r="G1086" s="5" t="n">
        <v>4</v>
      </c>
      <c r="H1086" s="5" t="s">
        <v>53</v>
      </c>
      <c r="I1086" s="5" t="s">
        <v>54</v>
      </c>
      <c r="J1086" s="5" t="s">
        <v>181</v>
      </c>
      <c r="K1086" s="5" t="s">
        <v>673</v>
      </c>
      <c r="L1086" s="5" t="n">
        <v>4</v>
      </c>
      <c r="M1086" s="5" t="n">
        <v>4</v>
      </c>
      <c r="N1086" s="5" t="n">
        <v>5</v>
      </c>
      <c r="O1086" s="5" t="n">
        <v>6</v>
      </c>
      <c r="P1086" s="5" t="n">
        <v>-0.5</v>
      </c>
      <c r="Q1086" s="5" t="n">
        <v>0</v>
      </c>
      <c r="R1086" s="5" t="n">
        <v>5</v>
      </c>
      <c r="S1086" s="5" t="n">
        <v>5</v>
      </c>
      <c r="T1086" s="5" t="s">
        <v>2735</v>
      </c>
      <c r="U1086" s="6"/>
      <c r="V1086" s="6"/>
      <c r="W1086" s="6"/>
      <c r="X1086" s="6"/>
      <c r="Y1086" s="7" t="str">
        <f aca="false">IF(COUNT(U1086:X1086)=4,(W1086-X1086)/2,"")</f>
        <v/>
      </c>
      <c r="Z1086" s="7" t="str">
        <f aca="false">IF(COUNT(U1086:X1086)=4,(U1086-V1086)/2,"")</f>
        <v/>
      </c>
      <c r="AA1086" s="7" t="str">
        <f aca="false">IF(COUNT(U1086:X1086)=4,MAX(1,MIN(10,ROUNDUP(5-Z1086,0))),"")</f>
        <v/>
      </c>
      <c r="AB1086" s="7" t="str">
        <f aca="false">IF(COUNT(U1086:X1086)=4,MAX(1,MIN(10,ROUNDUP(Y1086+5,0))),"")</f>
        <v/>
      </c>
      <c r="AC1086" s="6"/>
      <c r="AD1086" s="6"/>
    </row>
    <row r="1087" customFormat="false" ht="15" hidden="false" customHeight="true" outlineLevel="0" collapsed="false">
      <c r="A1087" s="5" t="n">
        <v>1086</v>
      </c>
      <c r="B1087" s="5" t="s">
        <v>2736</v>
      </c>
      <c r="C1087" s="5" t="s">
        <v>171</v>
      </c>
      <c r="D1087" s="5" t="s">
        <v>172</v>
      </c>
      <c r="E1087" s="5" t="n">
        <v>101</v>
      </c>
      <c r="F1087" s="5" t="s">
        <v>2737</v>
      </c>
      <c r="G1087" s="5" t="n">
        <v>4</v>
      </c>
      <c r="H1087" s="5" t="s">
        <v>53</v>
      </c>
      <c r="I1087" s="5" t="s">
        <v>54</v>
      </c>
      <c r="J1087" s="5" t="s">
        <v>181</v>
      </c>
      <c r="K1087" s="5" t="s">
        <v>279</v>
      </c>
      <c r="L1087" s="5" t="n">
        <v>5</v>
      </c>
      <c r="M1087" s="5" t="n">
        <v>4</v>
      </c>
      <c r="N1087" s="5" t="n">
        <v>5</v>
      </c>
      <c r="O1087" s="5" t="n">
        <v>7</v>
      </c>
      <c r="P1087" s="5" t="n">
        <v>-1</v>
      </c>
      <c r="Q1087" s="5" t="n">
        <v>0.5</v>
      </c>
      <c r="R1087" s="5" t="n">
        <v>5</v>
      </c>
      <c r="S1087" s="5" t="n">
        <v>4</v>
      </c>
      <c r="T1087" s="5" t="s">
        <v>2738</v>
      </c>
      <c r="U1087" s="6"/>
      <c r="V1087" s="6"/>
      <c r="W1087" s="6"/>
      <c r="X1087" s="6"/>
      <c r="Y1087" s="7" t="str">
        <f aca="false">IF(COUNT(U1087:X1087)=4,(W1087-X1087)/2,"")</f>
        <v/>
      </c>
      <c r="Z1087" s="7" t="str">
        <f aca="false">IF(COUNT(U1087:X1087)=4,(U1087-V1087)/2,"")</f>
        <v/>
      </c>
      <c r="AA1087" s="7" t="str">
        <f aca="false">IF(COUNT(U1087:X1087)=4,MAX(1,MIN(10,ROUNDUP(5-Z1087,0))),"")</f>
        <v/>
      </c>
      <c r="AB1087" s="7" t="str">
        <f aca="false">IF(COUNT(U1087:X1087)=4,MAX(1,MIN(10,ROUNDUP(Y1087+5,0))),"")</f>
        <v/>
      </c>
      <c r="AC1087" s="6"/>
      <c r="AD1087" s="6"/>
    </row>
    <row r="1088" customFormat="false" ht="15" hidden="false" customHeight="true" outlineLevel="0" collapsed="false">
      <c r="A1088" s="5" t="n">
        <v>1087</v>
      </c>
      <c r="B1088" s="5" t="s">
        <v>2739</v>
      </c>
      <c r="C1088" s="5" t="s">
        <v>171</v>
      </c>
      <c r="D1088" s="5" t="s">
        <v>172</v>
      </c>
      <c r="E1088" s="5" t="n">
        <v>101</v>
      </c>
      <c r="F1088" s="5" t="s">
        <v>2740</v>
      </c>
      <c r="G1088" s="5" t="n">
        <v>4</v>
      </c>
      <c r="H1088" s="5" t="s">
        <v>53</v>
      </c>
      <c r="I1088" s="5" t="s">
        <v>54</v>
      </c>
      <c r="J1088" s="5" t="s">
        <v>181</v>
      </c>
      <c r="K1088" s="5" t="s">
        <v>551</v>
      </c>
      <c r="L1088" s="5" t="n">
        <v>2</v>
      </c>
      <c r="M1088" s="5" t="n">
        <v>5</v>
      </c>
      <c r="N1088" s="5" t="n">
        <v>8</v>
      </c>
      <c r="O1088" s="5" t="n">
        <v>2</v>
      </c>
      <c r="P1088" s="5" t="n">
        <v>3</v>
      </c>
      <c r="Q1088" s="5" t="n">
        <v>-1.5</v>
      </c>
      <c r="R1088" s="5" t="n">
        <v>7</v>
      </c>
      <c r="S1088" s="5" t="n">
        <v>8</v>
      </c>
      <c r="T1088" s="5" t="s">
        <v>2741</v>
      </c>
      <c r="U1088" s="6"/>
      <c r="V1088" s="6"/>
      <c r="W1088" s="6"/>
      <c r="X1088" s="6"/>
      <c r="Y1088" s="7" t="str">
        <f aca="false">IF(COUNT(U1088:X1088)=4,(W1088-X1088)/2,"")</f>
        <v/>
      </c>
      <c r="Z1088" s="7" t="str">
        <f aca="false">IF(COUNT(U1088:X1088)=4,(U1088-V1088)/2,"")</f>
        <v/>
      </c>
      <c r="AA1088" s="7" t="str">
        <f aca="false">IF(COUNT(U1088:X1088)=4,MAX(1,MIN(10,ROUNDUP(5-Z1088,0))),"")</f>
        <v/>
      </c>
      <c r="AB1088" s="7" t="str">
        <f aca="false">IF(COUNT(U1088:X1088)=4,MAX(1,MIN(10,ROUNDUP(Y1088+5,0))),"")</f>
        <v/>
      </c>
      <c r="AC1088" s="6"/>
      <c r="AD1088" s="6"/>
    </row>
    <row r="1089" customFormat="false" ht="15" hidden="false" customHeight="true" outlineLevel="0" collapsed="false">
      <c r="A1089" s="5" t="n">
        <v>1088</v>
      </c>
      <c r="B1089" s="5" t="s">
        <v>2742</v>
      </c>
      <c r="C1089" s="5" t="s">
        <v>171</v>
      </c>
      <c r="D1089" s="5" t="s">
        <v>172</v>
      </c>
      <c r="E1089" s="5" t="n">
        <v>101</v>
      </c>
      <c r="F1089" s="5" t="s">
        <v>2743</v>
      </c>
      <c r="G1089" s="5" t="n">
        <v>4</v>
      </c>
      <c r="H1089" s="5" t="s">
        <v>53</v>
      </c>
      <c r="I1089" s="5" t="s">
        <v>81</v>
      </c>
      <c r="J1089" s="5" t="s">
        <v>174</v>
      </c>
      <c r="K1089" s="5" t="s">
        <v>175</v>
      </c>
      <c r="L1089" s="5" t="n">
        <v>7</v>
      </c>
      <c r="M1089" s="5" t="n">
        <v>1</v>
      </c>
      <c r="N1089" s="5" t="n">
        <v>3</v>
      </c>
      <c r="O1089" s="5" t="n">
        <v>8</v>
      </c>
      <c r="P1089" s="5" t="n">
        <v>-2.5</v>
      </c>
      <c r="Q1089" s="5" t="n">
        <v>3</v>
      </c>
      <c r="R1089" s="5" t="n">
        <v>2</v>
      </c>
      <c r="S1089" s="5" t="n">
        <v>3</v>
      </c>
      <c r="T1089" s="5" t="s">
        <v>384</v>
      </c>
      <c r="U1089" s="6"/>
      <c r="V1089" s="6"/>
      <c r="W1089" s="6"/>
      <c r="X1089" s="6"/>
      <c r="Y1089" s="7" t="str">
        <f aca="false">IF(COUNT(U1089:X1089)=4,(W1089-X1089)/2,"")</f>
        <v/>
      </c>
      <c r="Z1089" s="7" t="str">
        <f aca="false">IF(COUNT(U1089:X1089)=4,(U1089-V1089)/2,"")</f>
        <v/>
      </c>
      <c r="AA1089" s="7" t="str">
        <f aca="false">IF(COUNT(U1089:X1089)=4,MAX(1,MIN(10,ROUNDUP(5-Z1089,0))),"")</f>
        <v/>
      </c>
      <c r="AB1089" s="7" t="str">
        <f aca="false">IF(COUNT(U1089:X1089)=4,MAX(1,MIN(10,ROUNDUP(Y1089+5,0))),"")</f>
        <v/>
      </c>
      <c r="AC1089" s="6"/>
      <c r="AD1089" s="6"/>
    </row>
    <row r="1090" customFormat="false" ht="15" hidden="false" customHeight="true" outlineLevel="0" collapsed="false">
      <c r="A1090" s="5" t="n">
        <v>1089</v>
      </c>
      <c r="B1090" s="5" t="s">
        <v>2744</v>
      </c>
      <c r="C1090" s="5" t="s">
        <v>145</v>
      </c>
      <c r="D1090" s="5" t="s">
        <v>51</v>
      </c>
      <c r="E1090" s="5" t="n">
        <v>101</v>
      </c>
      <c r="F1090" s="5" t="s">
        <v>2745</v>
      </c>
      <c r="G1090" s="5" t="n">
        <v>4</v>
      </c>
      <c r="H1090" s="5" t="s">
        <v>53</v>
      </c>
      <c r="I1090" s="5" t="s">
        <v>54</v>
      </c>
      <c r="J1090" s="5" t="s">
        <v>55</v>
      </c>
      <c r="K1090" s="5" t="s">
        <v>55</v>
      </c>
      <c r="L1090" s="5" t="n">
        <v>5</v>
      </c>
      <c r="M1090" s="5" t="n">
        <v>3</v>
      </c>
      <c r="N1090" s="5" t="n">
        <v>3</v>
      </c>
      <c r="O1090" s="5" t="n">
        <v>6</v>
      </c>
      <c r="P1090" s="5" t="n">
        <v>-1.5</v>
      </c>
      <c r="Q1090" s="5" t="n">
        <v>1</v>
      </c>
      <c r="R1090" s="5" t="n">
        <v>4</v>
      </c>
      <c r="S1090" s="5" t="n">
        <v>4</v>
      </c>
      <c r="T1090" s="5" t="s">
        <v>631</v>
      </c>
      <c r="U1090" s="6"/>
      <c r="V1090" s="6"/>
      <c r="W1090" s="6"/>
      <c r="X1090" s="6"/>
      <c r="Y1090" s="7" t="str">
        <f aca="false">IF(COUNT(U1090:X1090)=4,(W1090-X1090)/2,"")</f>
        <v/>
      </c>
      <c r="Z1090" s="7" t="str">
        <f aca="false">IF(COUNT(U1090:X1090)=4,(U1090-V1090)/2,"")</f>
        <v/>
      </c>
      <c r="AA1090" s="7" t="str">
        <f aca="false">IF(COUNT(U1090:X1090)=4,MAX(1,MIN(10,ROUNDUP(5-Z1090,0))),"")</f>
        <v/>
      </c>
      <c r="AB1090" s="7" t="str">
        <f aca="false">IF(COUNT(U1090:X1090)=4,MAX(1,MIN(10,ROUNDUP(Y1090+5,0))),"")</f>
        <v/>
      </c>
      <c r="AC1090" s="6"/>
      <c r="AD1090" s="6"/>
    </row>
    <row r="1091" customFormat="false" ht="15" hidden="false" customHeight="true" outlineLevel="0" collapsed="false">
      <c r="A1091" s="5" t="n">
        <v>1090</v>
      </c>
      <c r="B1091" s="5" t="s">
        <v>2746</v>
      </c>
      <c r="C1091" s="5" t="s">
        <v>145</v>
      </c>
      <c r="D1091" s="5" t="s">
        <v>51</v>
      </c>
      <c r="E1091" s="5" t="n">
        <v>101</v>
      </c>
      <c r="F1091" s="5" t="s">
        <v>2747</v>
      </c>
      <c r="G1091" s="5" t="n">
        <v>4</v>
      </c>
      <c r="H1091" s="5" t="s">
        <v>53</v>
      </c>
      <c r="I1091" s="5" t="s">
        <v>54</v>
      </c>
      <c r="J1091" s="5" t="s">
        <v>55</v>
      </c>
      <c r="K1091" s="5" t="s">
        <v>55</v>
      </c>
      <c r="L1091" s="5" t="n">
        <v>5</v>
      </c>
      <c r="M1091" s="5" t="n">
        <v>2</v>
      </c>
      <c r="N1091" s="5" t="n">
        <v>10</v>
      </c>
      <c r="O1091" s="5" t="n">
        <v>1</v>
      </c>
      <c r="P1091" s="5" t="n">
        <v>4.5</v>
      </c>
      <c r="Q1091" s="5" t="n">
        <v>1.5</v>
      </c>
      <c r="R1091" s="5" t="n">
        <v>4</v>
      </c>
      <c r="S1091" s="5" t="n">
        <v>10</v>
      </c>
      <c r="T1091" s="5" t="s">
        <v>2748</v>
      </c>
      <c r="U1091" s="6"/>
      <c r="V1091" s="6"/>
      <c r="W1091" s="6"/>
      <c r="X1091" s="6"/>
      <c r="Y1091" s="7" t="str">
        <f aca="false">IF(COUNT(U1091:X1091)=4,(W1091-X1091)/2,"")</f>
        <v/>
      </c>
      <c r="Z1091" s="7" t="str">
        <f aca="false">IF(COUNT(U1091:X1091)=4,(U1091-V1091)/2,"")</f>
        <v/>
      </c>
      <c r="AA1091" s="7" t="str">
        <f aca="false">IF(COUNT(U1091:X1091)=4,MAX(1,MIN(10,ROUNDUP(5-Z1091,0))),"")</f>
        <v/>
      </c>
      <c r="AB1091" s="7" t="str">
        <f aca="false">IF(COUNT(U1091:X1091)=4,MAX(1,MIN(10,ROUNDUP(Y1091+5,0))),"")</f>
        <v/>
      </c>
      <c r="AC1091" s="6"/>
      <c r="AD1091" s="6"/>
    </row>
    <row r="1092" customFormat="false" ht="15" hidden="false" customHeight="true" outlineLevel="0" collapsed="false">
      <c r="A1092" s="5" t="n">
        <v>1091</v>
      </c>
      <c r="B1092" s="5" t="s">
        <v>2749</v>
      </c>
      <c r="C1092" s="5" t="s">
        <v>58</v>
      </c>
      <c r="D1092" s="5" t="s">
        <v>59</v>
      </c>
      <c r="E1092" s="5" t="n">
        <v>101</v>
      </c>
      <c r="F1092" s="5" t="s">
        <v>2749</v>
      </c>
      <c r="G1092" s="5" t="n">
        <v>3</v>
      </c>
      <c r="H1092" s="5" t="s">
        <v>53</v>
      </c>
      <c r="I1092" s="5" t="s">
        <v>64</v>
      </c>
      <c r="J1092" s="5"/>
      <c r="K1092" s="5"/>
      <c r="L1092" s="5" t="n">
        <v>4</v>
      </c>
      <c r="M1092" s="5" t="n">
        <v>6</v>
      </c>
      <c r="N1092" s="5" t="n">
        <v>3</v>
      </c>
      <c r="O1092" s="5" t="n">
        <v>7</v>
      </c>
      <c r="P1092" s="5" t="n">
        <v>-2</v>
      </c>
      <c r="Q1092" s="5" t="n">
        <v>-1</v>
      </c>
      <c r="R1092" s="5" t="n">
        <v>6</v>
      </c>
      <c r="S1092" s="5" t="n">
        <v>3</v>
      </c>
      <c r="T1092" s="5" t="s">
        <v>2750</v>
      </c>
      <c r="U1092" s="6"/>
      <c r="V1092" s="6"/>
      <c r="W1092" s="6"/>
      <c r="X1092" s="6"/>
      <c r="Y1092" s="7" t="str">
        <f aca="false">IF(COUNT(U1092:X1092)=4,(W1092-X1092)/2,"")</f>
        <v/>
      </c>
      <c r="Z1092" s="7" t="str">
        <f aca="false">IF(COUNT(U1092:X1092)=4,(U1092-V1092)/2,"")</f>
        <v/>
      </c>
      <c r="AA1092" s="7" t="str">
        <f aca="false">IF(COUNT(U1092:X1092)=4,MAX(1,MIN(10,ROUNDUP(5-Z1092,0))),"")</f>
        <v/>
      </c>
      <c r="AB1092" s="7" t="str">
        <f aca="false">IF(COUNT(U1092:X1092)=4,MAX(1,MIN(10,ROUNDUP(Y1092+5,0))),"")</f>
        <v/>
      </c>
      <c r="AC1092" s="6"/>
      <c r="AD1092" s="6"/>
    </row>
    <row r="1093" customFormat="false" ht="15" hidden="false" customHeight="true" outlineLevel="0" collapsed="false">
      <c r="A1093" s="5" t="n">
        <v>1092</v>
      </c>
      <c r="B1093" s="5" t="s">
        <v>2751</v>
      </c>
      <c r="C1093" s="5" t="s">
        <v>171</v>
      </c>
      <c r="D1093" s="5" t="s">
        <v>172</v>
      </c>
      <c r="E1093" s="5" t="n">
        <v>100</v>
      </c>
      <c r="F1093" s="5" t="s">
        <v>2752</v>
      </c>
      <c r="G1093" s="5" t="n">
        <v>4</v>
      </c>
      <c r="H1093" s="5" t="s">
        <v>53</v>
      </c>
      <c r="I1093" s="5" t="s">
        <v>54</v>
      </c>
      <c r="J1093" s="5" t="s">
        <v>181</v>
      </c>
      <c r="K1093" s="5" t="s">
        <v>427</v>
      </c>
      <c r="L1093" s="5" t="n">
        <v>4</v>
      </c>
      <c r="M1093" s="5" t="n">
        <v>4</v>
      </c>
      <c r="N1093" s="5" t="n">
        <v>3</v>
      </c>
      <c r="O1093" s="5" t="n">
        <v>8</v>
      </c>
      <c r="P1093" s="5" t="n">
        <v>-2.5</v>
      </c>
      <c r="Q1093" s="5" t="n">
        <v>0</v>
      </c>
      <c r="R1093" s="5" t="n">
        <v>5</v>
      </c>
      <c r="S1093" s="5" t="n">
        <v>3</v>
      </c>
      <c r="T1093" s="5" t="s">
        <v>1810</v>
      </c>
      <c r="U1093" s="6"/>
      <c r="V1093" s="6"/>
      <c r="W1093" s="6"/>
      <c r="X1093" s="6"/>
      <c r="Y1093" s="7" t="str">
        <f aca="false">IF(COUNT(U1093:X1093)=4,(W1093-X1093)/2,"")</f>
        <v/>
      </c>
      <c r="Z1093" s="7" t="str">
        <f aca="false">IF(COUNT(U1093:X1093)=4,(U1093-V1093)/2,"")</f>
        <v/>
      </c>
      <c r="AA1093" s="7" t="str">
        <f aca="false">IF(COUNT(U1093:X1093)=4,MAX(1,MIN(10,ROUNDUP(5-Z1093,0))),"")</f>
        <v/>
      </c>
      <c r="AB1093" s="7" t="str">
        <f aca="false">IF(COUNT(U1093:X1093)=4,MAX(1,MIN(10,ROUNDUP(Y1093+5,0))),"")</f>
        <v/>
      </c>
      <c r="AC1093" s="6"/>
      <c r="AD1093" s="6"/>
    </row>
    <row r="1094" customFormat="false" ht="15" hidden="false" customHeight="true" outlineLevel="0" collapsed="false">
      <c r="A1094" s="5" t="n">
        <v>1093</v>
      </c>
      <c r="B1094" s="5" t="s">
        <v>2753</v>
      </c>
      <c r="C1094" s="5" t="s">
        <v>171</v>
      </c>
      <c r="D1094" s="5" t="s">
        <v>172</v>
      </c>
      <c r="E1094" s="5" t="n">
        <v>100</v>
      </c>
      <c r="F1094" s="5" t="s">
        <v>2754</v>
      </c>
      <c r="G1094" s="5" t="n">
        <v>4</v>
      </c>
      <c r="H1094" s="5" t="s">
        <v>53</v>
      </c>
      <c r="I1094" s="5" t="s">
        <v>54</v>
      </c>
      <c r="J1094" s="5" t="s">
        <v>181</v>
      </c>
      <c r="K1094" s="5" t="s">
        <v>1412</v>
      </c>
      <c r="L1094" s="5" t="n">
        <v>5</v>
      </c>
      <c r="M1094" s="5" t="n">
        <v>1</v>
      </c>
      <c r="N1094" s="5" t="n">
        <v>8</v>
      </c>
      <c r="O1094" s="5" t="n">
        <v>2</v>
      </c>
      <c r="P1094" s="5" t="n">
        <v>3</v>
      </c>
      <c r="Q1094" s="5" t="n">
        <v>2</v>
      </c>
      <c r="R1094" s="5" t="n">
        <v>3</v>
      </c>
      <c r="S1094" s="5" t="n">
        <v>8</v>
      </c>
      <c r="T1094" s="5" t="s">
        <v>494</v>
      </c>
      <c r="U1094" s="6"/>
      <c r="V1094" s="6"/>
      <c r="W1094" s="6"/>
      <c r="X1094" s="6"/>
      <c r="Y1094" s="7" t="str">
        <f aca="false">IF(COUNT(U1094:X1094)=4,(W1094-X1094)/2,"")</f>
        <v/>
      </c>
      <c r="Z1094" s="7" t="str">
        <f aca="false">IF(COUNT(U1094:X1094)=4,(U1094-V1094)/2,"")</f>
        <v/>
      </c>
      <c r="AA1094" s="7" t="str">
        <f aca="false">IF(COUNT(U1094:X1094)=4,MAX(1,MIN(10,ROUNDUP(5-Z1094,0))),"")</f>
        <v/>
      </c>
      <c r="AB1094" s="7" t="str">
        <f aca="false">IF(COUNT(U1094:X1094)=4,MAX(1,MIN(10,ROUNDUP(Y1094+5,0))),"")</f>
        <v/>
      </c>
      <c r="AC1094" s="6"/>
      <c r="AD1094" s="6"/>
    </row>
    <row r="1095" customFormat="false" ht="15" hidden="false" customHeight="true" outlineLevel="0" collapsed="false">
      <c r="A1095" s="5" t="n">
        <v>1094</v>
      </c>
      <c r="B1095" s="5" t="s">
        <v>2755</v>
      </c>
      <c r="C1095" s="5" t="s">
        <v>171</v>
      </c>
      <c r="D1095" s="5" t="s">
        <v>172</v>
      </c>
      <c r="E1095" s="5" t="n">
        <v>100</v>
      </c>
      <c r="F1095" s="5" t="s">
        <v>2756</v>
      </c>
      <c r="G1095" s="5" t="n">
        <v>4</v>
      </c>
      <c r="H1095" s="5" t="s">
        <v>53</v>
      </c>
      <c r="I1095" s="5" t="s">
        <v>54</v>
      </c>
      <c r="J1095" s="5" t="s">
        <v>181</v>
      </c>
      <c r="K1095" s="5" t="s">
        <v>413</v>
      </c>
      <c r="L1095" s="5" t="n">
        <v>8</v>
      </c>
      <c r="M1095" s="5" t="n">
        <v>2</v>
      </c>
      <c r="N1095" s="5" t="n">
        <v>3</v>
      </c>
      <c r="O1095" s="5" t="n">
        <v>8</v>
      </c>
      <c r="P1095" s="5" t="n">
        <v>-2.5</v>
      </c>
      <c r="Q1095" s="5" t="n">
        <v>3</v>
      </c>
      <c r="R1095" s="5" t="n">
        <v>2</v>
      </c>
      <c r="S1095" s="5" t="n">
        <v>3</v>
      </c>
      <c r="T1095" s="5" t="s">
        <v>2757</v>
      </c>
      <c r="U1095" s="6"/>
      <c r="V1095" s="6"/>
      <c r="W1095" s="6"/>
      <c r="X1095" s="6"/>
      <c r="Y1095" s="7" t="str">
        <f aca="false">IF(COUNT(U1095:X1095)=4,(W1095-X1095)/2,"")</f>
        <v/>
      </c>
      <c r="Z1095" s="7" t="str">
        <f aca="false">IF(COUNT(U1095:X1095)=4,(U1095-V1095)/2,"")</f>
        <v/>
      </c>
      <c r="AA1095" s="7" t="str">
        <f aca="false">IF(COUNT(U1095:X1095)=4,MAX(1,MIN(10,ROUNDUP(5-Z1095,0))),"")</f>
        <v/>
      </c>
      <c r="AB1095" s="7" t="str">
        <f aca="false">IF(COUNT(U1095:X1095)=4,MAX(1,MIN(10,ROUNDUP(Y1095+5,0))),"")</f>
        <v/>
      </c>
      <c r="AC1095" s="6"/>
      <c r="AD1095" s="6"/>
    </row>
    <row r="1096" customFormat="false" ht="15" hidden="false" customHeight="true" outlineLevel="0" collapsed="false">
      <c r="A1096" s="5" t="n">
        <v>1095</v>
      </c>
      <c r="B1096" s="5" t="s">
        <v>2758</v>
      </c>
      <c r="C1096" s="5" t="s">
        <v>171</v>
      </c>
      <c r="D1096" s="5" t="s">
        <v>172</v>
      </c>
      <c r="E1096" s="5" t="n">
        <v>100</v>
      </c>
      <c r="F1096" s="5" t="s">
        <v>2759</v>
      </c>
      <c r="G1096" s="5" t="n">
        <v>4</v>
      </c>
      <c r="H1096" s="5" t="s">
        <v>53</v>
      </c>
      <c r="I1096" s="5" t="s">
        <v>54</v>
      </c>
      <c r="J1096" s="5" t="s">
        <v>181</v>
      </c>
      <c r="K1096" s="5" t="s">
        <v>593</v>
      </c>
      <c r="L1096" s="5" t="n">
        <v>2</v>
      </c>
      <c r="M1096" s="5" t="n">
        <v>6</v>
      </c>
      <c r="N1096" s="5" t="n">
        <v>7</v>
      </c>
      <c r="O1096" s="5" t="n">
        <v>3</v>
      </c>
      <c r="P1096" s="5" t="n">
        <v>2</v>
      </c>
      <c r="Q1096" s="5" t="n">
        <v>-2</v>
      </c>
      <c r="R1096" s="5" t="n">
        <v>7</v>
      </c>
      <c r="S1096" s="5" t="n">
        <v>7</v>
      </c>
      <c r="T1096" s="5" t="s">
        <v>2760</v>
      </c>
      <c r="U1096" s="6"/>
      <c r="V1096" s="6"/>
      <c r="W1096" s="6"/>
      <c r="X1096" s="6"/>
      <c r="Y1096" s="7" t="str">
        <f aca="false">IF(COUNT(U1096:X1096)=4,(W1096-X1096)/2,"")</f>
        <v/>
      </c>
      <c r="Z1096" s="7" t="str">
        <f aca="false">IF(COUNT(U1096:X1096)=4,(U1096-V1096)/2,"")</f>
        <v/>
      </c>
      <c r="AA1096" s="7" t="str">
        <f aca="false">IF(COUNT(U1096:X1096)=4,MAX(1,MIN(10,ROUNDUP(5-Z1096,0))),"")</f>
        <v/>
      </c>
      <c r="AB1096" s="7" t="str">
        <f aca="false">IF(COUNT(U1096:X1096)=4,MAX(1,MIN(10,ROUNDUP(Y1096+5,0))),"")</f>
        <v/>
      </c>
      <c r="AC1096" s="6"/>
      <c r="AD1096" s="6"/>
    </row>
    <row r="1097" customFormat="false" ht="15" hidden="false" customHeight="true" outlineLevel="0" collapsed="false">
      <c r="A1097" s="5" t="n">
        <v>1096</v>
      </c>
      <c r="B1097" s="5" t="s">
        <v>2761</v>
      </c>
      <c r="C1097" s="5" t="s">
        <v>171</v>
      </c>
      <c r="D1097" s="5" t="s">
        <v>172</v>
      </c>
      <c r="E1097" s="5" t="n">
        <v>100</v>
      </c>
      <c r="F1097" s="5" t="s">
        <v>2762</v>
      </c>
      <c r="G1097" s="5" t="n">
        <v>4</v>
      </c>
      <c r="H1097" s="5" t="s">
        <v>53</v>
      </c>
      <c r="I1097" s="5" t="s">
        <v>54</v>
      </c>
      <c r="J1097" s="5" t="s">
        <v>181</v>
      </c>
      <c r="K1097" s="5" t="s">
        <v>413</v>
      </c>
      <c r="L1097" s="5" t="n">
        <v>5</v>
      </c>
      <c r="M1097" s="5" t="n">
        <v>3</v>
      </c>
      <c r="N1097" s="5" t="n">
        <v>3</v>
      </c>
      <c r="O1097" s="5" t="n">
        <v>8</v>
      </c>
      <c r="P1097" s="5" t="n">
        <v>-2.5</v>
      </c>
      <c r="Q1097" s="5" t="n">
        <v>1</v>
      </c>
      <c r="R1097" s="5" t="n">
        <v>4</v>
      </c>
      <c r="S1097" s="5" t="n">
        <v>3</v>
      </c>
      <c r="T1097" s="5" t="s">
        <v>1147</v>
      </c>
      <c r="U1097" s="6"/>
      <c r="V1097" s="6"/>
      <c r="W1097" s="6"/>
      <c r="X1097" s="6"/>
      <c r="Y1097" s="7" t="str">
        <f aca="false">IF(COUNT(U1097:X1097)=4,(W1097-X1097)/2,"")</f>
        <v/>
      </c>
      <c r="Z1097" s="7" t="str">
        <f aca="false">IF(COUNT(U1097:X1097)=4,(U1097-V1097)/2,"")</f>
        <v/>
      </c>
      <c r="AA1097" s="7" t="str">
        <f aca="false">IF(COUNT(U1097:X1097)=4,MAX(1,MIN(10,ROUNDUP(5-Z1097,0))),"")</f>
        <v/>
      </c>
      <c r="AB1097" s="7" t="str">
        <f aca="false">IF(COUNT(U1097:X1097)=4,MAX(1,MIN(10,ROUNDUP(Y1097+5,0))),"")</f>
        <v/>
      </c>
      <c r="AC1097" s="6"/>
      <c r="AD1097" s="6"/>
    </row>
    <row r="1098" customFormat="false" ht="15" hidden="false" customHeight="true" outlineLevel="0" collapsed="false">
      <c r="A1098" s="5" t="n">
        <v>1097</v>
      </c>
      <c r="B1098" s="5" t="s">
        <v>2763</v>
      </c>
      <c r="C1098" s="5" t="s">
        <v>171</v>
      </c>
      <c r="D1098" s="5" t="s">
        <v>172</v>
      </c>
      <c r="E1098" s="5" t="n">
        <v>100</v>
      </c>
      <c r="F1098" s="5" t="s">
        <v>2764</v>
      </c>
      <c r="G1098" s="5" t="n">
        <v>4</v>
      </c>
      <c r="H1098" s="5" t="s">
        <v>53</v>
      </c>
      <c r="I1098" s="5" t="s">
        <v>54</v>
      </c>
      <c r="J1098" s="5" t="s">
        <v>181</v>
      </c>
      <c r="K1098" s="5" t="s">
        <v>235</v>
      </c>
      <c r="L1098" s="5" t="n">
        <v>4</v>
      </c>
      <c r="M1098" s="5" t="n">
        <v>4</v>
      </c>
      <c r="N1098" s="5" t="n">
        <v>7</v>
      </c>
      <c r="O1098" s="5" t="n">
        <v>4</v>
      </c>
      <c r="P1098" s="5" t="n">
        <v>1.5</v>
      </c>
      <c r="Q1098" s="5" t="n">
        <v>0</v>
      </c>
      <c r="R1098" s="5" t="n">
        <v>5</v>
      </c>
      <c r="S1098" s="5" t="n">
        <v>7</v>
      </c>
      <c r="T1098" s="5" t="s">
        <v>2765</v>
      </c>
      <c r="U1098" s="6"/>
      <c r="V1098" s="6"/>
      <c r="W1098" s="6"/>
      <c r="X1098" s="6"/>
      <c r="Y1098" s="7" t="str">
        <f aca="false">IF(COUNT(U1098:X1098)=4,(W1098-X1098)/2,"")</f>
        <v/>
      </c>
      <c r="Z1098" s="7" t="str">
        <f aca="false">IF(COUNT(U1098:X1098)=4,(U1098-V1098)/2,"")</f>
        <v/>
      </c>
      <c r="AA1098" s="7" t="str">
        <f aca="false">IF(COUNT(U1098:X1098)=4,MAX(1,MIN(10,ROUNDUP(5-Z1098,0))),"")</f>
        <v/>
      </c>
      <c r="AB1098" s="7" t="str">
        <f aca="false">IF(COUNT(U1098:X1098)=4,MAX(1,MIN(10,ROUNDUP(Y1098+5,0))),"")</f>
        <v/>
      </c>
      <c r="AC1098" s="6"/>
      <c r="AD1098" s="6"/>
    </row>
    <row r="1099" customFormat="false" ht="15" hidden="false" customHeight="true" outlineLevel="0" collapsed="false">
      <c r="A1099" s="5" t="n">
        <v>1098</v>
      </c>
      <c r="B1099" s="5" t="s">
        <v>2766</v>
      </c>
      <c r="C1099" s="5" t="s">
        <v>171</v>
      </c>
      <c r="D1099" s="5" t="s">
        <v>172</v>
      </c>
      <c r="E1099" s="5" t="n">
        <v>100</v>
      </c>
      <c r="F1099" s="5" t="s">
        <v>2767</v>
      </c>
      <c r="G1099" s="5" t="n">
        <v>4</v>
      </c>
      <c r="H1099" s="5" t="s">
        <v>53</v>
      </c>
      <c r="I1099" s="5" t="s">
        <v>54</v>
      </c>
      <c r="J1099" s="5" t="s">
        <v>181</v>
      </c>
      <c r="K1099" s="5" t="s">
        <v>333</v>
      </c>
      <c r="L1099" s="5" t="n">
        <v>2</v>
      </c>
      <c r="M1099" s="5" t="n">
        <v>4</v>
      </c>
      <c r="N1099" s="5" t="n">
        <v>8</v>
      </c>
      <c r="O1099" s="5" t="n">
        <v>2</v>
      </c>
      <c r="P1099" s="5" t="n">
        <v>3</v>
      </c>
      <c r="Q1099" s="5" t="n">
        <v>-1</v>
      </c>
      <c r="R1099" s="5" t="n">
        <v>6</v>
      </c>
      <c r="S1099" s="5" t="n">
        <v>8</v>
      </c>
      <c r="T1099" s="5" t="s">
        <v>2768</v>
      </c>
      <c r="U1099" s="6"/>
      <c r="V1099" s="6"/>
      <c r="W1099" s="6"/>
      <c r="X1099" s="6"/>
      <c r="Y1099" s="7" t="str">
        <f aca="false">IF(COUNT(U1099:X1099)=4,(W1099-X1099)/2,"")</f>
        <v/>
      </c>
      <c r="Z1099" s="7" t="str">
        <f aca="false">IF(COUNT(U1099:X1099)=4,(U1099-V1099)/2,"")</f>
        <v/>
      </c>
      <c r="AA1099" s="7" t="str">
        <f aca="false">IF(COUNT(U1099:X1099)=4,MAX(1,MIN(10,ROUNDUP(5-Z1099,0))),"")</f>
        <v/>
      </c>
      <c r="AB1099" s="7" t="str">
        <f aca="false">IF(COUNT(U1099:X1099)=4,MAX(1,MIN(10,ROUNDUP(Y1099+5,0))),"")</f>
        <v/>
      </c>
      <c r="AC1099" s="6"/>
      <c r="AD1099" s="6"/>
    </row>
    <row r="1100" customFormat="false" ht="15" hidden="false" customHeight="true" outlineLevel="0" collapsed="false">
      <c r="A1100" s="5" t="n">
        <v>1099</v>
      </c>
      <c r="B1100" s="5" t="s">
        <v>2769</v>
      </c>
      <c r="C1100" s="5" t="s">
        <v>203</v>
      </c>
      <c r="D1100" s="5" t="s">
        <v>204</v>
      </c>
      <c r="E1100" s="5" t="n">
        <v>100</v>
      </c>
      <c r="F1100" s="5" t="s">
        <v>2770</v>
      </c>
      <c r="G1100" s="5" t="n">
        <v>4</v>
      </c>
      <c r="H1100" s="5" t="s">
        <v>53</v>
      </c>
      <c r="I1100" s="5" t="s">
        <v>54</v>
      </c>
      <c r="J1100" s="5" t="s">
        <v>117</v>
      </c>
      <c r="K1100" s="5" t="s">
        <v>117</v>
      </c>
      <c r="L1100" s="5" t="n">
        <v>3</v>
      </c>
      <c r="M1100" s="5" t="n">
        <v>1</v>
      </c>
      <c r="N1100" s="5" t="n">
        <v>8</v>
      </c>
      <c r="O1100" s="5" t="n">
        <v>2</v>
      </c>
      <c r="P1100" s="5" t="n">
        <v>3</v>
      </c>
      <c r="Q1100" s="5" t="n">
        <v>1</v>
      </c>
      <c r="R1100" s="5" t="n">
        <v>4</v>
      </c>
      <c r="S1100" s="5" t="n">
        <v>8</v>
      </c>
      <c r="T1100" s="5" t="s">
        <v>2771</v>
      </c>
      <c r="U1100" s="6"/>
      <c r="V1100" s="6"/>
      <c r="W1100" s="6"/>
      <c r="X1100" s="6"/>
      <c r="Y1100" s="7" t="str">
        <f aca="false">IF(COUNT(U1100:X1100)=4,(W1100-X1100)/2,"")</f>
        <v/>
      </c>
      <c r="Z1100" s="7" t="str">
        <f aca="false">IF(COUNT(U1100:X1100)=4,(U1100-V1100)/2,"")</f>
        <v/>
      </c>
      <c r="AA1100" s="7" t="str">
        <f aca="false">IF(COUNT(U1100:X1100)=4,MAX(1,MIN(10,ROUNDUP(5-Z1100,0))),"")</f>
        <v/>
      </c>
      <c r="AB1100" s="7" t="str">
        <f aca="false">IF(COUNT(U1100:X1100)=4,MAX(1,MIN(10,ROUNDUP(Y1100+5,0))),"")</f>
        <v/>
      </c>
      <c r="AC1100" s="6"/>
      <c r="AD1100" s="6"/>
    </row>
    <row r="1101" customFormat="false" ht="15" hidden="false" customHeight="true" outlineLevel="0" collapsed="false">
      <c r="A1101" s="5" t="n">
        <v>1100</v>
      </c>
      <c r="B1101" s="5" t="s">
        <v>2772</v>
      </c>
      <c r="C1101" s="5" t="s">
        <v>203</v>
      </c>
      <c r="D1101" s="5" t="s">
        <v>204</v>
      </c>
      <c r="E1101" s="5" t="n">
        <v>99</v>
      </c>
      <c r="F1101" s="5" t="s">
        <v>2772</v>
      </c>
      <c r="G1101" s="5" t="n">
        <v>4</v>
      </c>
      <c r="H1101" s="5" t="s">
        <v>53</v>
      </c>
      <c r="I1101" s="5" t="s">
        <v>54</v>
      </c>
      <c r="J1101" s="5" t="s">
        <v>117</v>
      </c>
      <c r="K1101" s="5" t="s">
        <v>117</v>
      </c>
      <c r="L1101" s="5" t="n">
        <v>5</v>
      </c>
      <c r="M1101" s="5" t="n">
        <v>3</v>
      </c>
      <c r="N1101" s="5" t="n">
        <v>1</v>
      </c>
      <c r="O1101" s="5" t="n">
        <v>8</v>
      </c>
      <c r="P1101" s="5" t="n">
        <v>-3.5</v>
      </c>
      <c r="Q1101" s="5" t="n">
        <v>1</v>
      </c>
      <c r="R1101" s="5" t="n">
        <v>4</v>
      </c>
      <c r="S1101" s="5" t="n">
        <v>2</v>
      </c>
      <c r="T1101" s="5" t="s">
        <v>2773</v>
      </c>
      <c r="U1101" s="6"/>
      <c r="V1101" s="6"/>
      <c r="W1101" s="6"/>
      <c r="X1101" s="6"/>
      <c r="Y1101" s="7" t="str">
        <f aca="false">IF(COUNT(U1101:X1101)=4,(W1101-X1101)/2,"")</f>
        <v/>
      </c>
      <c r="Z1101" s="7" t="str">
        <f aca="false">IF(COUNT(U1101:X1101)=4,(U1101-V1101)/2,"")</f>
        <v/>
      </c>
      <c r="AA1101" s="7" t="str">
        <f aca="false">IF(COUNT(U1101:X1101)=4,MAX(1,MIN(10,ROUNDUP(5-Z1101,0))),"")</f>
        <v/>
      </c>
      <c r="AB1101" s="7" t="str">
        <f aca="false">IF(COUNT(U1101:X1101)=4,MAX(1,MIN(10,ROUNDUP(Y1101+5,0))),"")</f>
        <v/>
      </c>
      <c r="AC1101" s="6"/>
      <c r="AD1101" s="6"/>
    </row>
    <row r="1102" customFormat="false" ht="15" hidden="false" customHeight="true" outlineLevel="0" collapsed="false">
      <c r="A1102" s="5" t="n">
        <v>1101</v>
      </c>
      <c r="B1102" s="5" t="s">
        <v>2774</v>
      </c>
      <c r="C1102" s="5" t="s">
        <v>171</v>
      </c>
      <c r="D1102" s="5" t="s">
        <v>172</v>
      </c>
      <c r="E1102" s="5" t="n">
        <v>99</v>
      </c>
      <c r="F1102" s="5" t="s">
        <v>2775</v>
      </c>
      <c r="G1102" s="5" t="n">
        <v>4</v>
      </c>
      <c r="H1102" s="5" t="s">
        <v>53</v>
      </c>
      <c r="I1102" s="5" t="s">
        <v>54</v>
      </c>
      <c r="J1102" s="5" t="s">
        <v>181</v>
      </c>
      <c r="K1102" s="5" t="s">
        <v>443</v>
      </c>
      <c r="L1102" s="5" t="n">
        <v>5</v>
      </c>
      <c r="M1102" s="5" t="n">
        <v>3</v>
      </c>
      <c r="N1102" s="5" t="n">
        <v>4</v>
      </c>
      <c r="O1102" s="5" t="n">
        <v>8</v>
      </c>
      <c r="P1102" s="5" t="n">
        <v>-2</v>
      </c>
      <c r="Q1102" s="5" t="n">
        <v>1</v>
      </c>
      <c r="R1102" s="5" t="n">
        <v>4</v>
      </c>
      <c r="S1102" s="5" t="n">
        <v>3</v>
      </c>
      <c r="T1102" s="5" t="s">
        <v>2776</v>
      </c>
      <c r="U1102" s="6"/>
      <c r="V1102" s="6"/>
      <c r="W1102" s="6"/>
      <c r="X1102" s="6"/>
      <c r="Y1102" s="7" t="str">
        <f aca="false">IF(COUNT(U1102:X1102)=4,(W1102-X1102)/2,"")</f>
        <v/>
      </c>
      <c r="Z1102" s="7" t="str">
        <f aca="false">IF(COUNT(U1102:X1102)=4,(U1102-V1102)/2,"")</f>
        <v/>
      </c>
      <c r="AA1102" s="7" t="str">
        <f aca="false">IF(COUNT(U1102:X1102)=4,MAX(1,MIN(10,ROUNDUP(5-Z1102,0))),"")</f>
        <v/>
      </c>
      <c r="AB1102" s="7" t="str">
        <f aca="false">IF(COUNT(U1102:X1102)=4,MAX(1,MIN(10,ROUNDUP(Y1102+5,0))),"")</f>
        <v/>
      </c>
      <c r="AC1102" s="6"/>
      <c r="AD1102" s="6"/>
    </row>
    <row r="1103" customFormat="false" ht="15" hidden="false" customHeight="true" outlineLevel="0" collapsed="false">
      <c r="A1103" s="5" t="n">
        <v>1102</v>
      </c>
      <c r="B1103" s="5" t="s">
        <v>2777</v>
      </c>
      <c r="C1103" s="5" t="s">
        <v>145</v>
      </c>
      <c r="D1103" s="5" t="s">
        <v>51</v>
      </c>
      <c r="E1103" s="5" t="n">
        <v>99</v>
      </c>
      <c r="F1103" s="5" t="s">
        <v>2778</v>
      </c>
      <c r="G1103" s="5" t="n">
        <v>4</v>
      </c>
      <c r="H1103" s="5" t="s">
        <v>53</v>
      </c>
      <c r="I1103" s="5" t="s">
        <v>54</v>
      </c>
      <c r="J1103" s="5" t="s">
        <v>55</v>
      </c>
      <c r="K1103" s="5" t="s">
        <v>55</v>
      </c>
      <c r="L1103" s="5" t="n">
        <v>5</v>
      </c>
      <c r="M1103" s="5" t="n">
        <v>2</v>
      </c>
      <c r="N1103" s="5" t="n">
        <v>3</v>
      </c>
      <c r="O1103" s="5" t="n">
        <v>8</v>
      </c>
      <c r="P1103" s="5" t="n">
        <v>-2.5</v>
      </c>
      <c r="Q1103" s="5" t="n">
        <v>1.5</v>
      </c>
      <c r="R1103" s="5" t="n">
        <v>4</v>
      </c>
      <c r="S1103" s="5" t="n">
        <v>3</v>
      </c>
      <c r="T1103" s="5" t="s">
        <v>2779</v>
      </c>
      <c r="U1103" s="6"/>
      <c r="V1103" s="6"/>
      <c r="W1103" s="6"/>
      <c r="X1103" s="6"/>
      <c r="Y1103" s="7" t="str">
        <f aca="false">IF(COUNT(U1103:X1103)=4,(W1103-X1103)/2,"")</f>
        <v/>
      </c>
      <c r="Z1103" s="7" t="str">
        <f aca="false">IF(COUNT(U1103:X1103)=4,(U1103-V1103)/2,"")</f>
        <v/>
      </c>
      <c r="AA1103" s="7" t="str">
        <f aca="false">IF(COUNT(U1103:X1103)=4,MAX(1,MIN(10,ROUNDUP(5-Z1103,0))),"")</f>
        <v/>
      </c>
      <c r="AB1103" s="7" t="str">
        <f aca="false">IF(COUNT(U1103:X1103)=4,MAX(1,MIN(10,ROUNDUP(Y1103+5,0))),"")</f>
        <v/>
      </c>
      <c r="AC1103" s="6"/>
      <c r="AD1103" s="6"/>
    </row>
    <row r="1104" customFormat="false" ht="15" hidden="false" customHeight="true" outlineLevel="0" collapsed="false">
      <c r="A1104" s="5" t="n">
        <v>1103</v>
      </c>
      <c r="B1104" s="5" t="s">
        <v>2780</v>
      </c>
      <c r="C1104" s="5" t="s">
        <v>171</v>
      </c>
      <c r="D1104" s="5" t="s">
        <v>172</v>
      </c>
      <c r="E1104" s="5" t="n">
        <v>99</v>
      </c>
      <c r="F1104" s="5" t="s">
        <v>2781</v>
      </c>
      <c r="G1104" s="5" t="n">
        <v>4</v>
      </c>
      <c r="H1104" s="5" t="s">
        <v>53</v>
      </c>
      <c r="I1104" s="5" t="s">
        <v>54</v>
      </c>
      <c r="J1104" s="5" t="s">
        <v>181</v>
      </c>
      <c r="K1104" s="5" t="s">
        <v>673</v>
      </c>
      <c r="L1104" s="5" t="n">
        <v>4</v>
      </c>
      <c r="M1104" s="5" t="n">
        <v>4</v>
      </c>
      <c r="N1104" s="5" t="n">
        <v>5</v>
      </c>
      <c r="O1104" s="5" t="n">
        <v>6</v>
      </c>
      <c r="P1104" s="5" t="n">
        <v>-0.5</v>
      </c>
      <c r="Q1104" s="5" t="n">
        <v>0</v>
      </c>
      <c r="R1104" s="5" t="n">
        <v>5</v>
      </c>
      <c r="S1104" s="5" t="n">
        <v>5</v>
      </c>
      <c r="T1104" s="5" t="s">
        <v>2782</v>
      </c>
      <c r="U1104" s="6"/>
      <c r="V1104" s="6"/>
      <c r="W1104" s="6"/>
      <c r="X1104" s="6"/>
      <c r="Y1104" s="7" t="str">
        <f aca="false">IF(COUNT(U1104:X1104)=4,(W1104-X1104)/2,"")</f>
        <v/>
      </c>
      <c r="Z1104" s="7" t="str">
        <f aca="false">IF(COUNT(U1104:X1104)=4,(U1104-V1104)/2,"")</f>
        <v/>
      </c>
      <c r="AA1104" s="7" t="str">
        <f aca="false">IF(COUNT(U1104:X1104)=4,MAX(1,MIN(10,ROUNDUP(5-Z1104,0))),"")</f>
        <v/>
      </c>
      <c r="AB1104" s="7" t="str">
        <f aca="false">IF(COUNT(U1104:X1104)=4,MAX(1,MIN(10,ROUNDUP(Y1104+5,0))),"")</f>
        <v/>
      </c>
      <c r="AC1104" s="6"/>
      <c r="AD1104" s="6"/>
    </row>
    <row r="1105" customFormat="false" ht="15" hidden="false" customHeight="true" outlineLevel="0" collapsed="false">
      <c r="A1105" s="5" t="n">
        <v>1104</v>
      </c>
      <c r="B1105" s="5" t="s">
        <v>2783</v>
      </c>
      <c r="C1105" s="5" t="s">
        <v>203</v>
      </c>
      <c r="D1105" s="5" t="s">
        <v>204</v>
      </c>
      <c r="E1105" s="5" t="n">
        <v>99</v>
      </c>
      <c r="F1105" s="5" t="s">
        <v>2784</v>
      </c>
      <c r="G1105" s="5" t="n">
        <v>4</v>
      </c>
      <c r="H1105" s="5" t="s">
        <v>53</v>
      </c>
      <c r="I1105" s="5" t="s">
        <v>54</v>
      </c>
      <c r="J1105" s="5" t="s">
        <v>117</v>
      </c>
      <c r="K1105" s="5" t="s">
        <v>117</v>
      </c>
      <c r="L1105" s="5" t="n">
        <v>5</v>
      </c>
      <c r="M1105" s="5" t="n">
        <v>1</v>
      </c>
      <c r="N1105" s="5" t="n">
        <v>8</v>
      </c>
      <c r="O1105" s="5" t="n">
        <v>2</v>
      </c>
      <c r="P1105" s="5" t="n">
        <v>3</v>
      </c>
      <c r="Q1105" s="5" t="n">
        <v>2</v>
      </c>
      <c r="R1105" s="5" t="n">
        <v>3</v>
      </c>
      <c r="S1105" s="5" t="n">
        <v>8</v>
      </c>
      <c r="T1105" s="5" t="s">
        <v>2785</v>
      </c>
      <c r="U1105" s="6"/>
      <c r="V1105" s="6"/>
      <c r="W1105" s="6"/>
      <c r="X1105" s="6"/>
      <c r="Y1105" s="7" t="str">
        <f aca="false">IF(COUNT(U1105:X1105)=4,(W1105-X1105)/2,"")</f>
        <v/>
      </c>
      <c r="Z1105" s="7" t="str">
        <f aca="false">IF(COUNT(U1105:X1105)=4,(U1105-V1105)/2,"")</f>
        <v/>
      </c>
      <c r="AA1105" s="7" t="str">
        <f aca="false">IF(COUNT(U1105:X1105)=4,MAX(1,MIN(10,ROUNDUP(5-Z1105,0))),"")</f>
        <v/>
      </c>
      <c r="AB1105" s="7" t="str">
        <f aca="false">IF(COUNT(U1105:X1105)=4,MAX(1,MIN(10,ROUNDUP(Y1105+5,0))),"")</f>
        <v/>
      </c>
      <c r="AC1105" s="6"/>
      <c r="AD1105" s="6"/>
    </row>
    <row r="1106" customFormat="false" ht="15" hidden="false" customHeight="true" outlineLevel="0" collapsed="false">
      <c r="A1106" s="5" t="n">
        <v>1105</v>
      </c>
      <c r="B1106" s="5" t="s">
        <v>2786</v>
      </c>
      <c r="C1106" s="5" t="s">
        <v>171</v>
      </c>
      <c r="D1106" s="5" t="s">
        <v>172</v>
      </c>
      <c r="E1106" s="5" t="n">
        <v>99</v>
      </c>
      <c r="F1106" s="5" t="s">
        <v>2787</v>
      </c>
      <c r="G1106" s="5" t="n">
        <v>4</v>
      </c>
      <c r="H1106" s="5" t="s">
        <v>53</v>
      </c>
      <c r="I1106" s="5" t="s">
        <v>54</v>
      </c>
      <c r="J1106" s="5" t="s">
        <v>181</v>
      </c>
      <c r="K1106" s="5" t="s">
        <v>221</v>
      </c>
      <c r="L1106" s="5" t="n">
        <v>3</v>
      </c>
      <c r="M1106" s="5" t="n">
        <v>5</v>
      </c>
      <c r="N1106" s="5" t="n">
        <v>6</v>
      </c>
      <c r="O1106" s="5" t="n">
        <v>5</v>
      </c>
      <c r="P1106" s="5" t="n">
        <v>0.5</v>
      </c>
      <c r="Q1106" s="5" t="n">
        <v>-1</v>
      </c>
      <c r="R1106" s="5" t="n">
        <v>6</v>
      </c>
      <c r="S1106" s="5" t="n">
        <v>6</v>
      </c>
      <c r="T1106" s="5" t="s">
        <v>999</v>
      </c>
      <c r="U1106" s="6"/>
      <c r="V1106" s="6"/>
      <c r="W1106" s="6"/>
      <c r="X1106" s="6"/>
      <c r="Y1106" s="7" t="str">
        <f aca="false">IF(COUNT(U1106:X1106)=4,(W1106-X1106)/2,"")</f>
        <v/>
      </c>
      <c r="Z1106" s="7" t="str">
        <f aca="false">IF(COUNT(U1106:X1106)=4,(U1106-V1106)/2,"")</f>
        <v/>
      </c>
      <c r="AA1106" s="7" t="str">
        <f aca="false">IF(COUNT(U1106:X1106)=4,MAX(1,MIN(10,ROUNDUP(5-Z1106,0))),"")</f>
        <v/>
      </c>
      <c r="AB1106" s="7" t="str">
        <f aca="false">IF(COUNT(U1106:X1106)=4,MAX(1,MIN(10,ROUNDUP(Y1106+5,0))),"")</f>
        <v/>
      </c>
      <c r="AC1106" s="6"/>
      <c r="AD1106" s="6"/>
    </row>
    <row r="1107" customFormat="false" ht="15" hidden="false" customHeight="true" outlineLevel="0" collapsed="false">
      <c r="A1107" s="5" t="n">
        <v>1106</v>
      </c>
      <c r="B1107" s="5" t="s">
        <v>2788</v>
      </c>
      <c r="C1107" s="5" t="s">
        <v>171</v>
      </c>
      <c r="D1107" s="5" t="s">
        <v>172</v>
      </c>
      <c r="E1107" s="5" t="n">
        <v>99</v>
      </c>
      <c r="F1107" s="5" t="s">
        <v>2789</v>
      </c>
      <c r="G1107" s="5" t="n">
        <v>4</v>
      </c>
      <c r="H1107" s="5" t="s">
        <v>53</v>
      </c>
      <c r="I1107" s="5" t="s">
        <v>54</v>
      </c>
      <c r="J1107" s="5" t="s">
        <v>181</v>
      </c>
      <c r="K1107" s="5" t="s">
        <v>235</v>
      </c>
      <c r="L1107" s="5" t="n">
        <v>4</v>
      </c>
      <c r="M1107" s="5" t="n">
        <v>4</v>
      </c>
      <c r="N1107" s="5" t="n">
        <v>7</v>
      </c>
      <c r="O1107" s="5" t="n">
        <v>4</v>
      </c>
      <c r="P1107" s="5" t="n">
        <v>1.5</v>
      </c>
      <c r="Q1107" s="5" t="n">
        <v>0</v>
      </c>
      <c r="R1107" s="5" t="n">
        <v>5</v>
      </c>
      <c r="S1107" s="5" t="n">
        <v>7</v>
      </c>
      <c r="T1107" s="5" t="s">
        <v>2085</v>
      </c>
      <c r="U1107" s="6"/>
      <c r="V1107" s="6"/>
      <c r="W1107" s="6"/>
      <c r="X1107" s="6"/>
      <c r="Y1107" s="7" t="str">
        <f aca="false">IF(COUNT(U1107:X1107)=4,(W1107-X1107)/2,"")</f>
        <v/>
      </c>
      <c r="Z1107" s="7" t="str">
        <f aca="false">IF(COUNT(U1107:X1107)=4,(U1107-V1107)/2,"")</f>
        <v/>
      </c>
      <c r="AA1107" s="7" t="str">
        <f aca="false">IF(COUNT(U1107:X1107)=4,MAX(1,MIN(10,ROUNDUP(5-Z1107,0))),"")</f>
        <v/>
      </c>
      <c r="AB1107" s="7" t="str">
        <f aca="false">IF(COUNT(U1107:X1107)=4,MAX(1,MIN(10,ROUNDUP(Y1107+5,0))),"")</f>
        <v/>
      </c>
      <c r="AC1107" s="6"/>
      <c r="AD1107" s="6"/>
    </row>
    <row r="1108" customFormat="false" ht="15" hidden="false" customHeight="true" outlineLevel="0" collapsed="false">
      <c r="A1108" s="5" t="n">
        <v>1107</v>
      </c>
      <c r="B1108" s="5" t="s">
        <v>2790</v>
      </c>
      <c r="C1108" s="5" t="s">
        <v>145</v>
      </c>
      <c r="D1108" s="5" t="s">
        <v>51</v>
      </c>
      <c r="E1108" s="5" t="n">
        <v>99</v>
      </c>
      <c r="F1108" s="5" t="s">
        <v>2791</v>
      </c>
      <c r="G1108" s="5" t="n">
        <v>4</v>
      </c>
      <c r="H1108" s="5" t="s">
        <v>53</v>
      </c>
      <c r="I1108" s="5" t="s">
        <v>54</v>
      </c>
      <c r="J1108" s="5" t="s">
        <v>181</v>
      </c>
      <c r="K1108" s="5" t="s">
        <v>443</v>
      </c>
      <c r="L1108" s="5" t="n">
        <v>5</v>
      </c>
      <c r="M1108" s="5" t="n">
        <v>3</v>
      </c>
      <c r="N1108" s="5" t="n">
        <v>4</v>
      </c>
      <c r="O1108" s="5" t="n">
        <v>8</v>
      </c>
      <c r="P1108" s="5" t="n">
        <v>-2</v>
      </c>
      <c r="Q1108" s="5" t="n">
        <v>1</v>
      </c>
      <c r="R1108" s="5" t="n">
        <v>4</v>
      </c>
      <c r="S1108" s="5" t="n">
        <v>3</v>
      </c>
      <c r="T1108" s="5" t="s">
        <v>1435</v>
      </c>
      <c r="U1108" s="6"/>
      <c r="V1108" s="6"/>
      <c r="W1108" s="6"/>
      <c r="X1108" s="6"/>
      <c r="Y1108" s="7" t="str">
        <f aca="false">IF(COUNT(U1108:X1108)=4,(W1108-X1108)/2,"")</f>
        <v/>
      </c>
      <c r="Z1108" s="7" t="str">
        <f aca="false">IF(COUNT(U1108:X1108)=4,(U1108-V1108)/2,"")</f>
        <v/>
      </c>
      <c r="AA1108" s="7" t="str">
        <f aca="false">IF(COUNT(U1108:X1108)=4,MAX(1,MIN(10,ROUNDUP(5-Z1108,0))),"")</f>
        <v/>
      </c>
      <c r="AB1108" s="7" t="str">
        <f aca="false">IF(COUNT(U1108:X1108)=4,MAX(1,MIN(10,ROUNDUP(Y1108+5,0))),"")</f>
        <v/>
      </c>
      <c r="AC1108" s="6"/>
      <c r="AD1108" s="6"/>
    </row>
    <row r="1109" customFormat="false" ht="15" hidden="false" customHeight="true" outlineLevel="0" collapsed="false">
      <c r="A1109" s="5" t="n">
        <v>1108</v>
      </c>
      <c r="B1109" s="5" t="s">
        <v>2792</v>
      </c>
      <c r="C1109" s="5" t="s">
        <v>203</v>
      </c>
      <c r="D1109" s="5" t="s">
        <v>204</v>
      </c>
      <c r="E1109" s="5" t="n">
        <v>99</v>
      </c>
      <c r="F1109" s="5" t="s">
        <v>2793</v>
      </c>
      <c r="G1109" s="5" t="n">
        <v>4</v>
      </c>
      <c r="H1109" s="5" t="s">
        <v>53</v>
      </c>
      <c r="I1109" s="5" t="s">
        <v>54</v>
      </c>
      <c r="J1109" s="5" t="s">
        <v>117</v>
      </c>
      <c r="K1109" s="5" t="s">
        <v>117</v>
      </c>
      <c r="L1109" s="5" t="n">
        <v>3</v>
      </c>
      <c r="M1109" s="5" t="n">
        <v>1</v>
      </c>
      <c r="N1109" s="5" t="n">
        <v>1</v>
      </c>
      <c r="O1109" s="5" t="n">
        <v>9</v>
      </c>
      <c r="P1109" s="5" t="n">
        <v>-4</v>
      </c>
      <c r="Q1109" s="5" t="n">
        <v>1</v>
      </c>
      <c r="R1109" s="5" t="n">
        <v>4</v>
      </c>
      <c r="S1109" s="5" t="n">
        <v>1</v>
      </c>
      <c r="T1109" s="5" t="s">
        <v>2794</v>
      </c>
      <c r="U1109" s="6"/>
      <c r="V1109" s="6"/>
      <c r="W1109" s="6"/>
      <c r="X1109" s="6"/>
      <c r="Y1109" s="7" t="str">
        <f aca="false">IF(COUNT(U1109:X1109)=4,(W1109-X1109)/2,"")</f>
        <v/>
      </c>
      <c r="Z1109" s="7" t="str">
        <f aca="false">IF(COUNT(U1109:X1109)=4,(U1109-V1109)/2,"")</f>
        <v/>
      </c>
      <c r="AA1109" s="7" t="str">
        <f aca="false">IF(COUNT(U1109:X1109)=4,MAX(1,MIN(10,ROUNDUP(5-Z1109,0))),"")</f>
        <v/>
      </c>
      <c r="AB1109" s="7" t="str">
        <f aca="false">IF(COUNT(U1109:X1109)=4,MAX(1,MIN(10,ROUNDUP(Y1109+5,0))),"")</f>
        <v/>
      </c>
      <c r="AC1109" s="6"/>
      <c r="AD1109" s="6"/>
    </row>
    <row r="1110" customFormat="false" ht="15" hidden="false" customHeight="true" outlineLevel="0" collapsed="false">
      <c r="A1110" s="5" t="n">
        <v>1109</v>
      </c>
      <c r="B1110" s="5" t="s">
        <v>2795</v>
      </c>
      <c r="C1110" s="5" t="s">
        <v>171</v>
      </c>
      <c r="D1110" s="5" t="s">
        <v>172</v>
      </c>
      <c r="E1110" s="5" t="n">
        <v>99</v>
      </c>
      <c r="F1110" s="5" t="s">
        <v>2795</v>
      </c>
      <c r="G1110" s="5" t="n">
        <v>4</v>
      </c>
      <c r="H1110" s="5" t="s">
        <v>53</v>
      </c>
      <c r="I1110" s="5" t="s">
        <v>54</v>
      </c>
      <c r="J1110" s="5" t="s">
        <v>181</v>
      </c>
      <c r="K1110" s="5" t="s">
        <v>443</v>
      </c>
      <c r="L1110" s="5" t="n">
        <v>5</v>
      </c>
      <c r="M1110" s="5" t="n">
        <v>3</v>
      </c>
      <c r="N1110" s="5" t="n">
        <v>4</v>
      </c>
      <c r="O1110" s="5" t="n">
        <v>8</v>
      </c>
      <c r="P1110" s="5" t="n">
        <v>-2</v>
      </c>
      <c r="Q1110" s="5" t="n">
        <v>1</v>
      </c>
      <c r="R1110" s="5" t="n">
        <v>4</v>
      </c>
      <c r="S1110" s="5" t="n">
        <v>3</v>
      </c>
      <c r="T1110" s="5" t="s">
        <v>2796</v>
      </c>
      <c r="U1110" s="6"/>
      <c r="V1110" s="6"/>
      <c r="W1110" s="6"/>
      <c r="X1110" s="6"/>
      <c r="Y1110" s="7" t="str">
        <f aca="false">IF(COUNT(U1110:X1110)=4,(W1110-X1110)/2,"")</f>
        <v/>
      </c>
      <c r="Z1110" s="7" t="str">
        <f aca="false">IF(COUNT(U1110:X1110)=4,(U1110-V1110)/2,"")</f>
        <v/>
      </c>
      <c r="AA1110" s="7" t="str">
        <f aca="false">IF(COUNT(U1110:X1110)=4,MAX(1,MIN(10,ROUNDUP(5-Z1110,0))),"")</f>
        <v/>
      </c>
      <c r="AB1110" s="7" t="str">
        <f aca="false">IF(COUNT(U1110:X1110)=4,MAX(1,MIN(10,ROUNDUP(Y1110+5,0))),"")</f>
        <v/>
      </c>
      <c r="AC1110" s="6"/>
      <c r="AD1110" s="6"/>
    </row>
    <row r="1111" customFormat="false" ht="15" hidden="false" customHeight="true" outlineLevel="0" collapsed="false">
      <c r="A1111" s="5" t="n">
        <v>1110</v>
      </c>
      <c r="B1111" s="5" t="s">
        <v>2797</v>
      </c>
      <c r="C1111" s="5" t="s">
        <v>171</v>
      </c>
      <c r="D1111" s="5" t="s">
        <v>172</v>
      </c>
      <c r="E1111" s="5" t="n">
        <v>99</v>
      </c>
      <c r="F1111" s="5" t="s">
        <v>2797</v>
      </c>
      <c r="G1111" s="5" t="n">
        <v>4</v>
      </c>
      <c r="H1111" s="5" t="s">
        <v>53</v>
      </c>
      <c r="I1111" s="5" t="s">
        <v>54</v>
      </c>
      <c r="J1111" s="5" t="s">
        <v>181</v>
      </c>
      <c r="K1111" s="5" t="s">
        <v>179</v>
      </c>
      <c r="L1111" s="5" t="n">
        <v>2</v>
      </c>
      <c r="M1111" s="5" t="n">
        <v>6</v>
      </c>
      <c r="N1111" s="5" t="n">
        <v>2</v>
      </c>
      <c r="O1111" s="5" t="n">
        <v>6</v>
      </c>
      <c r="P1111" s="5" t="n">
        <v>-2</v>
      </c>
      <c r="Q1111" s="5" t="n">
        <v>-2</v>
      </c>
      <c r="R1111" s="5" t="n">
        <v>7</v>
      </c>
      <c r="S1111" s="5" t="n">
        <v>3</v>
      </c>
      <c r="T1111" s="5" t="s">
        <v>557</v>
      </c>
      <c r="U1111" s="6"/>
      <c r="V1111" s="6"/>
      <c r="W1111" s="6"/>
      <c r="X1111" s="6"/>
      <c r="Y1111" s="7" t="str">
        <f aca="false">IF(COUNT(U1111:X1111)=4,(W1111-X1111)/2,"")</f>
        <v/>
      </c>
      <c r="Z1111" s="7" t="str">
        <f aca="false">IF(COUNT(U1111:X1111)=4,(U1111-V1111)/2,"")</f>
        <v/>
      </c>
      <c r="AA1111" s="7" t="str">
        <f aca="false">IF(COUNT(U1111:X1111)=4,MAX(1,MIN(10,ROUNDUP(5-Z1111,0))),"")</f>
        <v/>
      </c>
      <c r="AB1111" s="7" t="str">
        <f aca="false">IF(COUNT(U1111:X1111)=4,MAX(1,MIN(10,ROUNDUP(Y1111+5,0))),"")</f>
        <v/>
      </c>
      <c r="AC1111" s="6"/>
      <c r="AD1111" s="6"/>
    </row>
    <row r="1112" customFormat="false" ht="15" hidden="false" customHeight="true" outlineLevel="0" collapsed="false">
      <c r="A1112" s="5" t="n">
        <v>1111</v>
      </c>
      <c r="B1112" s="5" t="s">
        <v>2798</v>
      </c>
      <c r="C1112" s="5" t="s">
        <v>171</v>
      </c>
      <c r="D1112" s="5" t="s">
        <v>172</v>
      </c>
      <c r="E1112" s="5" t="n">
        <v>99</v>
      </c>
      <c r="F1112" s="5" t="s">
        <v>2799</v>
      </c>
      <c r="G1112" s="5" t="n">
        <v>4</v>
      </c>
      <c r="H1112" s="5" t="s">
        <v>53</v>
      </c>
      <c r="I1112" s="5" t="s">
        <v>81</v>
      </c>
      <c r="J1112" s="5" t="s">
        <v>174</v>
      </c>
      <c r="K1112" s="5" t="s">
        <v>175</v>
      </c>
      <c r="L1112" s="5" t="n">
        <v>9</v>
      </c>
      <c r="M1112" s="5" t="n">
        <v>1</v>
      </c>
      <c r="N1112" s="5" t="n">
        <v>1</v>
      </c>
      <c r="O1112" s="5" t="n">
        <v>10</v>
      </c>
      <c r="P1112" s="5" t="n">
        <v>-4.5</v>
      </c>
      <c r="Q1112" s="5" t="n">
        <v>4</v>
      </c>
      <c r="R1112" s="5" t="n">
        <v>1</v>
      </c>
      <c r="S1112" s="5" t="n">
        <v>1</v>
      </c>
      <c r="T1112" s="5" t="s">
        <v>2031</v>
      </c>
      <c r="U1112" s="6"/>
      <c r="V1112" s="6"/>
      <c r="W1112" s="6"/>
      <c r="X1112" s="6"/>
      <c r="Y1112" s="7" t="str">
        <f aca="false">IF(COUNT(U1112:X1112)=4,(W1112-X1112)/2,"")</f>
        <v/>
      </c>
      <c r="Z1112" s="7" t="str">
        <f aca="false">IF(COUNT(U1112:X1112)=4,(U1112-V1112)/2,"")</f>
        <v/>
      </c>
      <c r="AA1112" s="7" t="str">
        <f aca="false">IF(COUNT(U1112:X1112)=4,MAX(1,MIN(10,ROUNDUP(5-Z1112,0))),"")</f>
        <v/>
      </c>
      <c r="AB1112" s="7" t="str">
        <f aca="false">IF(COUNT(U1112:X1112)=4,MAX(1,MIN(10,ROUNDUP(Y1112+5,0))),"")</f>
        <v/>
      </c>
      <c r="AC1112" s="6"/>
      <c r="AD1112" s="6"/>
    </row>
    <row r="1113" customFormat="false" ht="15" hidden="false" customHeight="true" outlineLevel="0" collapsed="false">
      <c r="A1113" s="5" t="n">
        <v>1112</v>
      </c>
      <c r="B1113" s="5" t="s">
        <v>2800</v>
      </c>
      <c r="C1113" s="5" t="s">
        <v>171</v>
      </c>
      <c r="D1113" s="5" t="s">
        <v>172</v>
      </c>
      <c r="E1113" s="5" t="n">
        <v>99</v>
      </c>
      <c r="F1113" s="5" t="s">
        <v>2801</v>
      </c>
      <c r="G1113" s="5" t="n">
        <v>4</v>
      </c>
      <c r="H1113" s="5" t="s">
        <v>53</v>
      </c>
      <c r="I1113" s="5" t="s">
        <v>81</v>
      </c>
      <c r="J1113" s="5" t="s">
        <v>79</v>
      </c>
      <c r="K1113" s="5" t="s">
        <v>99</v>
      </c>
      <c r="L1113" s="5" t="n">
        <v>6</v>
      </c>
      <c r="M1113" s="5" t="n">
        <v>2</v>
      </c>
      <c r="N1113" s="5" t="n">
        <v>10</v>
      </c>
      <c r="O1113" s="5" t="n">
        <v>0</v>
      </c>
      <c r="P1113" s="5" t="n">
        <v>5</v>
      </c>
      <c r="Q1113" s="5" t="n">
        <v>2</v>
      </c>
      <c r="R1113" s="5" t="n">
        <v>3</v>
      </c>
      <c r="S1113" s="5" t="n">
        <v>10</v>
      </c>
      <c r="T1113" s="5" t="s">
        <v>2802</v>
      </c>
      <c r="U1113" s="6"/>
      <c r="V1113" s="6"/>
      <c r="W1113" s="6"/>
      <c r="X1113" s="6"/>
      <c r="Y1113" s="7" t="str">
        <f aca="false">IF(COUNT(U1113:X1113)=4,(W1113-X1113)/2,"")</f>
        <v/>
      </c>
      <c r="Z1113" s="7" t="str">
        <f aca="false">IF(COUNT(U1113:X1113)=4,(U1113-V1113)/2,"")</f>
        <v/>
      </c>
      <c r="AA1113" s="7" t="str">
        <f aca="false">IF(COUNT(U1113:X1113)=4,MAX(1,MIN(10,ROUNDUP(5-Z1113,0))),"")</f>
        <v/>
      </c>
      <c r="AB1113" s="7" t="str">
        <f aca="false">IF(COUNT(U1113:X1113)=4,MAX(1,MIN(10,ROUNDUP(Y1113+5,0))),"")</f>
        <v/>
      </c>
      <c r="AC1113" s="6"/>
      <c r="AD1113" s="6"/>
    </row>
    <row r="1114" customFormat="false" ht="15" hidden="false" customHeight="true" outlineLevel="0" collapsed="false">
      <c r="A1114" s="5" t="n">
        <v>1113</v>
      </c>
      <c r="B1114" s="5" t="s">
        <v>2803</v>
      </c>
      <c r="C1114" s="5" t="s">
        <v>171</v>
      </c>
      <c r="D1114" s="5" t="s">
        <v>172</v>
      </c>
      <c r="E1114" s="5" t="n">
        <v>99</v>
      </c>
      <c r="F1114" s="5" t="s">
        <v>2804</v>
      </c>
      <c r="G1114" s="5" t="n">
        <v>4</v>
      </c>
      <c r="H1114" s="5" t="s">
        <v>53</v>
      </c>
      <c r="I1114" s="5" t="s">
        <v>54</v>
      </c>
      <c r="J1114" s="5" t="s">
        <v>181</v>
      </c>
      <c r="K1114" s="5" t="s">
        <v>235</v>
      </c>
      <c r="L1114" s="5" t="n">
        <v>2</v>
      </c>
      <c r="M1114" s="5" t="n">
        <v>10</v>
      </c>
      <c r="N1114" s="5" t="n">
        <v>7</v>
      </c>
      <c r="O1114" s="5" t="n">
        <v>4</v>
      </c>
      <c r="P1114" s="5" t="n">
        <v>1.5</v>
      </c>
      <c r="Q1114" s="5" t="n">
        <v>-4</v>
      </c>
      <c r="R1114" s="5" t="n">
        <v>9</v>
      </c>
      <c r="S1114" s="5" t="n">
        <v>7</v>
      </c>
      <c r="T1114" s="5" t="s">
        <v>2805</v>
      </c>
      <c r="U1114" s="6"/>
      <c r="V1114" s="6"/>
      <c r="W1114" s="6"/>
      <c r="X1114" s="6"/>
      <c r="Y1114" s="7" t="str">
        <f aca="false">IF(COUNT(U1114:X1114)=4,(W1114-X1114)/2,"")</f>
        <v/>
      </c>
      <c r="Z1114" s="7" t="str">
        <f aca="false">IF(COUNT(U1114:X1114)=4,(U1114-V1114)/2,"")</f>
        <v/>
      </c>
      <c r="AA1114" s="7" t="str">
        <f aca="false">IF(COUNT(U1114:X1114)=4,MAX(1,MIN(10,ROUNDUP(5-Z1114,0))),"")</f>
        <v/>
      </c>
      <c r="AB1114" s="7" t="str">
        <f aca="false">IF(COUNT(U1114:X1114)=4,MAX(1,MIN(10,ROUNDUP(Y1114+5,0))),"")</f>
        <v/>
      </c>
      <c r="AC1114" s="6"/>
      <c r="AD1114" s="6"/>
    </row>
    <row r="1115" customFormat="false" ht="15" hidden="false" customHeight="true" outlineLevel="0" collapsed="false">
      <c r="A1115" s="5" t="n">
        <v>1114</v>
      </c>
      <c r="B1115" s="5" t="s">
        <v>2806</v>
      </c>
      <c r="C1115" s="5" t="s">
        <v>171</v>
      </c>
      <c r="D1115" s="5" t="s">
        <v>172</v>
      </c>
      <c r="E1115" s="5" t="n">
        <v>99</v>
      </c>
      <c r="F1115" s="5" t="s">
        <v>2807</v>
      </c>
      <c r="G1115" s="5" t="n">
        <v>4</v>
      </c>
      <c r="H1115" s="5" t="s">
        <v>53</v>
      </c>
      <c r="I1115" s="5" t="s">
        <v>54</v>
      </c>
      <c r="J1115" s="5" t="s">
        <v>181</v>
      </c>
      <c r="K1115" s="5" t="s">
        <v>221</v>
      </c>
      <c r="L1115" s="5" t="n">
        <v>4</v>
      </c>
      <c r="M1115" s="5" t="n">
        <v>5</v>
      </c>
      <c r="N1115" s="5" t="n">
        <v>6</v>
      </c>
      <c r="O1115" s="5" t="n">
        <v>5</v>
      </c>
      <c r="P1115" s="5" t="n">
        <v>0.5</v>
      </c>
      <c r="Q1115" s="5" t="n">
        <v>-0.5</v>
      </c>
      <c r="R1115" s="5" t="n">
        <v>6</v>
      </c>
      <c r="S1115" s="5" t="n">
        <v>6</v>
      </c>
      <c r="T1115" s="5" t="s">
        <v>2808</v>
      </c>
      <c r="U1115" s="6"/>
      <c r="V1115" s="6"/>
      <c r="W1115" s="6"/>
      <c r="X1115" s="6"/>
      <c r="Y1115" s="7" t="str">
        <f aca="false">IF(COUNT(U1115:X1115)=4,(W1115-X1115)/2,"")</f>
        <v/>
      </c>
      <c r="Z1115" s="7" t="str">
        <f aca="false">IF(COUNT(U1115:X1115)=4,(U1115-V1115)/2,"")</f>
        <v/>
      </c>
      <c r="AA1115" s="7" t="str">
        <f aca="false">IF(COUNT(U1115:X1115)=4,MAX(1,MIN(10,ROUNDUP(5-Z1115,0))),"")</f>
        <v/>
      </c>
      <c r="AB1115" s="7" t="str">
        <f aca="false">IF(COUNT(U1115:X1115)=4,MAX(1,MIN(10,ROUNDUP(Y1115+5,0))),"")</f>
        <v/>
      </c>
      <c r="AC1115" s="6"/>
      <c r="AD1115" s="6"/>
    </row>
    <row r="1116" customFormat="false" ht="15" hidden="false" customHeight="true" outlineLevel="0" collapsed="false">
      <c r="A1116" s="5" t="n">
        <v>1115</v>
      </c>
      <c r="B1116" s="5" t="s">
        <v>2809</v>
      </c>
      <c r="C1116" s="5" t="s">
        <v>171</v>
      </c>
      <c r="D1116" s="5" t="s">
        <v>172</v>
      </c>
      <c r="E1116" s="5" t="n">
        <v>99</v>
      </c>
      <c r="F1116" s="5" t="s">
        <v>2810</v>
      </c>
      <c r="G1116" s="5" t="n">
        <v>4</v>
      </c>
      <c r="H1116" s="5" t="s">
        <v>53</v>
      </c>
      <c r="I1116" s="5" t="s">
        <v>54</v>
      </c>
      <c r="J1116" s="5" t="s">
        <v>181</v>
      </c>
      <c r="K1116" s="5" t="s">
        <v>223</v>
      </c>
      <c r="L1116" s="5" t="n">
        <v>4</v>
      </c>
      <c r="M1116" s="5" t="n">
        <v>4</v>
      </c>
      <c r="N1116" s="5" t="n">
        <v>6</v>
      </c>
      <c r="O1116" s="5" t="n">
        <v>5</v>
      </c>
      <c r="P1116" s="5" t="n">
        <v>0.5</v>
      </c>
      <c r="Q1116" s="5" t="n">
        <v>0</v>
      </c>
      <c r="R1116" s="5" t="n">
        <v>5</v>
      </c>
      <c r="S1116" s="5" t="n">
        <v>6</v>
      </c>
      <c r="T1116" s="5" t="s">
        <v>2811</v>
      </c>
      <c r="U1116" s="6"/>
      <c r="V1116" s="6"/>
      <c r="W1116" s="6"/>
      <c r="X1116" s="6"/>
      <c r="Y1116" s="7" t="str">
        <f aca="false">IF(COUNT(U1116:X1116)=4,(W1116-X1116)/2,"")</f>
        <v/>
      </c>
      <c r="Z1116" s="7" t="str">
        <f aca="false">IF(COUNT(U1116:X1116)=4,(U1116-V1116)/2,"")</f>
        <v/>
      </c>
      <c r="AA1116" s="7" t="str">
        <f aca="false">IF(COUNT(U1116:X1116)=4,MAX(1,MIN(10,ROUNDUP(5-Z1116,0))),"")</f>
        <v/>
      </c>
      <c r="AB1116" s="7" t="str">
        <f aca="false">IF(COUNT(U1116:X1116)=4,MAX(1,MIN(10,ROUNDUP(Y1116+5,0))),"")</f>
        <v/>
      </c>
      <c r="AC1116" s="6"/>
      <c r="AD1116" s="6"/>
    </row>
    <row r="1117" customFormat="false" ht="15" hidden="false" customHeight="true" outlineLevel="0" collapsed="false">
      <c r="A1117" s="5" t="n">
        <v>1116</v>
      </c>
      <c r="B1117" s="5" t="s">
        <v>2812</v>
      </c>
      <c r="C1117" s="5" t="s">
        <v>171</v>
      </c>
      <c r="D1117" s="5" t="s">
        <v>172</v>
      </c>
      <c r="E1117" s="5" t="n">
        <v>99</v>
      </c>
      <c r="F1117" s="5" t="s">
        <v>2813</v>
      </c>
      <c r="G1117" s="5" t="n">
        <v>4</v>
      </c>
      <c r="H1117" s="5" t="s">
        <v>53</v>
      </c>
      <c r="I1117" s="5" t="s">
        <v>54</v>
      </c>
      <c r="J1117" s="5" t="s">
        <v>181</v>
      </c>
      <c r="K1117" s="5" t="s">
        <v>223</v>
      </c>
      <c r="L1117" s="5" t="n">
        <v>4</v>
      </c>
      <c r="M1117" s="5" t="n">
        <v>4</v>
      </c>
      <c r="N1117" s="5" t="n">
        <v>6</v>
      </c>
      <c r="O1117" s="5" t="n">
        <v>5</v>
      </c>
      <c r="P1117" s="5" t="n">
        <v>0.5</v>
      </c>
      <c r="Q1117" s="5" t="n">
        <v>0</v>
      </c>
      <c r="R1117" s="5" t="n">
        <v>5</v>
      </c>
      <c r="S1117" s="5" t="n">
        <v>6</v>
      </c>
      <c r="T1117" s="5" t="s">
        <v>2098</v>
      </c>
      <c r="U1117" s="6"/>
      <c r="V1117" s="6"/>
      <c r="W1117" s="6"/>
      <c r="X1117" s="6"/>
      <c r="Y1117" s="7" t="str">
        <f aca="false">IF(COUNT(U1117:X1117)=4,(W1117-X1117)/2,"")</f>
        <v/>
      </c>
      <c r="Z1117" s="7" t="str">
        <f aca="false">IF(COUNT(U1117:X1117)=4,(U1117-V1117)/2,"")</f>
        <v/>
      </c>
      <c r="AA1117" s="7" t="str">
        <f aca="false">IF(COUNT(U1117:X1117)=4,MAX(1,MIN(10,ROUNDUP(5-Z1117,0))),"")</f>
        <v/>
      </c>
      <c r="AB1117" s="7" t="str">
        <f aca="false">IF(COUNT(U1117:X1117)=4,MAX(1,MIN(10,ROUNDUP(Y1117+5,0))),"")</f>
        <v/>
      </c>
      <c r="AC1117" s="6"/>
      <c r="AD1117" s="6"/>
    </row>
    <row r="1118" customFormat="false" ht="15" hidden="false" customHeight="true" outlineLevel="0" collapsed="false">
      <c r="A1118" s="5" t="n">
        <v>1117</v>
      </c>
      <c r="B1118" s="5" t="s">
        <v>2814</v>
      </c>
      <c r="C1118" s="5" t="s">
        <v>171</v>
      </c>
      <c r="D1118" s="5" t="s">
        <v>172</v>
      </c>
      <c r="E1118" s="5" t="n">
        <v>99</v>
      </c>
      <c r="F1118" s="5" t="s">
        <v>2815</v>
      </c>
      <c r="G1118" s="5" t="n">
        <v>4</v>
      </c>
      <c r="H1118" s="5" t="s">
        <v>53</v>
      </c>
      <c r="I1118" s="5" t="s">
        <v>54</v>
      </c>
      <c r="J1118" s="5" t="s">
        <v>181</v>
      </c>
      <c r="K1118" s="5" t="s">
        <v>221</v>
      </c>
      <c r="L1118" s="5" t="n">
        <v>2</v>
      </c>
      <c r="M1118" s="5" t="n">
        <v>5</v>
      </c>
      <c r="N1118" s="5" t="n">
        <v>6</v>
      </c>
      <c r="O1118" s="5" t="n">
        <v>5</v>
      </c>
      <c r="P1118" s="5" t="n">
        <v>0.5</v>
      </c>
      <c r="Q1118" s="5" t="n">
        <v>-1.5</v>
      </c>
      <c r="R1118" s="5" t="n">
        <v>7</v>
      </c>
      <c r="S1118" s="5" t="n">
        <v>6</v>
      </c>
      <c r="T1118" s="5" t="s">
        <v>2816</v>
      </c>
      <c r="U1118" s="6"/>
      <c r="V1118" s="6"/>
      <c r="W1118" s="6"/>
      <c r="X1118" s="6"/>
      <c r="Y1118" s="7" t="str">
        <f aca="false">IF(COUNT(U1118:X1118)=4,(W1118-X1118)/2,"")</f>
        <v/>
      </c>
      <c r="Z1118" s="7" t="str">
        <f aca="false">IF(COUNT(U1118:X1118)=4,(U1118-V1118)/2,"")</f>
        <v/>
      </c>
      <c r="AA1118" s="7" t="str">
        <f aca="false">IF(COUNT(U1118:X1118)=4,MAX(1,MIN(10,ROUNDUP(5-Z1118,0))),"")</f>
        <v/>
      </c>
      <c r="AB1118" s="7" t="str">
        <f aca="false">IF(COUNT(U1118:X1118)=4,MAX(1,MIN(10,ROUNDUP(Y1118+5,0))),"")</f>
        <v/>
      </c>
      <c r="AC1118" s="6"/>
      <c r="AD1118" s="6"/>
    </row>
    <row r="1119" customFormat="false" ht="15" hidden="false" customHeight="true" outlineLevel="0" collapsed="false">
      <c r="A1119" s="5" t="n">
        <v>1118</v>
      </c>
      <c r="B1119" s="5" t="s">
        <v>2817</v>
      </c>
      <c r="C1119" s="5" t="s">
        <v>171</v>
      </c>
      <c r="D1119" s="5" t="s">
        <v>172</v>
      </c>
      <c r="E1119" s="5" t="n">
        <v>99</v>
      </c>
      <c r="F1119" s="5" t="s">
        <v>2818</v>
      </c>
      <c r="G1119" s="5" t="n">
        <v>4</v>
      </c>
      <c r="H1119" s="5" t="s">
        <v>53</v>
      </c>
      <c r="I1119" s="5" t="s">
        <v>54</v>
      </c>
      <c r="J1119" s="5" t="s">
        <v>181</v>
      </c>
      <c r="K1119" s="5" t="s">
        <v>574</v>
      </c>
      <c r="L1119" s="5" t="n">
        <v>3</v>
      </c>
      <c r="M1119" s="5" t="n">
        <v>5</v>
      </c>
      <c r="N1119" s="5" t="n">
        <v>4</v>
      </c>
      <c r="O1119" s="5" t="n">
        <v>7</v>
      </c>
      <c r="P1119" s="5" t="n">
        <v>-1.5</v>
      </c>
      <c r="Q1119" s="5" t="n">
        <v>-1</v>
      </c>
      <c r="R1119" s="5" t="n">
        <v>6</v>
      </c>
      <c r="S1119" s="5" t="n">
        <v>4</v>
      </c>
      <c r="T1119" s="5" t="s">
        <v>446</v>
      </c>
      <c r="U1119" s="6"/>
      <c r="V1119" s="6"/>
      <c r="W1119" s="6"/>
      <c r="X1119" s="6"/>
      <c r="Y1119" s="7" t="str">
        <f aca="false">IF(COUNT(U1119:X1119)=4,(W1119-X1119)/2,"")</f>
        <v/>
      </c>
      <c r="Z1119" s="7" t="str">
        <f aca="false">IF(COUNT(U1119:X1119)=4,(U1119-V1119)/2,"")</f>
        <v/>
      </c>
      <c r="AA1119" s="7" t="str">
        <f aca="false">IF(COUNT(U1119:X1119)=4,MAX(1,MIN(10,ROUNDUP(5-Z1119,0))),"")</f>
        <v/>
      </c>
      <c r="AB1119" s="7" t="str">
        <f aca="false">IF(COUNT(U1119:X1119)=4,MAX(1,MIN(10,ROUNDUP(Y1119+5,0))),"")</f>
        <v/>
      </c>
      <c r="AC1119" s="6"/>
      <c r="AD1119" s="6"/>
    </row>
    <row r="1120" customFormat="false" ht="15" hidden="false" customHeight="true" outlineLevel="0" collapsed="false">
      <c r="A1120" s="5" t="n">
        <v>1119</v>
      </c>
      <c r="B1120" s="5" t="s">
        <v>2819</v>
      </c>
      <c r="C1120" s="5" t="s">
        <v>171</v>
      </c>
      <c r="D1120" s="5" t="s">
        <v>172</v>
      </c>
      <c r="E1120" s="5" t="n">
        <v>98</v>
      </c>
      <c r="F1120" s="5" t="s">
        <v>2820</v>
      </c>
      <c r="G1120" s="5" t="n">
        <v>4</v>
      </c>
      <c r="H1120" s="5" t="s">
        <v>53</v>
      </c>
      <c r="I1120" s="5" t="s">
        <v>54</v>
      </c>
      <c r="J1120" s="5" t="s">
        <v>181</v>
      </c>
      <c r="K1120" s="5" t="s">
        <v>223</v>
      </c>
      <c r="L1120" s="5" t="n">
        <v>4</v>
      </c>
      <c r="M1120" s="5" t="n">
        <v>4</v>
      </c>
      <c r="N1120" s="5" t="n">
        <v>6</v>
      </c>
      <c r="O1120" s="5" t="n">
        <v>5</v>
      </c>
      <c r="P1120" s="5" t="n">
        <v>0.5</v>
      </c>
      <c r="Q1120" s="5" t="n">
        <v>0</v>
      </c>
      <c r="R1120" s="5" t="n">
        <v>5</v>
      </c>
      <c r="S1120" s="5" t="n">
        <v>6</v>
      </c>
      <c r="T1120" s="5" t="s">
        <v>2085</v>
      </c>
      <c r="U1120" s="6"/>
      <c r="V1120" s="6"/>
      <c r="W1120" s="6"/>
      <c r="X1120" s="6"/>
      <c r="Y1120" s="7" t="str">
        <f aca="false">IF(COUNT(U1120:X1120)=4,(W1120-X1120)/2,"")</f>
        <v/>
      </c>
      <c r="Z1120" s="7" t="str">
        <f aca="false">IF(COUNT(U1120:X1120)=4,(U1120-V1120)/2,"")</f>
        <v/>
      </c>
      <c r="AA1120" s="7" t="str">
        <f aca="false">IF(COUNT(U1120:X1120)=4,MAX(1,MIN(10,ROUNDUP(5-Z1120,0))),"")</f>
        <v/>
      </c>
      <c r="AB1120" s="7" t="str">
        <f aca="false">IF(COUNT(U1120:X1120)=4,MAX(1,MIN(10,ROUNDUP(Y1120+5,0))),"")</f>
        <v/>
      </c>
      <c r="AC1120" s="6"/>
      <c r="AD1120" s="6"/>
    </row>
    <row r="1121" customFormat="false" ht="15" hidden="false" customHeight="true" outlineLevel="0" collapsed="false">
      <c r="A1121" s="5" t="n">
        <v>1120</v>
      </c>
      <c r="B1121" s="5" t="s">
        <v>2821</v>
      </c>
      <c r="C1121" s="5" t="s">
        <v>171</v>
      </c>
      <c r="D1121" s="5" t="s">
        <v>172</v>
      </c>
      <c r="E1121" s="5" t="n">
        <v>98</v>
      </c>
      <c r="F1121" s="5" t="s">
        <v>2822</v>
      </c>
      <c r="G1121" s="5" t="n">
        <v>4</v>
      </c>
      <c r="H1121" s="5" t="s">
        <v>53</v>
      </c>
      <c r="I1121" s="5" t="s">
        <v>54</v>
      </c>
      <c r="J1121" s="5" t="s">
        <v>181</v>
      </c>
      <c r="K1121" s="5" t="s">
        <v>443</v>
      </c>
      <c r="L1121" s="5" t="n">
        <v>6</v>
      </c>
      <c r="M1121" s="5" t="n">
        <v>3</v>
      </c>
      <c r="N1121" s="5" t="n">
        <v>4</v>
      </c>
      <c r="O1121" s="5" t="n">
        <v>8</v>
      </c>
      <c r="P1121" s="5" t="n">
        <v>-2</v>
      </c>
      <c r="Q1121" s="5" t="n">
        <v>1.5</v>
      </c>
      <c r="R1121" s="5" t="n">
        <v>4</v>
      </c>
      <c r="S1121" s="5" t="n">
        <v>3</v>
      </c>
      <c r="T1121" s="5" t="s">
        <v>646</v>
      </c>
      <c r="U1121" s="6"/>
      <c r="V1121" s="6"/>
      <c r="W1121" s="6"/>
      <c r="X1121" s="6"/>
      <c r="Y1121" s="7" t="str">
        <f aca="false">IF(COUNT(U1121:X1121)=4,(W1121-X1121)/2,"")</f>
        <v/>
      </c>
      <c r="Z1121" s="7" t="str">
        <f aca="false">IF(COUNT(U1121:X1121)=4,(U1121-V1121)/2,"")</f>
        <v/>
      </c>
      <c r="AA1121" s="7" t="str">
        <f aca="false">IF(COUNT(U1121:X1121)=4,MAX(1,MIN(10,ROUNDUP(5-Z1121,0))),"")</f>
        <v/>
      </c>
      <c r="AB1121" s="7" t="str">
        <f aca="false">IF(COUNT(U1121:X1121)=4,MAX(1,MIN(10,ROUNDUP(Y1121+5,0))),"")</f>
        <v/>
      </c>
      <c r="AC1121" s="6"/>
      <c r="AD1121" s="6"/>
    </row>
    <row r="1122" customFormat="false" ht="15" hidden="false" customHeight="true" outlineLevel="0" collapsed="false">
      <c r="A1122" s="5" t="n">
        <v>1121</v>
      </c>
      <c r="B1122" s="5" t="s">
        <v>2823</v>
      </c>
      <c r="C1122" s="5" t="s">
        <v>171</v>
      </c>
      <c r="D1122" s="5" t="s">
        <v>172</v>
      </c>
      <c r="E1122" s="5" t="n">
        <v>98</v>
      </c>
      <c r="F1122" s="5" t="s">
        <v>2824</v>
      </c>
      <c r="G1122" s="5" t="n">
        <v>4</v>
      </c>
      <c r="H1122" s="5" t="s">
        <v>53</v>
      </c>
      <c r="I1122" s="5" t="s">
        <v>54</v>
      </c>
      <c r="J1122" s="5" t="s">
        <v>181</v>
      </c>
      <c r="K1122" s="5" t="s">
        <v>333</v>
      </c>
      <c r="L1122" s="5" t="n">
        <v>2</v>
      </c>
      <c r="M1122" s="5" t="n">
        <v>4</v>
      </c>
      <c r="N1122" s="5" t="n">
        <v>8</v>
      </c>
      <c r="O1122" s="5" t="n">
        <v>2</v>
      </c>
      <c r="P1122" s="5" t="n">
        <v>3</v>
      </c>
      <c r="Q1122" s="5" t="n">
        <v>-1</v>
      </c>
      <c r="R1122" s="5" t="n">
        <v>6</v>
      </c>
      <c r="S1122" s="5" t="n">
        <v>8</v>
      </c>
      <c r="T1122" s="5" t="s">
        <v>991</v>
      </c>
      <c r="U1122" s="6"/>
      <c r="V1122" s="6"/>
      <c r="W1122" s="6"/>
      <c r="X1122" s="6"/>
      <c r="Y1122" s="7" t="str">
        <f aca="false">IF(COUNT(U1122:X1122)=4,(W1122-X1122)/2,"")</f>
        <v/>
      </c>
      <c r="Z1122" s="7" t="str">
        <f aca="false">IF(COUNT(U1122:X1122)=4,(U1122-V1122)/2,"")</f>
        <v/>
      </c>
      <c r="AA1122" s="7" t="str">
        <f aca="false">IF(COUNT(U1122:X1122)=4,MAX(1,MIN(10,ROUNDUP(5-Z1122,0))),"")</f>
        <v/>
      </c>
      <c r="AB1122" s="7" t="str">
        <f aca="false">IF(COUNT(U1122:X1122)=4,MAX(1,MIN(10,ROUNDUP(Y1122+5,0))),"")</f>
        <v/>
      </c>
      <c r="AC1122" s="6"/>
      <c r="AD1122" s="6"/>
    </row>
    <row r="1123" customFormat="false" ht="15" hidden="false" customHeight="true" outlineLevel="0" collapsed="false">
      <c r="A1123" s="5" t="n">
        <v>1122</v>
      </c>
      <c r="B1123" s="5" t="s">
        <v>2825</v>
      </c>
      <c r="C1123" s="5" t="s">
        <v>203</v>
      </c>
      <c r="D1123" s="5" t="s">
        <v>204</v>
      </c>
      <c r="E1123" s="5" t="n">
        <v>98</v>
      </c>
      <c r="F1123" s="5" t="s">
        <v>2825</v>
      </c>
      <c r="G1123" s="5" t="n">
        <v>4</v>
      </c>
      <c r="H1123" s="5" t="s">
        <v>53</v>
      </c>
      <c r="I1123" s="5" t="s">
        <v>54</v>
      </c>
      <c r="J1123" s="5" t="s">
        <v>117</v>
      </c>
      <c r="K1123" s="5" t="s">
        <v>117</v>
      </c>
      <c r="L1123" s="5" t="n">
        <v>3</v>
      </c>
      <c r="M1123" s="5" t="n">
        <v>1</v>
      </c>
      <c r="N1123" s="5" t="n">
        <v>1</v>
      </c>
      <c r="O1123" s="5" t="n">
        <v>9</v>
      </c>
      <c r="P1123" s="5" t="n">
        <v>-4</v>
      </c>
      <c r="Q1123" s="5" t="n">
        <v>1</v>
      </c>
      <c r="R1123" s="5" t="n">
        <v>4</v>
      </c>
      <c r="S1123" s="5" t="n">
        <v>1</v>
      </c>
      <c r="T1123" s="5" t="s">
        <v>652</v>
      </c>
      <c r="U1123" s="6"/>
      <c r="V1123" s="6"/>
      <c r="W1123" s="6"/>
      <c r="X1123" s="6"/>
      <c r="Y1123" s="7" t="str">
        <f aca="false">IF(COUNT(U1123:X1123)=4,(W1123-X1123)/2,"")</f>
        <v/>
      </c>
      <c r="Z1123" s="7" t="str">
        <f aca="false">IF(COUNT(U1123:X1123)=4,(U1123-V1123)/2,"")</f>
        <v/>
      </c>
      <c r="AA1123" s="7" t="str">
        <f aca="false">IF(COUNT(U1123:X1123)=4,MAX(1,MIN(10,ROUNDUP(5-Z1123,0))),"")</f>
        <v/>
      </c>
      <c r="AB1123" s="7" t="str">
        <f aca="false">IF(COUNT(U1123:X1123)=4,MAX(1,MIN(10,ROUNDUP(Y1123+5,0))),"")</f>
        <v/>
      </c>
      <c r="AC1123" s="6"/>
      <c r="AD1123" s="6"/>
    </row>
    <row r="1124" customFormat="false" ht="15" hidden="false" customHeight="true" outlineLevel="0" collapsed="false">
      <c r="A1124" s="5" t="n">
        <v>1123</v>
      </c>
      <c r="B1124" s="5" t="s">
        <v>2826</v>
      </c>
      <c r="C1124" s="5" t="s">
        <v>203</v>
      </c>
      <c r="D1124" s="5" t="s">
        <v>204</v>
      </c>
      <c r="E1124" s="5" t="n">
        <v>98</v>
      </c>
      <c r="F1124" s="5" t="s">
        <v>2827</v>
      </c>
      <c r="G1124" s="5" t="n">
        <v>4</v>
      </c>
      <c r="H1124" s="5" t="s">
        <v>53</v>
      </c>
      <c r="I1124" s="5" t="s">
        <v>54</v>
      </c>
      <c r="J1124" s="5" t="s">
        <v>117</v>
      </c>
      <c r="K1124" s="5" t="s">
        <v>117</v>
      </c>
      <c r="L1124" s="5" t="n">
        <v>6</v>
      </c>
      <c r="M1124" s="5" t="n">
        <v>2</v>
      </c>
      <c r="N1124" s="5" t="n">
        <v>2</v>
      </c>
      <c r="O1124" s="5" t="n">
        <v>8</v>
      </c>
      <c r="P1124" s="5" t="n">
        <v>-3</v>
      </c>
      <c r="Q1124" s="5" t="n">
        <v>2</v>
      </c>
      <c r="R1124" s="5" t="n">
        <v>3</v>
      </c>
      <c r="S1124" s="5" t="n">
        <v>2</v>
      </c>
      <c r="T1124" s="5" t="s">
        <v>516</v>
      </c>
      <c r="U1124" s="6"/>
      <c r="V1124" s="6"/>
      <c r="W1124" s="6"/>
      <c r="X1124" s="6"/>
      <c r="Y1124" s="7" t="str">
        <f aca="false">IF(COUNT(U1124:X1124)=4,(W1124-X1124)/2,"")</f>
        <v/>
      </c>
      <c r="Z1124" s="7" t="str">
        <f aca="false">IF(COUNT(U1124:X1124)=4,(U1124-V1124)/2,"")</f>
        <v/>
      </c>
      <c r="AA1124" s="7" t="str">
        <f aca="false">IF(COUNT(U1124:X1124)=4,MAX(1,MIN(10,ROUNDUP(5-Z1124,0))),"")</f>
        <v/>
      </c>
      <c r="AB1124" s="7" t="str">
        <f aca="false">IF(COUNT(U1124:X1124)=4,MAX(1,MIN(10,ROUNDUP(Y1124+5,0))),"")</f>
        <v/>
      </c>
      <c r="AC1124" s="6"/>
      <c r="AD1124" s="6"/>
    </row>
    <row r="1125" customFormat="false" ht="15" hidden="false" customHeight="true" outlineLevel="0" collapsed="false">
      <c r="A1125" s="5" t="n">
        <v>1124</v>
      </c>
      <c r="B1125" s="5" t="s">
        <v>2828</v>
      </c>
      <c r="C1125" s="5" t="s">
        <v>171</v>
      </c>
      <c r="D1125" s="5" t="s">
        <v>172</v>
      </c>
      <c r="E1125" s="5" t="n">
        <v>98</v>
      </c>
      <c r="F1125" s="5" t="s">
        <v>2829</v>
      </c>
      <c r="G1125" s="5" t="n">
        <v>4</v>
      </c>
      <c r="H1125" s="5" t="s">
        <v>53</v>
      </c>
      <c r="I1125" s="5" t="s">
        <v>54</v>
      </c>
      <c r="J1125" s="5" t="s">
        <v>181</v>
      </c>
      <c r="K1125" s="5" t="s">
        <v>235</v>
      </c>
      <c r="L1125" s="5" t="n">
        <v>4</v>
      </c>
      <c r="M1125" s="5" t="n">
        <v>4</v>
      </c>
      <c r="N1125" s="5" t="n">
        <v>7</v>
      </c>
      <c r="O1125" s="5" t="n">
        <v>4</v>
      </c>
      <c r="P1125" s="5" t="n">
        <v>1.5</v>
      </c>
      <c r="Q1125" s="5" t="n">
        <v>0</v>
      </c>
      <c r="R1125" s="5" t="n">
        <v>5</v>
      </c>
      <c r="S1125" s="5" t="n">
        <v>7</v>
      </c>
      <c r="T1125" s="5" t="s">
        <v>2830</v>
      </c>
      <c r="U1125" s="6"/>
      <c r="V1125" s="6"/>
      <c r="W1125" s="6"/>
      <c r="X1125" s="6"/>
      <c r="Y1125" s="7" t="str">
        <f aca="false">IF(COUNT(U1125:X1125)=4,(W1125-X1125)/2,"")</f>
        <v/>
      </c>
      <c r="Z1125" s="7" t="str">
        <f aca="false">IF(COUNT(U1125:X1125)=4,(U1125-V1125)/2,"")</f>
        <v/>
      </c>
      <c r="AA1125" s="7" t="str">
        <f aca="false">IF(COUNT(U1125:X1125)=4,MAX(1,MIN(10,ROUNDUP(5-Z1125,0))),"")</f>
        <v/>
      </c>
      <c r="AB1125" s="7" t="str">
        <f aca="false">IF(COUNT(U1125:X1125)=4,MAX(1,MIN(10,ROUNDUP(Y1125+5,0))),"")</f>
        <v/>
      </c>
      <c r="AC1125" s="6"/>
      <c r="AD1125" s="6"/>
    </row>
    <row r="1126" customFormat="false" ht="15" hidden="false" customHeight="true" outlineLevel="0" collapsed="false">
      <c r="A1126" s="5" t="n">
        <v>1125</v>
      </c>
      <c r="B1126" s="5" t="s">
        <v>2831</v>
      </c>
      <c r="C1126" s="5" t="s">
        <v>145</v>
      </c>
      <c r="D1126" s="5" t="s">
        <v>51</v>
      </c>
      <c r="E1126" s="5" t="n">
        <v>98</v>
      </c>
      <c r="F1126" s="5" t="s">
        <v>2832</v>
      </c>
      <c r="G1126" s="5" t="n">
        <v>4</v>
      </c>
      <c r="H1126" s="5" t="s">
        <v>53</v>
      </c>
      <c r="I1126" s="5" t="s">
        <v>54</v>
      </c>
      <c r="J1126" s="5" t="s">
        <v>55</v>
      </c>
      <c r="K1126" s="5" t="s">
        <v>55</v>
      </c>
      <c r="L1126" s="5" t="n">
        <v>5</v>
      </c>
      <c r="M1126" s="5" t="n">
        <v>2</v>
      </c>
      <c r="N1126" s="5" t="n">
        <v>4</v>
      </c>
      <c r="O1126" s="5" t="n">
        <v>8</v>
      </c>
      <c r="P1126" s="5" t="n">
        <v>-2</v>
      </c>
      <c r="Q1126" s="5" t="n">
        <v>1.5</v>
      </c>
      <c r="R1126" s="5" t="n">
        <v>4</v>
      </c>
      <c r="S1126" s="5" t="n">
        <v>3</v>
      </c>
      <c r="T1126" s="5" t="s">
        <v>2095</v>
      </c>
      <c r="U1126" s="6"/>
      <c r="V1126" s="6"/>
      <c r="W1126" s="6"/>
      <c r="X1126" s="6"/>
      <c r="Y1126" s="7" t="str">
        <f aca="false">IF(COUNT(U1126:X1126)=4,(W1126-X1126)/2,"")</f>
        <v/>
      </c>
      <c r="Z1126" s="7" t="str">
        <f aca="false">IF(COUNT(U1126:X1126)=4,(U1126-V1126)/2,"")</f>
        <v/>
      </c>
      <c r="AA1126" s="7" t="str">
        <f aca="false">IF(COUNT(U1126:X1126)=4,MAX(1,MIN(10,ROUNDUP(5-Z1126,0))),"")</f>
        <v/>
      </c>
      <c r="AB1126" s="7" t="str">
        <f aca="false">IF(COUNT(U1126:X1126)=4,MAX(1,MIN(10,ROUNDUP(Y1126+5,0))),"")</f>
        <v/>
      </c>
      <c r="AC1126" s="6"/>
      <c r="AD1126" s="6"/>
    </row>
    <row r="1127" customFormat="false" ht="15" hidden="false" customHeight="true" outlineLevel="0" collapsed="false">
      <c r="A1127" s="5" t="n">
        <v>1126</v>
      </c>
      <c r="B1127" s="5" t="s">
        <v>2833</v>
      </c>
      <c r="C1127" s="5" t="s">
        <v>171</v>
      </c>
      <c r="D1127" s="5" t="s">
        <v>172</v>
      </c>
      <c r="E1127" s="5" t="n">
        <v>98</v>
      </c>
      <c r="F1127" s="5" t="s">
        <v>2834</v>
      </c>
      <c r="G1127" s="5" t="n">
        <v>4</v>
      </c>
      <c r="H1127" s="5" t="s">
        <v>53</v>
      </c>
      <c r="I1127" s="5" t="s">
        <v>54</v>
      </c>
      <c r="J1127" s="5" t="s">
        <v>181</v>
      </c>
      <c r="K1127" s="5" t="s">
        <v>223</v>
      </c>
      <c r="L1127" s="5" t="n">
        <v>3</v>
      </c>
      <c r="M1127" s="5" t="n">
        <v>4</v>
      </c>
      <c r="N1127" s="5" t="n">
        <v>6</v>
      </c>
      <c r="O1127" s="5" t="n">
        <v>4</v>
      </c>
      <c r="P1127" s="5" t="n">
        <v>1</v>
      </c>
      <c r="Q1127" s="5" t="n">
        <v>-0.5</v>
      </c>
      <c r="R1127" s="5" t="n">
        <v>6</v>
      </c>
      <c r="S1127" s="5" t="n">
        <v>6</v>
      </c>
      <c r="T1127" s="5" t="s">
        <v>2835</v>
      </c>
      <c r="U1127" s="6"/>
      <c r="V1127" s="6"/>
      <c r="W1127" s="6"/>
      <c r="X1127" s="6"/>
      <c r="Y1127" s="7" t="str">
        <f aca="false">IF(COUNT(U1127:X1127)=4,(W1127-X1127)/2,"")</f>
        <v/>
      </c>
      <c r="Z1127" s="7" t="str">
        <f aca="false">IF(COUNT(U1127:X1127)=4,(U1127-V1127)/2,"")</f>
        <v/>
      </c>
      <c r="AA1127" s="7" t="str">
        <f aca="false">IF(COUNT(U1127:X1127)=4,MAX(1,MIN(10,ROUNDUP(5-Z1127,0))),"")</f>
        <v/>
      </c>
      <c r="AB1127" s="7" t="str">
        <f aca="false">IF(COUNT(U1127:X1127)=4,MAX(1,MIN(10,ROUNDUP(Y1127+5,0))),"")</f>
        <v/>
      </c>
      <c r="AC1127" s="6"/>
      <c r="AD1127" s="6"/>
    </row>
    <row r="1128" customFormat="false" ht="15" hidden="false" customHeight="true" outlineLevel="0" collapsed="false">
      <c r="A1128" s="5" t="n">
        <v>1127</v>
      </c>
      <c r="B1128" s="5" t="s">
        <v>2836</v>
      </c>
      <c r="C1128" s="5" t="s">
        <v>171</v>
      </c>
      <c r="D1128" s="5" t="s">
        <v>172</v>
      </c>
      <c r="E1128" s="5" t="n">
        <v>98</v>
      </c>
      <c r="F1128" s="5" t="s">
        <v>2837</v>
      </c>
      <c r="G1128" s="5" t="n">
        <v>4</v>
      </c>
      <c r="H1128" s="5" t="s">
        <v>53</v>
      </c>
      <c r="I1128" s="5" t="s">
        <v>54</v>
      </c>
      <c r="J1128" s="5" t="s">
        <v>117</v>
      </c>
      <c r="K1128" s="5" t="s">
        <v>117</v>
      </c>
      <c r="L1128" s="5" t="n">
        <v>4</v>
      </c>
      <c r="M1128" s="5" t="n">
        <v>2</v>
      </c>
      <c r="N1128" s="5" t="n">
        <v>1</v>
      </c>
      <c r="O1128" s="5" t="n">
        <v>8</v>
      </c>
      <c r="P1128" s="5" t="n">
        <v>-3.5</v>
      </c>
      <c r="Q1128" s="5" t="n">
        <v>1</v>
      </c>
      <c r="R1128" s="5" t="n">
        <v>4</v>
      </c>
      <c r="S1128" s="5" t="n">
        <v>2</v>
      </c>
      <c r="T1128" s="5" t="s">
        <v>2646</v>
      </c>
      <c r="U1128" s="6"/>
      <c r="V1128" s="6"/>
      <c r="W1128" s="6"/>
      <c r="X1128" s="6"/>
      <c r="Y1128" s="7" t="str">
        <f aca="false">IF(COUNT(U1128:X1128)=4,(W1128-X1128)/2,"")</f>
        <v/>
      </c>
      <c r="Z1128" s="7" t="str">
        <f aca="false">IF(COUNT(U1128:X1128)=4,(U1128-V1128)/2,"")</f>
        <v/>
      </c>
      <c r="AA1128" s="7" t="str">
        <f aca="false">IF(COUNT(U1128:X1128)=4,MAX(1,MIN(10,ROUNDUP(5-Z1128,0))),"")</f>
        <v/>
      </c>
      <c r="AB1128" s="7" t="str">
        <f aca="false">IF(COUNT(U1128:X1128)=4,MAX(1,MIN(10,ROUNDUP(Y1128+5,0))),"")</f>
        <v/>
      </c>
      <c r="AC1128" s="6"/>
      <c r="AD1128" s="6"/>
    </row>
    <row r="1129" customFormat="false" ht="15" hidden="false" customHeight="true" outlineLevel="0" collapsed="false">
      <c r="A1129" s="5" t="n">
        <v>1128</v>
      </c>
      <c r="B1129" s="5" t="s">
        <v>2838</v>
      </c>
      <c r="C1129" s="5" t="s">
        <v>171</v>
      </c>
      <c r="D1129" s="5" t="s">
        <v>172</v>
      </c>
      <c r="E1129" s="5" t="n">
        <v>98</v>
      </c>
      <c r="F1129" s="5" t="s">
        <v>2839</v>
      </c>
      <c r="G1129" s="5" t="n">
        <v>4</v>
      </c>
      <c r="H1129" s="5" t="s">
        <v>53</v>
      </c>
      <c r="I1129" s="5" t="s">
        <v>54</v>
      </c>
      <c r="J1129" s="5" t="s">
        <v>181</v>
      </c>
      <c r="K1129" s="5" t="s">
        <v>221</v>
      </c>
      <c r="L1129" s="5" t="n">
        <v>2</v>
      </c>
      <c r="M1129" s="5" t="n">
        <v>5</v>
      </c>
      <c r="N1129" s="5" t="n">
        <v>7</v>
      </c>
      <c r="O1129" s="5" t="n">
        <v>7</v>
      </c>
      <c r="P1129" s="5" t="n">
        <v>0</v>
      </c>
      <c r="Q1129" s="5" t="n">
        <v>-1.5</v>
      </c>
      <c r="R1129" s="5" t="n">
        <v>7</v>
      </c>
      <c r="S1129" s="5" t="n">
        <v>5</v>
      </c>
      <c r="T1129" s="5" t="s">
        <v>912</v>
      </c>
      <c r="U1129" s="6"/>
      <c r="V1129" s="6"/>
      <c r="W1129" s="6"/>
      <c r="X1129" s="6"/>
      <c r="Y1129" s="7" t="str">
        <f aca="false">IF(COUNT(U1129:X1129)=4,(W1129-X1129)/2,"")</f>
        <v/>
      </c>
      <c r="Z1129" s="7" t="str">
        <f aca="false">IF(COUNT(U1129:X1129)=4,(U1129-V1129)/2,"")</f>
        <v/>
      </c>
      <c r="AA1129" s="7" t="str">
        <f aca="false">IF(COUNT(U1129:X1129)=4,MAX(1,MIN(10,ROUNDUP(5-Z1129,0))),"")</f>
        <v/>
      </c>
      <c r="AB1129" s="7" t="str">
        <f aca="false">IF(COUNT(U1129:X1129)=4,MAX(1,MIN(10,ROUNDUP(Y1129+5,0))),"")</f>
        <v/>
      </c>
      <c r="AC1129" s="6"/>
      <c r="AD1129" s="6"/>
    </row>
    <row r="1130" customFormat="false" ht="15" hidden="false" customHeight="true" outlineLevel="0" collapsed="false">
      <c r="A1130" s="5" t="n">
        <v>1129</v>
      </c>
      <c r="B1130" s="5" t="s">
        <v>2840</v>
      </c>
      <c r="C1130" s="5" t="s">
        <v>171</v>
      </c>
      <c r="D1130" s="5" t="s">
        <v>172</v>
      </c>
      <c r="E1130" s="5" t="n">
        <v>97</v>
      </c>
      <c r="F1130" s="5" t="s">
        <v>2841</v>
      </c>
      <c r="G1130" s="5" t="n">
        <v>4</v>
      </c>
      <c r="H1130" s="5" t="s">
        <v>53</v>
      </c>
      <c r="I1130" s="5" t="s">
        <v>54</v>
      </c>
      <c r="J1130" s="5" t="s">
        <v>181</v>
      </c>
      <c r="K1130" s="5" t="s">
        <v>235</v>
      </c>
      <c r="L1130" s="5" t="n">
        <v>4</v>
      </c>
      <c r="M1130" s="5" t="n">
        <v>4</v>
      </c>
      <c r="N1130" s="5" t="n">
        <v>7</v>
      </c>
      <c r="O1130" s="5" t="n">
        <v>4</v>
      </c>
      <c r="P1130" s="5" t="n">
        <v>1.5</v>
      </c>
      <c r="Q1130" s="5" t="n">
        <v>0</v>
      </c>
      <c r="R1130" s="5" t="n">
        <v>5</v>
      </c>
      <c r="S1130" s="5" t="n">
        <v>7</v>
      </c>
      <c r="T1130" s="5" t="s">
        <v>624</v>
      </c>
      <c r="U1130" s="6"/>
      <c r="V1130" s="6"/>
      <c r="W1130" s="6"/>
      <c r="X1130" s="6"/>
      <c r="Y1130" s="7" t="str">
        <f aca="false">IF(COUNT(U1130:X1130)=4,(W1130-X1130)/2,"")</f>
        <v/>
      </c>
      <c r="Z1130" s="7" t="str">
        <f aca="false">IF(COUNT(U1130:X1130)=4,(U1130-V1130)/2,"")</f>
        <v/>
      </c>
      <c r="AA1130" s="7" t="str">
        <f aca="false">IF(COUNT(U1130:X1130)=4,MAX(1,MIN(10,ROUNDUP(5-Z1130,0))),"")</f>
        <v/>
      </c>
      <c r="AB1130" s="7" t="str">
        <f aca="false">IF(COUNT(U1130:X1130)=4,MAX(1,MIN(10,ROUNDUP(Y1130+5,0))),"")</f>
        <v/>
      </c>
      <c r="AC1130" s="6"/>
      <c r="AD1130" s="6"/>
    </row>
    <row r="1131" customFormat="false" ht="15" hidden="false" customHeight="true" outlineLevel="0" collapsed="false">
      <c r="A1131" s="5" t="n">
        <v>1130</v>
      </c>
      <c r="B1131" s="5" t="s">
        <v>2842</v>
      </c>
      <c r="C1131" s="5" t="s">
        <v>145</v>
      </c>
      <c r="D1131" s="5" t="s">
        <v>51</v>
      </c>
      <c r="E1131" s="5" t="n">
        <v>97</v>
      </c>
      <c r="F1131" s="5" t="s">
        <v>2843</v>
      </c>
      <c r="G1131" s="5" t="n">
        <v>4</v>
      </c>
      <c r="H1131" s="5" t="s">
        <v>53</v>
      </c>
      <c r="I1131" s="5" t="s">
        <v>54</v>
      </c>
      <c r="J1131" s="5" t="s">
        <v>55</v>
      </c>
      <c r="K1131" s="5" t="s">
        <v>55</v>
      </c>
      <c r="L1131" s="5" t="n">
        <v>4</v>
      </c>
      <c r="M1131" s="5" t="n">
        <v>4</v>
      </c>
      <c r="N1131" s="5" t="n">
        <v>7</v>
      </c>
      <c r="O1131" s="5" t="n">
        <v>3</v>
      </c>
      <c r="P1131" s="5" t="n">
        <v>2</v>
      </c>
      <c r="Q1131" s="5" t="n">
        <v>0</v>
      </c>
      <c r="R1131" s="5" t="n">
        <v>5</v>
      </c>
      <c r="S1131" s="5" t="n">
        <v>7</v>
      </c>
      <c r="T1131" s="5" t="s">
        <v>1496</v>
      </c>
      <c r="U1131" s="6"/>
      <c r="V1131" s="6"/>
      <c r="W1131" s="6"/>
      <c r="X1131" s="6"/>
      <c r="Y1131" s="7" t="str">
        <f aca="false">IF(COUNT(U1131:X1131)=4,(W1131-X1131)/2,"")</f>
        <v/>
      </c>
      <c r="Z1131" s="7" t="str">
        <f aca="false">IF(COUNT(U1131:X1131)=4,(U1131-V1131)/2,"")</f>
        <v/>
      </c>
      <c r="AA1131" s="7" t="str">
        <f aca="false">IF(COUNT(U1131:X1131)=4,MAX(1,MIN(10,ROUNDUP(5-Z1131,0))),"")</f>
        <v/>
      </c>
      <c r="AB1131" s="7" t="str">
        <f aca="false">IF(COUNT(U1131:X1131)=4,MAX(1,MIN(10,ROUNDUP(Y1131+5,0))),"")</f>
        <v/>
      </c>
      <c r="AC1131" s="6"/>
      <c r="AD1131" s="6"/>
    </row>
    <row r="1132" customFormat="false" ht="15" hidden="false" customHeight="true" outlineLevel="0" collapsed="false">
      <c r="A1132" s="5" t="n">
        <v>1131</v>
      </c>
      <c r="B1132" s="5" t="s">
        <v>2844</v>
      </c>
      <c r="C1132" s="5" t="s">
        <v>171</v>
      </c>
      <c r="D1132" s="5" t="s">
        <v>172</v>
      </c>
      <c r="E1132" s="5" t="n">
        <v>97</v>
      </c>
      <c r="F1132" s="5" t="s">
        <v>2845</v>
      </c>
      <c r="G1132" s="5" t="n">
        <v>4</v>
      </c>
      <c r="H1132" s="5" t="s">
        <v>53</v>
      </c>
      <c r="I1132" s="5" t="s">
        <v>54</v>
      </c>
      <c r="J1132" s="5" t="s">
        <v>181</v>
      </c>
      <c r="K1132" s="5" t="s">
        <v>235</v>
      </c>
      <c r="L1132" s="5" t="n">
        <v>4</v>
      </c>
      <c r="M1132" s="5" t="n">
        <v>4</v>
      </c>
      <c r="N1132" s="5" t="n">
        <v>7</v>
      </c>
      <c r="O1132" s="5" t="n">
        <v>4</v>
      </c>
      <c r="P1132" s="5" t="n">
        <v>1.5</v>
      </c>
      <c r="Q1132" s="5" t="n">
        <v>0</v>
      </c>
      <c r="R1132" s="5" t="n">
        <v>5</v>
      </c>
      <c r="S1132" s="5" t="n">
        <v>7</v>
      </c>
      <c r="T1132" s="5" t="s">
        <v>2846</v>
      </c>
      <c r="U1132" s="6"/>
      <c r="V1132" s="6"/>
      <c r="W1132" s="6"/>
      <c r="X1132" s="6"/>
      <c r="Y1132" s="7" t="str">
        <f aca="false">IF(COUNT(U1132:X1132)=4,(W1132-X1132)/2,"")</f>
        <v/>
      </c>
      <c r="Z1132" s="7" t="str">
        <f aca="false">IF(COUNT(U1132:X1132)=4,(U1132-V1132)/2,"")</f>
        <v/>
      </c>
      <c r="AA1132" s="7" t="str">
        <f aca="false">IF(COUNT(U1132:X1132)=4,MAX(1,MIN(10,ROUNDUP(5-Z1132,0))),"")</f>
        <v/>
      </c>
      <c r="AB1132" s="7" t="str">
        <f aca="false">IF(COUNT(U1132:X1132)=4,MAX(1,MIN(10,ROUNDUP(Y1132+5,0))),"")</f>
        <v/>
      </c>
      <c r="AC1132" s="6"/>
      <c r="AD1132" s="6"/>
    </row>
    <row r="1133" customFormat="false" ht="15" hidden="false" customHeight="true" outlineLevel="0" collapsed="false">
      <c r="A1133" s="5" t="n">
        <v>1132</v>
      </c>
      <c r="B1133" s="5" t="s">
        <v>2847</v>
      </c>
      <c r="C1133" s="5" t="s">
        <v>171</v>
      </c>
      <c r="D1133" s="5" t="s">
        <v>172</v>
      </c>
      <c r="E1133" s="5" t="n">
        <v>97</v>
      </c>
      <c r="F1133" s="5" t="s">
        <v>2847</v>
      </c>
      <c r="G1133" s="5" t="n">
        <v>4</v>
      </c>
      <c r="H1133" s="5" t="s">
        <v>53</v>
      </c>
      <c r="I1133" s="5" t="s">
        <v>81</v>
      </c>
      <c r="J1133" s="5" t="s">
        <v>174</v>
      </c>
      <c r="K1133" s="5" t="s">
        <v>1180</v>
      </c>
      <c r="L1133" s="5" t="n">
        <v>6</v>
      </c>
      <c r="M1133" s="5" t="n">
        <v>2</v>
      </c>
      <c r="N1133" s="5" t="n">
        <v>3</v>
      </c>
      <c r="O1133" s="5" t="n">
        <v>8</v>
      </c>
      <c r="P1133" s="5" t="n">
        <v>-2.5</v>
      </c>
      <c r="Q1133" s="5" t="n">
        <v>2</v>
      </c>
      <c r="R1133" s="5" t="n">
        <v>3</v>
      </c>
      <c r="S1133" s="5" t="n">
        <v>3</v>
      </c>
      <c r="T1133" s="5" t="s">
        <v>2848</v>
      </c>
      <c r="U1133" s="6"/>
      <c r="V1133" s="6"/>
      <c r="W1133" s="6"/>
      <c r="X1133" s="6"/>
      <c r="Y1133" s="7" t="str">
        <f aca="false">IF(COUNT(U1133:X1133)=4,(W1133-X1133)/2,"")</f>
        <v/>
      </c>
      <c r="Z1133" s="7" t="str">
        <f aca="false">IF(COUNT(U1133:X1133)=4,(U1133-V1133)/2,"")</f>
        <v/>
      </c>
      <c r="AA1133" s="7" t="str">
        <f aca="false">IF(COUNT(U1133:X1133)=4,MAX(1,MIN(10,ROUNDUP(5-Z1133,0))),"")</f>
        <v/>
      </c>
      <c r="AB1133" s="7" t="str">
        <f aca="false">IF(COUNT(U1133:X1133)=4,MAX(1,MIN(10,ROUNDUP(Y1133+5,0))),"")</f>
        <v/>
      </c>
      <c r="AC1133" s="6"/>
      <c r="AD1133" s="6"/>
    </row>
    <row r="1134" customFormat="false" ht="15" hidden="false" customHeight="true" outlineLevel="0" collapsed="false">
      <c r="A1134" s="5" t="n">
        <v>1133</v>
      </c>
      <c r="B1134" s="5" t="s">
        <v>2849</v>
      </c>
      <c r="C1134" s="5" t="s">
        <v>203</v>
      </c>
      <c r="D1134" s="5" t="s">
        <v>204</v>
      </c>
      <c r="E1134" s="5" t="n">
        <v>97</v>
      </c>
      <c r="F1134" s="5" t="s">
        <v>2850</v>
      </c>
      <c r="G1134" s="5" t="n">
        <v>4</v>
      </c>
      <c r="H1134" s="5" t="s">
        <v>53</v>
      </c>
      <c r="I1134" s="5" t="s">
        <v>54</v>
      </c>
      <c r="J1134" s="5" t="s">
        <v>117</v>
      </c>
      <c r="K1134" s="5" t="s">
        <v>117</v>
      </c>
      <c r="L1134" s="5" t="n">
        <v>2</v>
      </c>
      <c r="M1134" s="5" t="n">
        <v>3</v>
      </c>
      <c r="N1134" s="5" t="n">
        <v>3</v>
      </c>
      <c r="O1134" s="5" t="n">
        <v>7</v>
      </c>
      <c r="P1134" s="5" t="n">
        <v>-2</v>
      </c>
      <c r="Q1134" s="5" t="n">
        <v>-0.5</v>
      </c>
      <c r="R1134" s="5" t="n">
        <v>6</v>
      </c>
      <c r="S1134" s="5" t="n">
        <v>3</v>
      </c>
      <c r="T1134" s="5" t="s">
        <v>2851</v>
      </c>
      <c r="U1134" s="6"/>
      <c r="V1134" s="6"/>
      <c r="W1134" s="6"/>
      <c r="X1134" s="6"/>
      <c r="Y1134" s="7" t="str">
        <f aca="false">IF(COUNT(U1134:X1134)=4,(W1134-X1134)/2,"")</f>
        <v/>
      </c>
      <c r="Z1134" s="7" t="str">
        <f aca="false">IF(COUNT(U1134:X1134)=4,(U1134-V1134)/2,"")</f>
        <v/>
      </c>
      <c r="AA1134" s="7" t="str">
        <f aca="false">IF(COUNT(U1134:X1134)=4,MAX(1,MIN(10,ROUNDUP(5-Z1134,0))),"")</f>
        <v/>
      </c>
      <c r="AB1134" s="7" t="str">
        <f aca="false">IF(COUNT(U1134:X1134)=4,MAX(1,MIN(10,ROUNDUP(Y1134+5,0))),"")</f>
        <v/>
      </c>
      <c r="AC1134" s="6"/>
      <c r="AD1134" s="6"/>
    </row>
    <row r="1135" customFormat="false" ht="15" hidden="false" customHeight="true" outlineLevel="0" collapsed="false">
      <c r="A1135" s="5" t="n">
        <v>1134</v>
      </c>
      <c r="B1135" s="5" t="s">
        <v>2852</v>
      </c>
      <c r="C1135" s="5" t="s">
        <v>171</v>
      </c>
      <c r="D1135" s="5" t="s">
        <v>172</v>
      </c>
      <c r="E1135" s="5" t="n">
        <v>97</v>
      </c>
      <c r="F1135" s="5" t="s">
        <v>2853</v>
      </c>
      <c r="G1135" s="5" t="n">
        <v>4</v>
      </c>
      <c r="H1135" s="5" t="s">
        <v>53</v>
      </c>
      <c r="I1135" s="5" t="s">
        <v>54</v>
      </c>
      <c r="J1135" s="5" t="s">
        <v>181</v>
      </c>
      <c r="K1135" s="5" t="s">
        <v>673</v>
      </c>
      <c r="L1135" s="5" t="n">
        <v>4</v>
      </c>
      <c r="M1135" s="5" t="n">
        <v>4</v>
      </c>
      <c r="N1135" s="5" t="n">
        <v>5</v>
      </c>
      <c r="O1135" s="5" t="n">
        <v>6</v>
      </c>
      <c r="P1135" s="5" t="n">
        <v>-0.5</v>
      </c>
      <c r="Q1135" s="5" t="n">
        <v>0</v>
      </c>
      <c r="R1135" s="5" t="n">
        <v>5</v>
      </c>
      <c r="S1135" s="5" t="n">
        <v>5</v>
      </c>
      <c r="T1135" s="5" t="s">
        <v>2364</v>
      </c>
      <c r="U1135" s="6"/>
      <c r="V1135" s="6"/>
      <c r="W1135" s="6"/>
      <c r="X1135" s="6"/>
      <c r="Y1135" s="7" t="str">
        <f aca="false">IF(COUNT(U1135:X1135)=4,(W1135-X1135)/2,"")</f>
        <v/>
      </c>
      <c r="Z1135" s="7" t="str">
        <f aca="false">IF(COUNT(U1135:X1135)=4,(U1135-V1135)/2,"")</f>
        <v/>
      </c>
      <c r="AA1135" s="7" t="str">
        <f aca="false">IF(COUNT(U1135:X1135)=4,MAX(1,MIN(10,ROUNDUP(5-Z1135,0))),"")</f>
        <v/>
      </c>
      <c r="AB1135" s="7" t="str">
        <f aca="false">IF(COUNT(U1135:X1135)=4,MAX(1,MIN(10,ROUNDUP(Y1135+5,0))),"")</f>
        <v/>
      </c>
      <c r="AC1135" s="6"/>
      <c r="AD1135" s="6"/>
    </row>
    <row r="1136" customFormat="false" ht="15" hidden="false" customHeight="true" outlineLevel="0" collapsed="false">
      <c r="A1136" s="5" t="n">
        <v>1135</v>
      </c>
      <c r="B1136" s="5" t="s">
        <v>2854</v>
      </c>
      <c r="C1136" s="5" t="s">
        <v>171</v>
      </c>
      <c r="D1136" s="5" t="s">
        <v>172</v>
      </c>
      <c r="E1136" s="5" t="n">
        <v>97</v>
      </c>
      <c r="F1136" s="5" t="s">
        <v>2855</v>
      </c>
      <c r="G1136" s="5" t="n">
        <v>4</v>
      </c>
      <c r="H1136" s="5" t="s">
        <v>53</v>
      </c>
      <c r="I1136" s="5" t="s">
        <v>54</v>
      </c>
      <c r="J1136" s="5" t="s">
        <v>181</v>
      </c>
      <c r="K1136" s="5" t="s">
        <v>443</v>
      </c>
      <c r="L1136" s="5" t="n">
        <v>5</v>
      </c>
      <c r="M1136" s="5" t="n">
        <v>3</v>
      </c>
      <c r="N1136" s="5" t="n">
        <v>4</v>
      </c>
      <c r="O1136" s="5" t="n">
        <v>8</v>
      </c>
      <c r="P1136" s="5" t="n">
        <v>-2</v>
      </c>
      <c r="Q1136" s="5" t="n">
        <v>1</v>
      </c>
      <c r="R1136" s="5" t="n">
        <v>4</v>
      </c>
      <c r="S1136" s="5" t="n">
        <v>3</v>
      </c>
      <c r="T1136" s="5" t="s">
        <v>2856</v>
      </c>
      <c r="U1136" s="6"/>
      <c r="V1136" s="6"/>
      <c r="W1136" s="6"/>
      <c r="X1136" s="6"/>
      <c r="Y1136" s="7" t="str">
        <f aca="false">IF(COUNT(U1136:X1136)=4,(W1136-X1136)/2,"")</f>
        <v/>
      </c>
      <c r="Z1136" s="7" t="str">
        <f aca="false">IF(COUNT(U1136:X1136)=4,(U1136-V1136)/2,"")</f>
        <v/>
      </c>
      <c r="AA1136" s="7" t="str">
        <f aca="false">IF(COUNT(U1136:X1136)=4,MAX(1,MIN(10,ROUNDUP(5-Z1136,0))),"")</f>
        <v/>
      </c>
      <c r="AB1136" s="7" t="str">
        <f aca="false">IF(COUNT(U1136:X1136)=4,MAX(1,MIN(10,ROUNDUP(Y1136+5,0))),"")</f>
        <v/>
      </c>
      <c r="AC1136" s="6"/>
      <c r="AD1136" s="6"/>
    </row>
    <row r="1137" customFormat="false" ht="15" hidden="false" customHeight="true" outlineLevel="0" collapsed="false">
      <c r="A1137" s="5" t="n">
        <v>1136</v>
      </c>
      <c r="B1137" s="5" t="s">
        <v>2857</v>
      </c>
      <c r="C1137" s="5" t="s">
        <v>145</v>
      </c>
      <c r="D1137" s="5" t="s">
        <v>51</v>
      </c>
      <c r="E1137" s="5" t="n">
        <v>97</v>
      </c>
      <c r="F1137" s="5" t="s">
        <v>2858</v>
      </c>
      <c r="G1137" s="5" t="n">
        <v>4</v>
      </c>
      <c r="H1137" s="5" t="s">
        <v>53</v>
      </c>
      <c r="I1137" s="5" t="s">
        <v>54</v>
      </c>
      <c r="J1137" s="5" t="s">
        <v>55</v>
      </c>
      <c r="K1137" s="5" t="s">
        <v>55</v>
      </c>
      <c r="L1137" s="5" t="n">
        <v>4</v>
      </c>
      <c r="M1137" s="5" t="n">
        <v>2</v>
      </c>
      <c r="N1137" s="5" t="n">
        <v>10</v>
      </c>
      <c r="O1137" s="5" t="n">
        <v>1</v>
      </c>
      <c r="P1137" s="5" t="n">
        <v>4.5</v>
      </c>
      <c r="Q1137" s="5" t="n">
        <v>1</v>
      </c>
      <c r="R1137" s="5" t="n">
        <v>4</v>
      </c>
      <c r="S1137" s="5" t="n">
        <v>10</v>
      </c>
      <c r="T1137" s="5" t="s">
        <v>2859</v>
      </c>
      <c r="U1137" s="6"/>
      <c r="V1137" s="6"/>
      <c r="W1137" s="6"/>
      <c r="X1137" s="6"/>
      <c r="Y1137" s="7" t="str">
        <f aca="false">IF(COUNT(U1137:X1137)=4,(W1137-X1137)/2,"")</f>
        <v/>
      </c>
      <c r="Z1137" s="7" t="str">
        <f aca="false">IF(COUNT(U1137:X1137)=4,(U1137-V1137)/2,"")</f>
        <v/>
      </c>
      <c r="AA1137" s="7" t="str">
        <f aca="false">IF(COUNT(U1137:X1137)=4,MAX(1,MIN(10,ROUNDUP(5-Z1137,0))),"")</f>
        <v/>
      </c>
      <c r="AB1137" s="7" t="str">
        <f aca="false">IF(COUNT(U1137:X1137)=4,MAX(1,MIN(10,ROUNDUP(Y1137+5,0))),"")</f>
        <v/>
      </c>
      <c r="AC1137" s="6"/>
      <c r="AD1137" s="6"/>
    </row>
    <row r="1138" customFormat="false" ht="15" hidden="false" customHeight="true" outlineLevel="0" collapsed="false">
      <c r="A1138" s="5" t="n">
        <v>1137</v>
      </c>
      <c r="B1138" s="5" t="s">
        <v>2860</v>
      </c>
      <c r="C1138" s="5" t="s">
        <v>171</v>
      </c>
      <c r="D1138" s="5" t="s">
        <v>172</v>
      </c>
      <c r="E1138" s="5" t="n">
        <v>97</v>
      </c>
      <c r="F1138" s="5" t="s">
        <v>2861</v>
      </c>
      <c r="G1138" s="5" t="n">
        <v>4</v>
      </c>
      <c r="H1138" s="5" t="s">
        <v>53</v>
      </c>
      <c r="I1138" s="5" t="s">
        <v>54</v>
      </c>
      <c r="J1138" s="5" t="s">
        <v>181</v>
      </c>
      <c r="K1138" s="5" t="s">
        <v>443</v>
      </c>
      <c r="L1138" s="5" t="n">
        <v>5</v>
      </c>
      <c r="M1138" s="5" t="n">
        <v>3</v>
      </c>
      <c r="N1138" s="5" t="n">
        <v>4</v>
      </c>
      <c r="O1138" s="5" t="n">
        <v>8</v>
      </c>
      <c r="P1138" s="5" t="n">
        <v>-2</v>
      </c>
      <c r="Q1138" s="5" t="n">
        <v>1</v>
      </c>
      <c r="R1138" s="5" t="n">
        <v>4</v>
      </c>
      <c r="S1138" s="5" t="n">
        <v>3</v>
      </c>
      <c r="T1138" s="5" t="s">
        <v>2862</v>
      </c>
      <c r="U1138" s="6"/>
      <c r="V1138" s="6"/>
      <c r="W1138" s="6"/>
      <c r="X1138" s="6"/>
      <c r="Y1138" s="7" t="str">
        <f aca="false">IF(COUNT(U1138:X1138)=4,(W1138-X1138)/2,"")</f>
        <v/>
      </c>
      <c r="Z1138" s="7" t="str">
        <f aca="false">IF(COUNT(U1138:X1138)=4,(U1138-V1138)/2,"")</f>
        <v/>
      </c>
      <c r="AA1138" s="7" t="str">
        <f aca="false">IF(COUNT(U1138:X1138)=4,MAX(1,MIN(10,ROUNDUP(5-Z1138,0))),"")</f>
        <v/>
      </c>
      <c r="AB1138" s="7" t="str">
        <f aca="false">IF(COUNT(U1138:X1138)=4,MAX(1,MIN(10,ROUNDUP(Y1138+5,0))),"")</f>
        <v/>
      </c>
      <c r="AC1138" s="6"/>
      <c r="AD1138" s="6"/>
    </row>
    <row r="1139" customFormat="false" ht="15" hidden="false" customHeight="true" outlineLevel="0" collapsed="false">
      <c r="A1139" s="5" t="n">
        <v>1138</v>
      </c>
      <c r="B1139" s="5" t="s">
        <v>2863</v>
      </c>
      <c r="C1139" s="5" t="s">
        <v>171</v>
      </c>
      <c r="D1139" s="5" t="s">
        <v>172</v>
      </c>
      <c r="E1139" s="5" t="n">
        <v>97</v>
      </c>
      <c r="F1139" s="5" t="s">
        <v>2864</v>
      </c>
      <c r="G1139" s="5" t="n">
        <v>4</v>
      </c>
      <c r="H1139" s="5" t="s">
        <v>53</v>
      </c>
      <c r="I1139" s="5" t="s">
        <v>81</v>
      </c>
      <c r="J1139" s="5" t="s">
        <v>174</v>
      </c>
      <c r="K1139" s="5" t="s">
        <v>175</v>
      </c>
      <c r="L1139" s="5" t="n">
        <v>7</v>
      </c>
      <c r="M1139" s="5" t="n">
        <v>1</v>
      </c>
      <c r="N1139" s="5" t="n">
        <v>3</v>
      </c>
      <c r="O1139" s="5" t="n">
        <v>8</v>
      </c>
      <c r="P1139" s="5" t="n">
        <v>-2.5</v>
      </c>
      <c r="Q1139" s="5" t="n">
        <v>3</v>
      </c>
      <c r="R1139" s="5" t="n">
        <v>2</v>
      </c>
      <c r="S1139" s="5" t="n">
        <v>3</v>
      </c>
      <c r="T1139" s="5" t="s">
        <v>2040</v>
      </c>
      <c r="U1139" s="6"/>
      <c r="V1139" s="6"/>
      <c r="W1139" s="6"/>
      <c r="X1139" s="6"/>
      <c r="Y1139" s="7" t="str">
        <f aca="false">IF(COUNT(U1139:X1139)=4,(W1139-X1139)/2,"")</f>
        <v/>
      </c>
      <c r="Z1139" s="7" t="str">
        <f aca="false">IF(COUNT(U1139:X1139)=4,(U1139-V1139)/2,"")</f>
        <v/>
      </c>
      <c r="AA1139" s="7" t="str">
        <f aca="false">IF(COUNT(U1139:X1139)=4,MAX(1,MIN(10,ROUNDUP(5-Z1139,0))),"")</f>
        <v/>
      </c>
      <c r="AB1139" s="7" t="str">
        <f aca="false">IF(COUNT(U1139:X1139)=4,MAX(1,MIN(10,ROUNDUP(Y1139+5,0))),"")</f>
        <v/>
      </c>
      <c r="AC1139" s="6"/>
      <c r="AD1139" s="6"/>
    </row>
    <row r="1140" customFormat="false" ht="15" hidden="false" customHeight="true" outlineLevel="0" collapsed="false">
      <c r="A1140" s="5" t="n">
        <v>1139</v>
      </c>
      <c r="B1140" s="5" t="s">
        <v>2865</v>
      </c>
      <c r="C1140" s="5" t="s">
        <v>203</v>
      </c>
      <c r="D1140" s="5" t="s">
        <v>204</v>
      </c>
      <c r="E1140" s="5" t="n">
        <v>96</v>
      </c>
      <c r="F1140" s="5" t="s">
        <v>2866</v>
      </c>
      <c r="G1140" s="5" t="n">
        <v>4</v>
      </c>
      <c r="H1140" s="5" t="s">
        <v>53</v>
      </c>
      <c r="I1140" s="5" t="s">
        <v>54</v>
      </c>
      <c r="J1140" s="5" t="s">
        <v>117</v>
      </c>
      <c r="K1140" s="5" t="s">
        <v>117</v>
      </c>
      <c r="L1140" s="5" t="n">
        <v>4</v>
      </c>
      <c r="M1140" s="5" t="n">
        <v>2</v>
      </c>
      <c r="N1140" s="5" t="n">
        <v>1</v>
      </c>
      <c r="O1140" s="5" t="n">
        <v>9</v>
      </c>
      <c r="P1140" s="5" t="n">
        <v>-4</v>
      </c>
      <c r="Q1140" s="5" t="n">
        <v>1</v>
      </c>
      <c r="R1140" s="5" t="n">
        <v>4</v>
      </c>
      <c r="S1140" s="5" t="n">
        <v>1</v>
      </c>
      <c r="T1140" s="5" t="s">
        <v>1734</v>
      </c>
      <c r="U1140" s="6"/>
      <c r="V1140" s="6"/>
      <c r="W1140" s="6"/>
      <c r="X1140" s="6"/>
      <c r="Y1140" s="7" t="str">
        <f aca="false">IF(COUNT(U1140:X1140)=4,(W1140-X1140)/2,"")</f>
        <v/>
      </c>
      <c r="Z1140" s="7" t="str">
        <f aca="false">IF(COUNT(U1140:X1140)=4,(U1140-V1140)/2,"")</f>
        <v/>
      </c>
      <c r="AA1140" s="7" t="str">
        <f aca="false">IF(COUNT(U1140:X1140)=4,MAX(1,MIN(10,ROUNDUP(5-Z1140,0))),"")</f>
        <v/>
      </c>
      <c r="AB1140" s="7" t="str">
        <f aca="false">IF(COUNT(U1140:X1140)=4,MAX(1,MIN(10,ROUNDUP(Y1140+5,0))),"")</f>
        <v/>
      </c>
      <c r="AC1140" s="6"/>
      <c r="AD1140" s="6"/>
    </row>
    <row r="1141" customFormat="false" ht="15" hidden="false" customHeight="true" outlineLevel="0" collapsed="false">
      <c r="A1141" s="5" t="n">
        <v>1140</v>
      </c>
      <c r="B1141" s="5" t="s">
        <v>2867</v>
      </c>
      <c r="C1141" s="5" t="s">
        <v>171</v>
      </c>
      <c r="D1141" s="5" t="s">
        <v>172</v>
      </c>
      <c r="E1141" s="5" t="n">
        <v>96</v>
      </c>
      <c r="F1141" s="5" t="s">
        <v>2868</v>
      </c>
      <c r="G1141" s="5" t="n">
        <v>4</v>
      </c>
      <c r="H1141" s="5" t="s">
        <v>53</v>
      </c>
      <c r="I1141" s="5" t="s">
        <v>54</v>
      </c>
      <c r="J1141" s="5" t="s">
        <v>181</v>
      </c>
      <c r="K1141" s="5" t="s">
        <v>593</v>
      </c>
      <c r="L1141" s="5" t="n">
        <v>2</v>
      </c>
      <c r="M1141" s="5" t="n">
        <v>6</v>
      </c>
      <c r="N1141" s="5" t="n">
        <v>7</v>
      </c>
      <c r="O1141" s="5" t="n">
        <v>3</v>
      </c>
      <c r="P1141" s="5" t="n">
        <v>2</v>
      </c>
      <c r="Q1141" s="5" t="n">
        <v>-2</v>
      </c>
      <c r="R1141" s="5" t="n">
        <v>7</v>
      </c>
      <c r="S1141" s="5" t="n">
        <v>7</v>
      </c>
      <c r="T1141" s="5" t="s">
        <v>65</v>
      </c>
      <c r="U1141" s="6"/>
      <c r="V1141" s="6"/>
      <c r="W1141" s="6"/>
      <c r="X1141" s="6"/>
      <c r="Y1141" s="7" t="str">
        <f aca="false">IF(COUNT(U1141:X1141)=4,(W1141-X1141)/2,"")</f>
        <v/>
      </c>
      <c r="Z1141" s="7" t="str">
        <f aca="false">IF(COUNT(U1141:X1141)=4,(U1141-V1141)/2,"")</f>
        <v/>
      </c>
      <c r="AA1141" s="7" t="str">
        <f aca="false">IF(COUNT(U1141:X1141)=4,MAX(1,MIN(10,ROUNDUP(5-Z1141,0))),"")</f>
        <v/>
      </c>
      <c r="AB1141" s="7" t="str">
        <f aca="false">IF(COUNT(U1141:X1141)=4,MAX(1,MIN(10,ROUNDUP(Y1141+5,0))),"")</f>
        <v/>
      </c>
      <c r="AC1141" s="6"/>
      <c r="AD1141" s="6"/>
    </row>
    <row r="1142" customFormat="false" ht="15" hidden="false" customHeight="true" outlineLevel="0" collapsed="false">
      <c r="A1142" s="5" t="n">
        <v>1141</v>
      </c>
      <c r="B1142" s="5" t="s">
        <v>2869</v>
      </c>
      <c r="C1142" s="5" t="s">
        <v>171</v>
      </c>
      <c r="D1142" s="5" t="s">
        <v>172</v>
      </c>
      <c r="E1142" s="5" t="n">
        <v>96</v>
      </c>
      <c r="F1142" s="5" t="s">
        <v>2870</v>
      </c>
      <c r="G1142" s="5" t="n">
        <v>4</v>
      </c>
      <c r="H1142" s="5" t="s">
        <v>53</v>
      </c>
      <c r="I1142" s="5" t="s">
        <v>54</v>
      </c>
      <c r="J1142" s="5" t="s">
        <v>181</v>
      </c>
      <c r="K1142" s="5" t="s">
        <v>223</v>
      </c>
      <c r="L1142" s="5" t="n">
        <v>3</v>
      </c>
      <c r="M1142" s="5" t="n">
        <v>4</v>
      </c>
      <c r="N1142" s="5" t="n">
        <v>6</v>
      </c>
      <c r="O1142" s="5" t="n">
        <v>4</v>
      </c>
      <c r="P1142" s="5" t="n">
        <v>1</v>
      </c>
      <c r="Q1142" s="5" t="n">
        <v>-0.5</v>
      </c>
      <c r="R1142" s="5" t="n">
        <v>6</v>
      </c>
      <c r="S1142" s="5" t="n">
        <v>6</v>
      </c>
      <c r="T1142" s="5" t="s">
        <v>2871</v>
      </c>
      <c r="U1142" s="6"/>
      <c r="V1142" s="6"/>
      <c r="W1142" s="6"/>
      <c r="X1142" s="6"/>
      <c r="Y1142" s="7" t="str">
        <f aca="false">IF(COUNT(U1142:X1142)=4,(W1142-X1142)/2,"")</f>
        <v/>
      </c>
      <c r="Z1142" s="7" t="str">
        <f aca="false">IF(COUNT(U1142:X1142)=4,(U1142-V1142)/2,"")</f>
        <v/>
      </c>
      <c r="AA1142" s="7" t="str">
        <f aca="false">IF(COUNT(U1142:X1142)=4,MAX(1,MIN(10,ROUNDUP(5-Z1142,0))),"")</f>
        <v/>
      </c>
      <c r="AB1142" s="7" t="str">
        <f aca="false">IF(COUNT(U1142:X1142)=4,MAX(1,MIN(10,ROUNDUP(Y1142+5,0))),"")</f>
        <v/>
      </c>
      <c r="AC1142" s="6"/>
      <c r="AD1142" s="6"/>
    </row>
    <row r="1143" customFormat="false" ht="15" hidden="false" customHeight="true" outlineLevel="0" collapsed="false">
      <c r="A1143" s="5" t="n">
        <v>1142</v>
      </c>
      <c r="B1143" s="5" t="s">
        <v>2872</v>
      </c>
      <c r="C1143" s="5" t="s">
        <v>203</v>
      </c>
      <c r="D1143" s="5" t="s">
        <v>204</v>
      </c>
      <c r="E1143" s="5" t="n">
        <v>96</v>
      </c>
      <c r="F1143" s="5" t="s">
        <v>2872</v>
      </c>
      <c r="G1143" s="5" t="n">
        <v>4</v>
      </c>
      <c r="H1143" s="5" t="s">
        <v>53</v>
      </c>
      <c r="I1143" s="5" t="s">
        <v>54</v>
      </c>
      <c r="J1143" s="5" t="s">
        <v>117</v>
      </c>
      <c r="K1143" s="5" t="s">
        <v>117</v>
      </c>
      <c r="L1143" s="5" t="n">
        <v>3</v>
      </c>
      <c r="M1143" s="5" t="n">
        <v>1</v>
      </c>
      <c r="N1143" s="5" t="n">
        <v>2</v>
      </c>
      <c r="O1143" s="5" t="n">
        <v>7</v>
      </c>
      <c r="P1143" s="5" t="n">
        <v>-2.5</v>
      </c>
      <c r="Q1143" s="5" t="n">
        <v>1</v>
      </c>
      <c r="R1143" s="5" t="n">
        <v>4</v>
      </c>
      <c r="S1143" s="5" t="n">
        <v>3</v>
      </c>
      <c r="T1143" s="5" t="s">
        <v>2873</v>
      </c>
      <c r="U1143" s="6"/>
      <c r="V1143" s="6"/>
      <c r="W1143" s="6"/>
      <c r="X1143" s="6"/>
      <c r="Y1143" s="7" t="str">
        <f aca="false">IF(COUNT(U1143:X1143)=4,(W1143-X1143)/2,"")</f>
        <v/>
      </c>
      <c r="Z1143" s="7" t="str">
        <f aca="false">IF(COUNT(U1143:X1143)=4,(U1143-V1143)/2,"")</f>
        <v/>
      </c>
      <c r="AA1143" s="7" t="str">
        <f aca="false">IF(COUNT(U1143:X1143)=4,MAX(1,MIN(10,ROUNDUP(5-Z1143,0))),"")</f>
        <v/>
      </c>
      <c r="AB1143" s="7" t="str">
        <f aca="false">IF(COUNT(U1143:X1143)=4,MAX(1,MIN(10,ROUNDUP(Y1143+5,0))),"")</f>
        <v/>
      </c>
      <c r="AC1143" s="6"/>
      <c r="AD1143" s="6"/>
    </row>
    <row r="1144" customFormat="false" ht="15" hidden="false" customHeight="true" outlineLevel="0" collapsed="false">
      <c r="A1144" s="5" t="n">
        <v>1143</v>
      </c>
      <c r="B1144" s="5" t="s">
        <v>2874</v>
      </c>
      <c r="C1144" s="5" t="s">
        <v>171</v>
      </c>
      <c r="D1144" s="5" t="s">
        <v>172</v>
      </c>
      <c r="E1144" s="5" t="n">
        <v>96</v>
      </c>
      <c r="F1144" s="5" t="s">
        <v>2875</v>
      </c>
      <c r="G1144" s="5" t="n">
        <v>4</v>
      </c>
      <c r="H1144" s="5" t="s">
        <v>53</v>
      </c>
      <c r="I1144" s="5" t="s">
        <v>54</v>
      </c>
      <c r="J1144" s="5" t="s">
        <v>181</v>
      </c>
      <c r="K1144" s="5" t="s">
        <v>182</v>
      </c>
      <c r="L1144" s="5" t="n">
        <v>2</v>
      </c>
      <c r="M1144" s="5" t="n">
        <v>6</v>
      </c>
      <c r="N1144" s="5" t="n">
        <v>7</v>
      </c>
      <c r="O1144" s="5" t="n">
        <v>3</v>
      </c>
      <c r="P1144" s="5" t="n">
        <v>2</v>
      </c>
      <c r="Q1144" s="5" t="n">
        <v>-2</v>
      </c>
      <c r="R1144" s="5" t="n">
        <v>7</v>
      </c>
      <c r="S1144" s="5" t="n">
        <v>7</v>
      </c>
      <c r="T1144" s="5" t="s">
        <v>2876</v>
      </c>
      <c r="U1144" s="6"/>
      <c r="V1144" s="6"/>
      <c r="W1144" s="6"/>
      <c r="X1144" s="6"/>
      <c r="Y1144" s="7" t="str">
        <f aca="false">IF(COUNT(U1144:X1144)=4,(W1144-X1144)/2,"")</f>
        <v/>
      </c>
      <c r="Z1144" s="7" t="str">
        <f aca="false">IF(COUNT(U1144:X1144)=4,(U1144-V1144)/2,"")</f>
        <v/>
      </c>
      <c r="AA1144" s="7" t="str">
        <f aca="false">IF(COUNT(U1144:X1144)=4,MAX(1,MIN(10,ROUNDUP(5-Z1144,0))),"")</f>
        <v/>
      </c>
      <c r="AB1144" s="7" t="str">
        <f aca="false">IF(COUNT(U1144:X1144)=4,MAX(1,MIN(10,ROUNDUP(Y1144+5,0))),"")</f>
        <v/>
      </c>
      <c r="AC1144" s="6"/>
      <c r="AD1144" s="6"/>
    </row>
    <row r="1145" customFormat="false" ht="15" hidden="false" customHeight="true" outlineLevel="0" collapsed="false">
      <c r="A1145" s="5" t="n">
        <v>1144</v>
      </c>
      <c r="B1145" s="5" t="s">
        <v>2877</v>
      </c>
      <c r="C1145" s="5" t="s">
        <v>171</v>
      </c>
      <c r="D1145" s="5" t="s">
        <v>172</v>
      </c>
      <c r="E1145" s="5" t="n">
        <v>96</v>
      </c>
      <c r="F1145" s="5" t="s">
        <v>2878</v>
      </c>
      <c r="G1145" s="5" t="n">
        <v>4</v>
      </c>
      <c r="H1145" s="5" t="s">
        <v>53</v>
      </c>
      <c r="I1145" s="5" t="s">
        <v>54</v>
      </c>
      <c r="J1145" s="5" t="s">
        <v>181</v>
      </c>
      <c r="K1145" s="5" t="s">
        <v>223</v>
      </c>
      <c r="L1145" s="5" t="n">
        <v>3</v>
      </c>
      <c r="M1145" s="5" t="n">
        <v>7</v>
      </c>
      <c r="N1145" s="5" t="n">
        <v>6</v>
      </c>
      <c r="O1145" s="5" t="n">
        <v>4</v>
      </c>
      <c r="P1145" s="5" t="n">
        <v>1</v>
      </c>
      <c r="Q1145" s="5" t="n">
        <v>-2</v>
      </c>
      <c r="R1145" s="5" t="n">
        <v>7</v>
      </c>
      <c r="S1145" s="5" t="n">
        <v>6</v>
      </c>
      <c r="T1145" s="5" t="s">
        <v>2879</v>
      </c>
      <c r="U1145" s="6"/>
      <c r="V1145" s="6"/>
      <c r="W1145" s="6"/>
      <c r="X1145" s="6"/>
      <c r="Y1145" s="7" t="str">
        <f aca="false">IF(COUNT(U1145:X1145)=4,(W1145-X1145)/2,"")</f>
        <v/>
      </c>
      <c r="Z1145" s="7" t="str">
        <f aca="false">IF(COUNT(U1145:X1145)=4,(U1145-V1145)/2,"")</f>
        <v/>
      </c>
      <c r="AA1145" s="7" t="str">
        <f aca="false">IF(COUNT(U1145:X1145)=4,MAX(1,MIN(10,ROUNDUP(5-Z1145,0))),"")</f>
        <v/>
      </c>
      <c r="AB1145" s="7" t="str">
        <f aca="false">IF(COUNT(U1145:X1145)=4,MAX(1,MIN(10,ROUNDUP(Y1145+5,0))),"")</f>
        <v/>
      </c>
      <c r="AC1145" s="6"/>
      <c r="AD1145" s="6"/>
    </row>
    <row r="1146" customFormat="false" ht="15" hidden="false" customHeight="true" outlineLevel="0" collapsed="false">
      <c r="A1146" s="5" t="n">
        <v>1145</v>
      </c>
      <c r="B1146" s="5" t="s">
        <v>2880</v>
      </c>
      <c r="C1146" s="5" t="s">
        <v>171</v>
      </c>
      <c r="D1146" s="5" t="s">
        <v>172</v>
      </c>
      <c r="E1146" s="5" t="n">
        <v>96</v>
      </c>
      <c r="F1146" s="5" t="s">
        <v>2881</v>
      </c>
      <c r="G1146" s="5" t="n">
        <v>4</v>
      </c>
      <c r="H1146" s="5" t="s">
        <v>53</v>
      </c>
      <c r="I1146" s="5" t="s">
        <v>81</v>
      </c>
      <c r="J1146" s="5" t="s">
        <v>174</v>
      </c>
      <c r="K1146" s="5" t="s">
        <v>175</v>
      </c>
      <c r="L1146" s="5" t="n">
        <v>7</v>
      </c>
      <c r="M1146" s="5" t="n">
        <v>1</v>
      </c>
      <c r="N1146" s="5" t="n">
        <v>3</v>
      </c>
      <c r="O1146" s="5" t="n">
        <v>8</v>
      </c>
      <c r="P1146" s="5" t="n">
        <v>-2.5</v>
      </c>
      <c r="Q1146" s="5" t="n">
        <v>3</v>
      </c>
      <c r="R1146" s="5" t="n">
        <v>2</v>
      </c>
      <c r="S1146" s="5" t="n">
        <v>3</v>
      </c>
      <c r="T1146" s="5" t="s">
        <v>2882</v>
      </c>
      <c r="U1146" s="6"/>
      <c r="V1146" s="6"/>
      <c r="W1146" s="6"/>
      <c r="X1146" s="6"/>
      <c r="Y1146" s="7" t="str">
        <f aca="false">IF(COUNT(U1146:X1146)=4,(W1146-X1146)/2,"")</f>
        <v/>
      </c>
      <c r="Z1146" s="7" t="str">
        <f aca="false">IF(COUNT(U1146:X1146)=4,(U1146-V1146)/2,"")</f>
        <v/>
      </c>
      <c r="AA1146" s="7" t="str">
        <f aca="false">IF(COUNT(U1146:X1146)=4,MAX(1,MIN(10,ROUNDUP(5-Z1146,0))),"")</f>
        <v/>
      </c>
      <c r="AB1146" s="7" t="str">
        <f aca="false">IF(COUNT(U1146:X1146)=4,MAX(1,MIN(10,ROUNDUP(Y1146+5,0))),"")</f>
        <v/>
      </c>
      <c r="AC1146" s="6"/>
      <c r="AD1146" s="6"/>
    </row>
    <row r="1147" customFormat="false" ht="15" hidden="false" customHeight="true" outlineLevel="0" collapsed="false">
      <c r="A1147" s="5" t="n">
        <v>1146</v>
      </c>
      <c r="B1147" s="5" t="s">
        <v>2883</v>
      </c>
      <c r="C1147" s="5" t="s">
        <v>171</v>
      </c>
      <c r="D1147" s="5" t="s">
        <v>172</v>
      </c>
      <c r="E1147" s="5" t="n">
        <v>96</v>
      </c>
      <c r="F1147" s="5" t="s">
        <v>2884</v>
      </c>
      <c r="G1147" s="5" t="n">
        <v>4</v>
      </c>
      <c r="H1147" s="5" t="s">
        <v>53</v>
      </c>
      <c r="I1147" s="5" t="s">
        <v>54</v>
      </c>
      <c r="J1147" s="5" t="s">
        <v>181</v>
      </c>
      <c r="K1147" s="5" t="s">
        <v>179</v>
      </c>
      <c r="L1147" s="5" t="n">
        <v>2</v>
      </c>
      <c r="M1147" s="5" t="n">
        <v>6</v>
      </c>
      <c r="N1147" s="5" t="n">
        <v>2</v>
      </c>
      <c r="O1147" s="5" t="n">
        <v>6</v>
      </c>
      <c r="P1147" s="5" t="n">
        <v>-2</v>
      </c>
      <c r="Q1147" s="5" t="n">
        <v>-2</v>
      </c>
      <c r="R1147" s="5" t="n">
        <v>7</v>
      </c>
      <c r="S1147" s="5" t="n">
        <v>3</v>
      </c>
      <c r="T1147" s="5" t="s">
        <v>2885</v>
      </c>
      <c r="U1147" s="6"/>
      <c r="V1147" s="6"/>
      <c r="W1147" s="6"/>
      <c r="X1147" s="6"/>
      <c r="Y1147" s="7" t="str">
        <f aca="false">IF(COUNT(U1147:X1147)=4,(W1147-X1147)/2,"")</f>
        <v/>
      </c>
      <c r="Z1147" s="7" t="str">
        <f aca="false">IF(COUNT(U1147:X1147)=4,(U1147-V1147)/2,"")</f>
        <v/>
      </c>
      <c r="AA1147" s="7" t="str">
        <f aca="false">IF(COUNT(U1147:X1147)=4,MAX(1,MIN(10,ROUNDUP(5-Z1147,0))),"")</f>
        <v/>
      </c>
      <c r="AB1147" s="7" t="str">
        <f aca="false">IF(COUNT(U1147:X1147)=4,MAX(1,MIN(10,ROUNDUP(Y1147+5,0))),"")</f>
        <v/>
      </c>
      <c r="AC1147" s="6"/>
      <c r="AD1147" s="6"/>
    </row>
    <row r="1148" customFormat="false" ht="15" hidden="false" customHeight="true" outlineLevel="0" collapsed="false">
      <c r="A1148" s="5" t="n">
        <v>1147</v>
      </c>
      <c r="B1148" s="5" t="s">
        <v>2886</v>
      </c>
      <c r="C1148" s="5" t="s">
        <v>203</v>
      </c>
      <c r="D1148" s="5" t="s">
        <v>204</v>
      </c>
      <c r="E1148" s="5" t="n">
        <v>96</v>
      </c>
      <c r="F1148" s="5" t="s">
        <v>2887</v>
      </c>
      <c r="G1148" s="5" t="n">
        <v>4</v>
      </c>
      <c r="H1148" s="5" t="s">
        <v>53</v>
      </c>
      <c r="I1148" s="5" t="s">
        <v>54</v>
      </c>
      <c r="J1148" s="5" t="s">
        <v>117</v>
      </c>
      <c r="K1148" s="5" t="s">
        <v>117</v>
      </c>
      <c r="L1148" s="5" t="n">
        <v>6</v>
      </c>
      <c r="M1148" s="5" t="n">
        <v>1</v>
      </c>
      <c r="N1148" s="5" t="n">
        <v>2</v>
      </c>
      <c r="O1148" s="5" t="n">
        <v>7</v>
      </c>
      <c r="P1148" s="5" t="n">
        <v>-2.5</v>
      </c>
      <c r="Q1148" s="5" t="n">
        <v>2.5</v>
      </c>
      <c r="R1148" s="5" t="n">
        <v>3</v>
      </c>
      <c r="S1148" s="5" t="n">
        <v>3</v>
      </c>
      <c r="T1148" s="5" t="s">
        <v>1685</v>
      </c>
      <c r="U1148" s="6"/>
      <c r="V1148" s="6"/>
      <c r="W1148" s="6"/>
      <c r="X1148" s="6"/>
      <c r="Y1148" s="7" t="str">
        <f aca="false">IF(COUNT(U1148:X1148)=4,(W1148-X1148)/2,"")</f>
        <v/>
      </c>
      <c r="Z1148" s="7" t="str">
        <f aca="false">IF(COUNT(U1148:X1148)=4,(U1148-V1148)/2,"")</f>
        <v/>
      </c>
      <c r="AA1148" s="7" t="str">
        <f aca="false">IF(COUNT(U1148:X1148)=4,MAX(1,MIN(10,ROUNDUP(5-Z1148,0))),"")</f>
        <v/>
      </c>
      <c r="AB1148" s="7" t="str">
        <f aca="false">IF(COUNT(U1148:X1148)=4,MAX(1,MIN(10,ROUNDUP(Y1148+5,0))),"")</f>
        <v/>
      </c>
      <c r="AC1148" s="6"/>
      <c r="AD1148" s="6"/>
    </row>
    <row r="1149" customFormat="false" ht="15" hidden="false" customHeight="true" outlineLevel="0" collapsed="false">
      <c r="A1149" s="5" t="n">
        <v>1148</v>
      </c>
      <c r="B1149" s="5" t="s">
        <v>2888</v>
      </c>
      <c r="C1149" s="5" t="s">
        <v>171</v>
      </c>
      <c r="D1149" s="5" t="s">
        <v>172</v>
      </c>
      <c r="E1149" s="5" t="n">
        <v>96</v>
      </c>
      <c r="F1149" s="5" t="s">
        <v>2889</v>
      </c>
      <c r="G1149" s="5" t="n">
        <v>4</v>
      </c>
      <c r="H1149" s="5" t="s">
        <v>53</v>
      </c>
      <c r="I1149" s="5" t="s">
        <v>81</v>
      </c>
      <c r="J1149" s="5" t="s">
        <v>174</v>
      </c>
      <c r="K1149" s="5" t="s">
        <v>175</v>
      </c>
      <c r="L1149" s="5" t="n">
        <v>7</v>
      </c>
      <c r="M1149" s="5" t="n">
        <v>1</v>
      </c>
      <c r="N1149" s="5" t="n">
        <v>6</v>
      </c>
      <c r="O1149" s="5" t="n">
        <v>5</v>
      </c>
      <c r="P1149" s="5" t="n">
        <v>0.5</v>
      </c>
      <c r="Q1149" s="5" t="n">
        <v>3</v>
      </c>
      <c r="R1149" s="5" t="n">
        <v>2</v>
      </c>
      <c r="S1149" s="5" t="n">
        <v>6</v>
      </c>
      <c r="T1149" s="5" t="s">
        <v>1241</v>
      </c>
      <c r="U1149" s="6"/>
      <c r="V1149" s="6"/>
      <c r="W1149" s="6"/>
      <c r="X1149" s="6"/>
      <c r="Y1149" s="7" t="str">
        <f aca="false">IF(COUNT(U1149:X1149)=4,(W1149-X1149)/2,"")</f>
        <v/>
      </c>
      <c r="Z1149" s="7" t="str">
        <f aca="false">IF(COUNT(U1149:X1149)=4,(U1149-V1149)/2,"")</f>
        <v/>
      </c>
      <c r="AA1149" s="7" t="str">
        <f aca="false">IF(COUNT(U1149:X1149)=4,MAX(1,MIN(10,ROUNDUP(5-Z1149,0))),"")</f>
        <v/>
      </c>
      <c r="AB1149" s="7" t="str">
        <f aca="false">IF(COUNT(U1149:X1149)=4,MAX(1,MIN(10,ROUNDUP(Y1149+5,0))),"")</f>
        <v/>
      </c>
      <c r="AC1149" s="6"/>
      <c r="AD1149" s="6"/>
    </row>
    <row r="1150" customFormat="false" ht="15" hidden="false" customHeight="true" outlineLevel="0" collapsed="false">
      <c r="A1150" s="5" t="n">
        <v>1149</v>
      </c>
      <c r="B1150" s="5" t="s">
        <v>2890</v>
      </c>
      <c r="C1150" s="5" t="s">
        <v>203</v>
      </c>
      <c r="D1150" s="5" t="s">
        <v>204</v>
      </c>
      <c r="E1150" s="5" t="n">
        <v>96</v>
      </c>
      <c r="F1150" s="5" t="s">
        <v>2890</v>
      </c>
      <c r="G1150" s="5" t="n">
        <v>4</v>
      </c>
      <c r="H1150" s="5" t="s">
        <v>53</v>
      </c>
      <c r="I1150" s="5" t="s">
        <v>54</v>
      </c>
      <c r="J1150" s="5" t="s">
        <v>117</v>
      </c>
      <c r="K1150" s="5" t="s">
        <v>117</v>
      </c>
      <c r="L1150" s="5" t="n">
        <v>4</v>
      </c>
      <c r="M1150" s="5" t="n">
        <v>1</v>
      </c>
      <c r="N1150" s="5" t="n">
        <v>2</v>
      </c>
      <c r="O1150" s="5" t="n">
        <v>7</v>
      </c>
      <c r="P1150" s="5" t="n">
        <v>-2.5</v>
      </c>
      <c r="Q1150" s="5" t="n">
        <v>1.5</v>
      </c>
      <c r="R1150" s="5" t="n">
        <v>4</v>
      </c>
      <c r="S1150" s="5" t="n">
        <v>3</v>
      </c>
      <c r="T1150" s="5" t="s">
        <v>2891</v>
      </c>
      <c r="U1150" s="6"/>
      <c r="V1150" s="6"/>
      <c r="W1150" s="6"/>
      <c r="X1150" s="6"/>
      <c r="Y1150" s="7" t="str">
        <f aca="false">IF(COUNT(U1150:X1150)=4,(W1150-X1150)/2,"")</f>
        <v/>
      </c>
      <c r="Z1150" s="7" t="str">
        <f aca="false">IF(COUNT(U1150:X1150)=4,(U1150-V1150)/2,"")</f>
        <v/>
      </c>
      <c r="AA1150" s="7" t="str">
        <f aca="false">IF(COUNT(U1150:X1150)=4,MAX(1,MIN(10,ROUNDUP(5-Z1150,0))),"")</f>
        <v/>
      </c>
      <c r="AB1150" s="7" t="str">
        <f aca="false">IF(COUNT(U1150:X1150)=4,MAX(1,MIN(10,ROUNDUP(Y1150+5,0))),"")</f>
        <v/>
      </c>
      <c r="AC1150" s="6"/>
      <c r="AD1150" s="6"/>
    </row>
    <row r="1151" customFormat="false" ht="15" hidden="false" customHeight="true" outlineLevel="0" collapsed="false">
      <c r="A1151" s="5" t="n">
        <v>1150</v>
      </c>
      <c r="B1151" s="5" t="s">
        <v>2892</v>
      </c>
      <c r="C1151" s="5" t="s">
        <v>171</v>
      </c>
      <c r="D1151" s="5" t="s">
        <v>172</v>
      </c>
      <c r="E1151" s="5" t="n">
        <v>96</v>
      </c>
      <c r="F1151" s="5" t="s">
        <v>2893</v>
      </c>
      <c r="G1151" s="5" t="n">
        <v>4</v>
      </c>
      <c r="H1151" s="5" t="s">
        <v>53</v>
      </c>
      <c r="I1151" s="5" t="s">
        <v>54</v>
      </c>
      <c r="J1151" s="5" t="s">
        <v>181</v>
      </c>
      <c r="K1151" s="5" t="s">
        <v>1412</v>
      </c>
      <c r="L1151" s="5" t="n">
        <v>5</v>
      </c>
      <c r="M1151" s="5" t="n">
        <v>1</v>
      </c>
      <c r="N1151" s="5" t="n">
        <v>8</v>
      </c>
      <c r="O1151" s="5" t="n">
        <v>2</v>
      </c>
      <c r="P1151" s="5" t="n">
        <v>3</v>
      </c>
      <c r="Q1151" s="5" t="n">
        <v>2</v>
      </c>
      <c r="R1151" s="5" t="n">
        <v>3</v>
      </c>
      <c r="S1151" s="5" t="n">
        <v>8</v>
      </c>
      <c r="T1151" s="5" t="s">
        <v>2894</v>
      </c>
      <c r="U1151" s="6"/>
      <c r="V1151" s="6"/>
      <c r="W1151" s="6"/>
      <c r="X1151" s="6"/>
      <c r="Y1151" s="7" t="str">
        <f aca="false">IF(COUNT(U1151:X1151)=4,(W1151-X1151)/2,"")</f>
        <v/>
      </c>
      <c r="Z1151" s="7" t="str">
        <f aca="false">IF(COUNT(U1151:X1151)=4,(U1151-V1151)/2,"")</f>
        <v/>
      </c>
      <c r="AA1151" s="7" t="str">
        <f aca="false">IF(COUNT(U1151:X1151)=4,MAX(1,MIN(10,ROUNDUP(5-Z1151,0))),"")</f>
        <v/>
      </c>
      <c r="AB1151" s="7" t="str">
        <f aca="false">IF(COUNT(U1151:X1151)=4,MAX(1,MIN(10,ROUNDUP(Y1151+5,0))),"")</f>
        <v/>
      </c>
      <c r="AC1151" s="6"/>
      <c r="AD1151" s="6"/>
    </row>
    <row r="1152" customFormat="false" ht="15" hidden="false" customHeight="true" outlineLevel="0" collapsed="false">
      <c r="A1152" s="5" t="n">
        <v>1151</v>
      </c>
      <c r="B1152" s="5" t="s">
        <v>2895</v>
      </c>
      <c r="C1152" s="5" t="s">
        <v>145</v>
      </c>
      <c r="D1152" s="5" t="s">
        <v>51</v>
      </c>
      <c r="E1152" s="5" t="n">
        <v>95</v>
      </c>
      <c r="F1152" s="5" t="s">
        <v>2896</v>
      </c>
      <c r="G1152" s="5" t="n">
        <v>4</v>
      </c>
      <c r="H1152" s="5" t="s">
        <v>53</v>
      </c>
      <c r="I1152" s="5" t="s">
        <v>54</v>
      </c>
      <c r="J1152" s="5" t="s">
        <v>55</v>
      </c>
      <c r="K1152" s="5" t="s">
        <v>55</v>
      </c>
      <c r="L1152" s="5" t="n">
        <v>4</v>
      </c>
      <c r="M1152" s="5" t="n">
        <v>3</v>
      </c>
      <c r="N1152" s="5" t="n">
        <v>6</v>
      </c>
      <c r="O1152" s="5" t="n">
        <v>4</v>
      </c>
      <c r="P1152" s="5" t="n">
        <v>1</v>
      </c>
      <c r="Q1152" s="5" t="n">
        <v>0.5</v>
      </c>
      <c r="R1152" s="5" t="n">
        <v>5</v>
      </c>
      <c r="S1152" s="5" t="n">
        <v>6</v>
      </c>
      <c r="T1152" s="5" t="s">
        <v>2897</v>
      </c>
      <c r="U1152" s="6"/>
      <c r="V1152" s="6"/>
      <c r="W1152" s="6"/>
      <c r="X1152" s="6"/>
      <c r="Y1152" s="7" t="str">
        <f aca="false">IF(COUNT(U1152:X1152)=4,(W1152-X1152)/2,"")</f>
        <v/>
      </c>
      <c r="Z1152" s="7" t="str">
        <f aca="false">IF(COUNT(U1152:X1152)=4,(U1152-V1152)/2,"")</f>
        <v/>
      </c>
      <c r="AA1152" s="7" t="str">
        <f aca="false">IF(COUNT(U1152:X1152)=4,MAX(1,MIN(10,ROUNDUP(5-Z1152,0))),"")</f>
        <v/>
      </c>
      <c r="AB1152" s="7" t="str">
        <f aca="false">IF(COUNT(U1152:X1152)=4,MAX(1,MIN(10,ROUNDUP(Y1152+5,0))),"")</f>
        <v/>
      </c>
      <c r="AC1152" s="6"/>
      <c r="AD1152" s="6"/>
    </row>
    <row r="1153" customFormat="false" ht="15" hidden="false" customHeight="true" outlineLevel="0" collapsed="false">
      <c r="A1153" s="5" t="n">
        <v>1152</v>
      </c>
      <c r="B1153" s="5" t="s">
        <v>2898</v>
      </c>
      <c r="C1153" s="5" t="s">
        <v>171</v>
      </c>
      <c r="D1153" s="5" t="s">
        <v>172</v>
      </c>
      <c r="E1153" s="5" t="n">
        <v>95</v>
      </c>
      <c r="F1153" s="5" t="s">
        <v>2899</v>
      </c>
      <c r="G1153" s="5" t="n">
        <v>4</v>
      </c>
      <c r="H1153" s="5" t="s">
        <v>53</v>
      </c>
      <c r="I1153" s="5" t="s">
        <v>54</v>
      </c>
      <c r="J1153" s="5" t="s">
        <v>181</v>
      </c>
      <c r="K1153" s="5" t="s">
        <v>333</v>
      </c>
      <c r="L1153" s="5" t="n">
        <v>2</v>
      </c>
      <c r="M1153" s="5" t="n">
        <v>4</v>
      </c>
      <c r="N1153" s="5" t="n">
        <v>9</v>
      </c>
      <c r="O1153" s="5" t="n">
        <v>2</v>
      </c>
      <c r="P1153" s="5" t="n">
        <v>3.5</v>
      </c>
      <c r="Q1153" s="5" t="n">
        <v>-1</v>
      </c>
      <c r="R1153" s="5" t="n">
        <v>6</v>
      </c>
      <c r="S1153" s="5" t="n">
        <v>9</v>
      </c>
      <c r="T1153" s="5" t="s">
        <v>2900</v>
      </c>
      <c r="U1153" s="6"/>
      <c r="V1153" s="6"/>
      <c r="W1153" s="6"/>
      <c r="X1153" s="6"/>
      <c r="Y1153" s="7" t="str">
        <f aca="false">IF(COUNT(U1153:X1153)=4,(W1153-X1153)/2,"")</f>
        <v/>
      </c>
      <c r="Z1153" s="7" t="str">
        <f aca="false">IF(COUNT(U1153:X1153)=4,(U1153-V1153)/2,"")</f>
        <v/>
      </c>
      <c r="AA1153" s="7" t="str">
        <f aca="false">IF(COUNT(U1153:X1153)=4,MAX(1,MIN(10,ROUNDUP(5-Z1153,0))),"")</f>
        <v/>
      </c>
      <c r="AB1153" s="7" t="str">
        <f aca="false">IF(COUNT(U1153:X1153)=4,MAX(1,MIN(10,ROUNDUP(Y1153+5,0))),"")</f>
        <v/>
      </c>
      <c r="AC1153" s="6"/>
      <c r="AD1153" s="6"/>
    </row>
    <row r="1154" customFormat="false" ht="15" hidden="false" customHeight="true" outlineLevel="0" collapsed="false">
      <c r="A1154" s="5" t="n">
        <v>1153</v>
      </c>
      <c r="B1154" s="5" t="s">
        <v>2901</v>
      </c>
      <c r="C1154" s="5" t="s">
        <v>171</v>
      </c>
      <c r="D1154" s="5" t="s">
        <v>172</v>
      </c>
      <c r="E1154" s="5" t="n">
        <v>95</v>
      </c>
      <c r="F1154" s="5" t="s">
        <v>2902</v>
      </c>
      <c r="G1154" s="5" t="n">
        <v>4</v>
      </c>
      <c r="H1154" s="5" t="s">
        <v>53</v>
      </c>
      <c r="I1154" s="5" t="s">
        <v>54</v>
      </c>
      <c r="J1154" s="5" t="s">
        <v>181</v>
      </c>
      <c r="K1154" s="5" t="s">
        <v>443</v>
      </c>
      <c r="L1154" s="5" t="n">
        <v>5</v>
      </c>
      <c r="M1154" s="5" t="n">
        <v>3</v>
      </c>
      <c r="N1154" s="5" t="n">
        <v>4</v>
      </c>
      <c r="O1154" s="5" t="n">
        <v>8</v>
      </c>
      <c r="P1154" s="5" t="n">
        <v>-2</v>
      </c>
      <c r="Q1154" s="5" t="n">
        <v>1</v>
      </c>
      <c r="R1154" s="5" t="n">
        <v>4</v>
      </c>
      <c r="S1154" s="5" t="n">
        <v>3</v>
      </c>
      <c r="T1154" s="5" t="s">
        <v>802</v>
      </c>
      <c r="U1154" s="6"/>
      <c r="V1154" s="6"/>
      <c r="W1154" s="6"/>
      <c r="X1154" s="6"/>
      <c r="Y1154" s="7" t="str">
        <f aca="false">IF(COUNT(U1154:X1154)=4,(W1154-X1154)/2,"")</f>
        <v/>
      </c>
      <c r="Z1154" s="7" t="str">
        <f aca="false">IF(COUNT(U1154:X1154)=4,(U1154-V1154)/2,"")</f>
        <v/>
      </c>
      <c r="AA1154" s="7" t="str">
        <f aca="false">IF(COUNT(U1154:X1154)=4,MAX(1,MIN(10,ROUNDUP(5-Z1154,0))),"")</f>
        <v/>
      </c>
      <c r="AB1154" s="7" t="str">
        <f aca="false">IF(COUNT(U1154:X1154)=4,MAX(1,MIN(10,ROUNDUP(Y1154+5,0))),"")</f>
        <v/>
      </c>
      <c r="AC1154" s="6"/>
      <c r="AD1154" s="6"/>
    </row>
    <row r="1155" customFormat="false" ht="15" hidden="false" customHeight="true" outlineLevel="0" collapsed="false">
      <c r="A1155" s="5" t="n">
        <v>1154</v>
      </c>
      <c r="B1155" s="5" t="s">
        <v>443</v>
      </c>
      <c r="C1155" s="5" t="s">
        <v>171</v>
      </c>
      <c r="D1155" s="5" t="s">
        <v>172</v>
      </c>
      <c r="E1155" s="5" t="n">
        <v>95</v>
      </c>
      <c r="F1155" s="5" t="s">
        <v>2903</v>
      </c>
      <c r="G1155" s="5" t="n">
        <v>4</v>
      </c>
      <c r="H1155" s="5" t="s">
        <v>53</v>
      </c>
      <c r="I1155" s="5" t="s">
        <v>54</v>
      </c>
      <c r="J1155" s="5" t="s">
        <v>181</v>
      </c>
      <c r="K1155" s="5" t="s">
        <v>443</v>
      </c>
      <c r="L1155" s="5" t="n">
        <v>5</v>
      </c>
      <c r="M1155" s="5" t="n">
        <v>3</v>
      </c>
      <c r="N1155" s="5" t="n">
        <v>4</v>
      </c>
      <c r="O1155" s="5" t="n">
        <v>8</v>
      </c>
      <c r="P1155" s="5" t="n">
        <v>-2</v>
      </c>
      <c r="Q1155" s="5" t="n">
        <v>1</v>
      </c>
      <c r="R1155" s="5" t="n">
        <v>4</v>
      </c>
      <c r="S1155" s="5" t="n">
        <v>3</v>
      </c>
      <c r="T1155" s="5" t="s">
        <v>2904</v>
      </c>
      <c r="U1155" s="6"/>
      <c r="V1155" s="6"/>
      <c r="W1155" s="6"/>
      <c r="X1155" s="6"/>
      <c r="Y1155" s="7" t="str">
        <f aca="false">IF(COUNT(U1155:X1155)=4,(W1155-X1155)/2,"")</f>
        <v/>
      </c>
      <c r="Z1155" s="7" t="str">
        <f aca="false">IF(COUNT(U1155:X1155)=4,(U1155-V1155)/2,"")</f>
        <v/>
      </c>
      <c r="AA1155" s="7" t="str">
        <f aca="false">IF(COUNT(U1155:X1155)=4,MAX(1,MIN(10,ROUNDUP(5-Z1155,0))),"")</f>
        <v/>
      </c>
      <c r="AB1155" s="7" t="str">
        <f aca="false">IF(COUNT(U1155:X1155)=4,MAX(1,MIN(10,ROUNDUP(Y1155+5,0))),"")</f>
        <v/>
      </c>
      <c r="AC1155" s="6"/>
      <c r="AD1155" s="6"/>
    </row>
    <row r="1156" customFormat="false" ht="15" hidden="false" customHeight="true" outlineLevel="0" collapsed="false">
      <c r="A1156" s="5" t="n">
        <v>1155</v>
      </c>
      <c r="B1156" s="5" t="s">
        <v>2905</v>
      </c>
      <c r="C1156" s="5" t="s">
        <v>171</v>
      </c>
      <c r="D1156" s="5" t="s">
        <v>172</v>
      </c>
      <c r="E1156" s="5" t="n">
        <v>95</v>
      </c>
      <c r="F1156" s="5" t="s">
        <v>2906</v>
      </c>
      <c r="G1156" s="5" t="n">
        <v>4</v>
      </c>
      <c r="H1156" s="5" t="s">
        <v>53</v>
      </c>
      <c r="I1156" s="5" t="s">
        <v>54</v>
      </c>
      <c r="J1156" s="5" t="s">
        <v>181</v>
      </c>
      <c r="K1156" s="5" t="s">
        <v>413</v>
      </c>
      <c r="L1156" s="5" t="n">
        <v>5</v>
      </c>
      <c r="M1156" s="5" t="n">
        <v>3</v>
      </c>
      <c r="N1156" s="5" t="n">
        <v>3</v>
      </c>
      <c r="O1156" s="5" t="n">
        <v>8</v>
      </c>
      <c r="P1156" s="5" t="n">
        <v>-2.5</v>
      </c>
      <c r="Q1156" s="5" t="n">
        <v>1</v>
      </c>
      <c r="R1156" s="5" t="n">
        <v>4</v>
      </c>
      <c r="S1156" s="5" t="n">
        <v>3</v>
      </c>
      <c r="T1156" s="5" t="s">
        <v>1235</v>
      </c>
      <c r="U1156" s="6"/>
      <c r="V1156" s="6"/>
      <c r="W1156" s="6"/>
      <c r="X1156" s="6"/>
      <c r="Y1156" s="7" t="str">
        <f aca="false">IF(COUNT(U1156:X1156)=4,(W1156-X1156)/2,"")</f>
        <v/>
      </c>
      <c r="Z1156" s="7" t="str">
        <f aca="false">IF(COUNT(U1156:X1156)=4,(U1156-V1156)/2,"")</f>
        <v/>
      </c>
      <c r="AA1156" s="7" t="str">
        <f aca="false">IF(COUNT(U1156:X1156)=4,MAX(1,MIN(10,ROUNDUP(5-Z1156,0))),"")</f>
        <v/>
      </c>
      <c r="AB1156" s="7" t="str">
        <f aca="false">IF(COUNT(U1156:X1156)=4,MAX(1,MIN(10,ROUNDUP(Y1156+5,0))),"")</f>
        <v/>
      </c>
      <c r="AC1156" s="6"/>
      <c r="AD1156" s="6"/>
    </row>
    <row r="1157" customFormat="false" ht="15" hidden="false" customHeight="true" outlineLevel="0" collapsed="false">
      <c r="A1157" s="5" t="n">
        <v>1156</v>
      </c>
      <c r="B1157" s="5" t="s">
        <v>2907</v>
      </c>
      <c r="C1157" s="5" t="s">
        <v>145</v>
      </c>
      <c r="D1157" s="5" t="s">
        <v>51</v>
      </c>
      <c r="E1157" s="5" t="n">
        <v>95</v>
      </c>
      <c r="F1157" s="5" t="s">
        <v>2908</v>
      </c>
      <c r="G1157" s="5" t="n">
        <v>4</v>
      </c>
      <c r="H1157" s="5" t="s">
        <v>53</v>
      </c>
      <c r="I1157" s="5" t="s">
        <v>54</v>
      </c>
      <c r="J1157" s="5" t="s">
        <v>55</v>
      </c>
      <c r="K1157" s="5" t="s">
        <v>55</v>
      </c>
      <c r="L1157" s="5" t="n">
        <v>5</v>
      </c>
      <c r="M1157" s="5" t="n">
        <v>2</v>
      </c>
      <c r="N1157" s="5" t="n">
        <v>4</v>
      </c>
      <c r="O1157" s="5" t="n">
        <v>8</v>
      </c>
      <c r="P1157" s="5" t="n">
        <v>-2</v>
      </c>
      <c r="Q1157" s="5" t="n">
        <v>1.5</v>
      </c>
      <c r="R1157" s="5" t="n">
        <v>4</v>
      </c>
      <c r="S1157" s="5" t="n">
        <v>3</v>
      </c>
      <c r="T1157" s="5" t="s">
        <v>889</v>
      </c>
      <c r="U1157" s="6"/>
      <c r="V1157" s="6"/>
      <c r="W1157" s="6"/>
      <c r="X1157" s="6"/>
      <c r="Y1157" s="7" t="str">
        <f aca="false">IF(COUNT(U1157:X1157)=4,(W1157-X1157)/2,"")</f>
        <v/>
      </c>
      <c r="Z1157" s="7" t="str">
        <f aca="false">IF(COUNT(U1157:X1157)=4,(U1157-V1157)/2,"")</f>
        <v/>
      </c>
      <c r="AA1157" s="7" t="str">
        <f aca="false">IF(COUNT(U1157:X1157)=4,MAX(1,MIN(10,ROUNDUP(5-Z1157,0))),"")</f>
        <v/>
      </c>
      <c r="AB1157" s="7" t="str">
        <f aca="false">IF(COUNT(U1157:X1157)=4,MAX(1,MIN(10,ROUNDUP(Y1157+5,0))),"")</f>
        <v/>
      </c>
      <c r="AC1157" s="6"/>
      <c r="AD1157" s="6"/>
    </row>
    <row r="1158" customFormat="false" ht="15" hidden="false" customHeight="true" outlineLevel="0" collapsed="false">
      <c r="A1158" s="5" t="n">
        <v>1157</v>
      </c>
      <c r="B1158" s="5" t="s">
        <v>2909</v>
      </c>
      <c r="C1158" s="5" t="s">
        <v>171</v>
      </c>
      <c r="D1158" s="5" t="s">
        <v>172</v>
      </c>
      <c r="E1158" s="5" t="n">
        <v>95</v>
      </c>
      <c r="F1158" s="5" t="s">
        <v>2910</v>
      </c>
      <c r="G1158" s="5" t="n">
        <v>4</v>
      </c>
      <c r="H1158" s="5" t="s">
        <v>53</v>
      </c>
      <c r="I1158" s="5" t="s">
        <v>54</v>
      </c>
      <c r="J1158" s="5" t="s">
        <v>181</v>
      </c>
      <c r="K1158" s="5" t="s">
        <v>413</v>
      </c>
      <c r="L1158" s="5" t="n">
        <v>5</v>
      </c>
      <c r="M1158" s="5" t="n">
        <v>3</v>
      </c>
      <c r="N1158" s="5" t="n">
        <v>3</v>
      </c>
      <c r="O1158" s="5" t="n">
        <v>8</v>
      </c>
      <c r="P1158" s="5" t="n">
        <v>-2.5</v>
      </c>
      <c r="Q1158" s="5" t="n">
        <v>1</v>
      </c>
      <c r="R1158" s="5" t="n">
        <v>4</v>
      </c>
      <c r="S1158" s="5" t="n">
        <v>3</v>
      </c>
      <c r="T1158" s="5" t="s">
        <v>2911</v>
      </c>
      <c r="U1158" s="6"/>
      <c r="V1158" s="6"/>
      <c r="W1158" s="6"/>
      <c r="X1158" s="6"/>
      <c r="Y1158" s="7" t="str">
        <f aca="false">IF(COUNT(U1158:X1158)=4,(W1158-X1158)/2,"")</f>
        <v/>
      </c>
      <c r="Z1158" s="7" t="str">
        <f aca="false">IF(COUNT(U1158:X1158)=4,(U1158-V1158)/2,"")</f>
        <v/>
      </c>
      <c r="AA1158" s="7" t="str">
        <f aca="false">IF(COUNT(U1158:X1158)=4,MAX(1,MIN(10,ROUNDUP(5-Z1158,0))),"")</f>
        <v/>
      </c>
      <c r="AB1158" s="7" t="str">
        <f aca="false">IF(COUNT(U1158:X1158)=4,MAX(1,MIN(10,ROUNDUP(Y1158+5,0))),"")</f>
        <v/>
      </c>
      <c r="AC1158" s="6"/>
      <c r="AD1158" s="6"/>
    </row>
    <row r="1159" customFormat="false" ht="15" hidden="false" customHeight="true" outlineLevel="0" collapsed="false">
      <c r="A1159" s="5" t="n">
        <v>1158</v>
      </c>
      <c r="B1159" s="5" t="s">
        <v>2912</v>
      </c>
      <c r="C1159" s="5" t="s">
        <v>171</v>
      </c>
      <c r="D1159" s="5" t="s">
        <v>172</v>
      </c>
      <c r="E1159" s="5" t="n">
        <v>95</v>
      </c>
      <c r="F1159" s="5" t="s">
        <v>2913</v>
      </c>
      <c r="G1159" s="5" t="n">
        <v>4</v>
      </c>
      <c r="H1159" s="5" t="s">
        <v>53</v>
      </c>
      <c r="I1159" s="5" t="s">
        <v>54</v>
      </c>
      <c r="J1159" s="5" t="s">
        <v>181</v>
      </c>
      <c r="K1159" s="5" t="s">
        <v>235</v>
      </c>
      <c r="L1159" s="5" t="n">
        <v>4</v>
      </c>
      <c r="M1159" s="5" t="n">
        <v>4</v>
      </c>
      <c r="N1159" s="5" t="n">
        <v>7</v>
      </c>
      <c r="O1159" s="5" t="n">
        <v>4</v>
      </c>
      <c r="P1159" s="5" t="n">
        <v>1.5</v>
      </c>
      <c r="Q1159" s="5" t="n">
        <v>0</v>
      </c>
      <c r="R1159" s="5" t="n">
        <v>5</v>
      </c>
      <c r="S1159" s="5" t="n">
        <v>7</v>
      </c>
      <c r="T1159" s="5" t="s">
        <v>2914</v>
      </c>
      <c r="U1159" s="6"/>
      <c r="V1159" s="6"/>
      <c r="W1159" s="6"/>
      <c r="X1159" s="6"/>
      <c r="Y1159" s="7" t="str">
        <f aca="false">IF(COUNT(U1159:X1159)=4,(W1159-X1159)/2,"")</f>
        <v/>
      </c>
      <c r="Z1159" s="7" t="str">
        <f aca="false">IF(COUNT(U1159:X1159)=4,(U1159-V1159)/2,"")</f>
        <v/>
      </c>
      <c r="AA1159" s="7" t="str">
        <f aca="false">IF(COUNT(U1159:X1159)=4,MAX(1,MIN(10,ROUNDUP(5-Z1159,0))),"")</f>
        <v/>
      </c>
      <c r="AB1159" s="7" t="str">
        <f aca="false">IF(COUNT(U1159:X1159)=4,MAX(1,MIN(10,ROUNDUP(Y1159+5,0))),"")</f>
        <v/>
      </c>
      <c r="AC1159" s="6"/>
      <c r="AD1159" s="6"/>
    </row>
    <row r="1160" customFormat="false" ht="15" hidden="false" customHeight="true" outlineLevel="0" collapsed="false">
      <c r="A1160" s="5" t="n">
        <v>1159</v>
      </c>
      <c r="B1160" s="5" t="s">
        <v>2915</v>
      </c>
      <c r="C1160" s="5" t="s">
        <v>171</v>
      </c>
      <c r="D1160" s="5" t="s">
        <v>172</v>
      </c>
      <c r="E1160" s="5" t="n">
        <v>95</v>
      </c>
      <c r="F1160" s="5" t="s">
        <v>2916</v>
      </c>
      <c r="G1160" s="5" t="n">
        <v>4</v>
      </c>
      <c r="H1160" s="5" t="s">
        <v>53</v>
      </c>
      <c r="I1160" s="5" t="s">
        <v>81</v>
      </c>
      <c r="J1160" s="5" t="s">
        <v>174</v>
      </c>
      <c r="K1160" s="5" t="s">
        <v>175</v>
      </c>
      <c r="L1160" s="5" t="n">
        <v>7</v>
      </c>
      <c r="M1160" s="5" t="n">
        <v>1</v>
      </c>
      <c r="N1160" s="5" t="n">
        <v>3</v>
      </c>
      <c r="O1160" s="5" t="n">
        <v>8</v>
      </c>
      <c r="P1160" s="5" t="n">
        <v>-2.5</v>
      </c>
      <c r="Q1160" s="5" t="n">
        <v>3</v>
      </c>
      <c r="R1160" s="5" t="n">
        <v>2</v>
      </c>
      <c r="S1160" s="5" t="n">
        <v>3</v>
      </c>
      <c r="T1160" s="5" t="s">
        <v>2917</v>
      </c>
      <c r="U1160" s="6"/>
      <c r="V1160" s="6"/>
      <c r="W1160" s="6"/>
      <c r="X1160" s="6"/>
      <c r="Y1160" s="7" t="str">
        <f aca="false">IF(COUNT(U1160:X1160)=4,(W1160-X1160)/2,"")</f>
        <v/>
      </c>
      <c r="Z1160" s="7" t="str">
        <f aca="false">IF(COUNT(U1160:X1160)=4,(U1160-V1160)/2,"")</f>
        <v/>
      </c>
      <c r="AA1160" s="7" t="str">
        <f aca="false">IF(COUNT(U1160:X1160)=4,MAX(1,MIN(10,ROUNDUP(5-Z1160,0))),"")</f>
        <v/>
      </c>
      <c r="AB1160" s="7" t="str">
        <f aca="false">IF(COUNT(U1160:X1160)=4,MAX(1,MIN(10,ROUNDUP(Y1160+5,0))),"")</f>
        <v/>
      </c>
      <c r="AC1160" s="6"/>
      <c r="AD1160" s="6"/>
    </row>
    <row r="1161" customFormat="false" ht="15" hidden="false" customHeight="true" outlineLevel="0" collapsed="false">
      <c r="A1161" s="5" t="n">
        <v>1160</v>
      </c>
      <c r="B1161" s="5" t="s">
        <v>2918</v>
      </c>
      <c r="C1161" s="5" t="s">
        <v>171</v>
      </c>
      <c r="D1161" s="5" t="s">
        <v>172</v>
      </c>
      <c r="E1161" s="5" t="n">
        <v>95</v>
      </c>
      <c r="F1161" s="5" t="s">
        <v>2919</v>
      </c>
      <c r="G1161" s="5" t="n">
        <v>4</v>
      </c>
      <c r="H1161" s="5" t="s">
        <v>53</v>
      </c>
      <c r="I1161" s="5" t="s">
        <v>81</v>
      </c>
      <c r="J1161" s="5" t="s">
        <v>174</v>
      </c>
      <c r="K1161" s="5" t="s">
        <v>175</v>
      </c>
      <c r="L1161" s="5" t="n">
        <v>7</v>
      </c>
      <c r="M1161" s="5" t="n">
        <v>1</v>
      </c>
      <c r="N1161" s="5" t="n">
        <v>6</v>
      </c>
      <c r="O1161" s="5" t="n">
        <v>5</v>
      </c>
      <c r="P1161" s="5" t="n">
        <v>0.5</v>
      </c>
      <c r="Q1161" s="5" t="n">
        <v>3</v>
      </c>
      <c r="R1161" s="5" t="n">
        <v>2</v>
      </c>
      <c r="S1161" s="5" t="n">
        <v>6</v>
      </c>
      <c r="T1161" s="5" t="s">
        <v>2920</v>
      </c>
      <c r="U1161" s="6"/>
      <c r="V1161" s="6"/>
      <c r="W1161" s="6"/>
      <c r="X1161" s="6"/>
      <c r="Y1161" s="7" t="str">
        <f aca="false">IF(COUNT(U1161:X1161)=4,(W1161-X1161)/2,"")</f>
        <v/>
      </c>
      <c r="Z1161" s="7" t="str">
        <f aca="false">IF(COUNT(U1161:X1161)=4,(U1161-V1161)/2,"")</f>
        <v/>
      </c>
      <c r="AA1161" s="7" t="str">
        <f aca="false">IF(COUNT(U1161:X1161)=4,MAX(1,MIN(10,ROUNDUP(5-Z1161,0))),"")</f>
        <v/>
      </c>
      <c r="AB1161" s="7" t="str">
        <f aca="false">IF(COUNT(U1161:X1161)=4,MAX(1,MIN(10,ROUNDUP(Y1161+5,0))),"")</f>
        <v/>
      </c>
      <c r="AC1161" s="6"/>
      <c r="AD1161" s="6"/>
    </row>
    <row r="1162" customFormat="false" ht="15" hidden="false" customHeight="true" outlineLevel="0" collapsed="false">
      <c r="A1162" s="5" t="n">
        <v>1161</v>
      </c>
      <c r="B1162" s="5" t="s">
        <v>2921</v>
      </c>
      <c r="C1162" s="5" t="s">
        <v>171</v>
      </c>
      <c r="D1162" s="5" t="s">
        <v>172</v>
      </c>
      <c r="E1162" s="5" t="n">
        <v>95</v>
      </c>
      <c r="F1162" s="5" t="s">
        <v>2922</v>
      </c>
      <c r="G1162" s="5" t="n">
        <v>4</v>
      </c>
      <c r="H1162" s="5" t="s">
        <v>53</v>
      </c>
      <c r="I1162" s="5" t="s">
        <v>54</v>
      </c>
      <c r="J1162" s="5" t="s">
        <v>181</v>
      </c>
      <c r="K1162" s="5" t="s">
        <v>223</v>
      </c>
      <c r="L1162" s="5" t="n">
        <v>4</v>
      </c>
      <c r="M1162" s="5" t="n">
        <v>4</v>
      </c>
      <c r="N1162" s="5" t="n">
        <v>6</v>
      </c>
      <c r="O1162" s="5" t="n">
        <v>5</v>
      </c>
      <c r="P1162" s="5" t="n">
        <v>0.5</v>
      </c>
      <c r="Q1162" s="5" t="n">
        <v>0</v>
      </c>
      <c r="R1162" s="5" t="n">
        <v>5</v>
      </c>
      <c r="S1162" s="5" t="n">
        <v>6</v>
      </c>
      <c r="T1162" s="5" t="s">
        <v>1666</v>
      </c>
      <c r="U1162" s="6"/>
      <c r="V1162" s="6"/>
      <c r="W1162" s="6"/>
      <c r="X1162" s="6"/>
      <c r="Y1162" s="7" t="str">
        <f aca="false">IF(COUNT(U1162:X1162)=4,(W1162-X1162)/2,"")</f>
        <v/>
      </c>
      <c r="Z1162" s="7" t="str">
        <f aca="false">IF(COUNT(U1162:X1162)=4,(U1162-V1162)/2,"")</f>
        <v/>
      </c>
      <c r="AA1162" s="7" t="str">
        <f aca="false">IF(COUNT(U1162:X1162)=4,MAX(1,MIN(10,ROUNDUP(5-Z1162,0))),"")</f>
        <v/>
      </c>
      <c r="AB1162" s="7" t="str">
        <f aca="false">IF(COUNT(U1162:X1162)=4,MAX(1,MIN(10,ROUNDUP(Y1162+5,0))),"")</f>
        <v/>
      </c>
      <c r="AC1162" s="6"/>
      <c r="AD1162" s="6"/>
    </row>
    <row r="1163" customFormat="false" ht="15" hidden="false" customHeight="true" outlineLevel="0" collapsed="false">
      <c r="A1163" s="5" t="n">
        <v>1162</v>
      </c>
      <c r="B1163" s="5" t="s">
        <v>2923</v>
      </c>
      <c r="C1163" s="5" t="s">
        <v>203</v>
      </c>
      <c r="D1163" s="5" t="s">
        <v>204</v>
      </c>
      <c r="E1163" s="5" t="n">
        <v>95</v>
      </c>
      <c r="F1163" s="5" t="s">
        <v>2924</v>
      </c>
      <c r="G1163" s="5" t="n">
        <v>4</v>
      </c>
      <c r="H1163" s="5" t="s">
        <v>53</v>
      </c>
      <c r="I1163" s="5" t="s">
        <v>54</v>
      </c>
      <c r="J1163" s="5" t="s">
        <v>117</v>
      </c>
      <c r="K1163" s="5" t="s">
        <v>117</v>
      </c>
      <c r="L1163" s="5" t="n">
        <v>5</v>
      </c>
      <c r="M1163" s="5" t="n">
        <v>2</v>
      </c>
      <c r="N1163" s="5" t="n">
        <v>2</v>
      </c>
      <c r="O1163" s="5" t="n">
        <v>8</v>
      </c>
      <c r="P1163" s="5" t="n">
        <v>-3</v>
      </c>
      <c r="Q1163" s="5" t="n">
        <v>1.5</v>
      </c>
      <c r="R1163" s="5" t="n">
        <v>4</v>
      </c>
      <c r="S1163" s="5" t="n">
        <v>2</v>
      </c>
      <c r="T1163" s="5" t="s">
        <v>2925</v>
      </c>
      <c r="U1163" s="6"/>
      <c r="V1163" s="6"/>
      <c r="W1163" s="6"/>
      <c r="X1163" s="6"/>
      <c r="Y1163" s="7" t="str">
        <f aca="false">IF(COUNT(U1163:X1163)=4,(W1163-X1163)/2,"")</f>
        <v/>
      </c>
      <c r="Z1163" s="7" t="str">
        <f aca="false">IF(COUNT(U1163:X1163)=4,(U1163-V1163)/2,"")</f>
        <v/>
      </c>
      <c r="AA1163" s="7" t="str">
        <f aca="false">IF(COUNT(U1163:X1163)=4,MAX(1,MIN(10,ROUNDUP(5-Z1163,0))),"")</f>
        <v/>
      </c>
      <c r="AB1163" s="7" t="str">
        <f aca="false">IF(COUNT(U1163:X1163)=4,MAX(1,MIN(10,ROUNDUP(Y1163+5,0))),"")</f>
        <v/>
      </c>
      <c r="AC1163" s="6"/>
      <c r="AD1163" s="6"/>
    </row>
    <row r="1164" customFormat="false" ht="15" hidden="false" customHeight="true" outlineLevel="0" collapsed="false">
      <c r="A1164" s="5" t="n">
        <v>1163</v>
      </c>
      <c r="B1164" s="5" t="s">
        <v>2926</v>
      </c>
      <c r="C1164" s="5" t="s">
        <v>203</v>
      </c>
      <c r="D1164" s="5" t="s">
        <v>204</v>
      </c>
      <c r="E1164" s="5" t="n">
        <v>95</v>
      </c>
      <c r="F1164" s="5" t="s">
        <v>2926</v>
      </c>
      <c r="G1164" s="5" t="n">
        <v>4</v>
      </c>
      <c r="H1164" s="5" t="s">
        <v>53</v>
      </c>
      <c r="I1164" s="5" t="s">
        <v>54</v>
      </c>
      <c r="J1164" s="5" t="s">
        <v>117</v>
      </c>
      <c r="K1164" s="5" t="s">
        <v>117</v>
      </c>
      <c r="L1164" s="5" t="n">
        <v>5</v>
      </c>
      <c r="M1164" s="5" t="n">
        <v>1</v>
      </c>
      <c r="N1164" s="5" t="n">
        <v>1</v>
      </c>
      <c r="O1164" s="5" t="n">
        <v>9</v>
      </c>
      <c r="P1164" s="5" t="n">
        <v>-4</v>
      </c>
      <c r="Q1164" s="5" t="n">
        <v>2</v>
      </c>
      <c r="R1164" s="5" t="n">
        <v>3</v>
      </c>
      <c r="S1164" s="5" t="n">
        <v>1</v>
      </c>
      <c r="T1164" s="5" t="s">
        <v>929</v>
      </c>
      <c r="U1164" s="6"/>
      <c r="V1164" s="6"/>
      <c r="W1164" s="6"/>
      <c r="X1164" s="6"/>
      <c r="Y1164" s="7" t="str">
        <f aca="false">IF(COUNT(U1164:X1164)=4,(W1164-X1164)/2,"")</f>
        <v/>
      </c>
      <c r="Z1164" s="7" t="str">
        <f aca="false">IF(COUNT(U1164:X1164)=4,(U1164-V1164)/2,"")</f>
        <v/>
      </c>
      <c r="AA1164" s="7" t="str">
        <f aca="false">IF(COUNT(U1164:X1164)=4,MAX(1,MIN(10,ROUNDUP(5-Z1164,0))),"")</f>
        <v/>
      </c>
      <c r="AB1164" s="7" t="str">
        <f aca="false">IF(COUNT(U1164:X1164)=4,MAX(1,MIN(10,ROUNDUP(Y1164+5,0))),"")</f>
        <v/>
      </c>
      <c r="AC1164" s="6"/>
      <c r="AD1164" s="6"/>
    </row>
    <row r="1165" customFormat="false" ht="15" hidden="false" customHeight="true" outlineLevel="0" collapsed="false">
      <c r="A1165" s="5" t="n">
        <v>1164</v>
      </c>
      <c r="B1165" s="5" t="s">
        <v>2927</v>
      </c>
      <c r="C1165" s="5" t="s">
        <v>171</v>
      </c>
      <c r="D1165" s="5" t="s">
        <v>172</v>
      </c>
      <c r="E1165" s="5" t="n">
        <v>95</v>
      </c>
      <c r="F1165" s="5" t="s">
        <v>2928</v>
      </c>
      <c r="G1165" s="5" t="n">
        <v>4</v>
      </c>
      <c r="H1165" s="5" t="s">
        <v>53</v>
      </c>
      <c r="I1165" s="5" t="s">
        <v>54</v>
      </c>
      <c r="J1165" s="5" t="s">
        <v>181</v>
      </c>
      <c r="K1165" s="5" t="s">
        <v>235</v>
      </c>
      <c r="L1165" s="5" t="n">
        <v>4</v>
      </c>
      <c r="M1165" s="5" t="n">
        <v>4</v>
      </c>
      <c r="N1165" s="5" t="n">
        <v>7</v>
      </c>
      <c r="O1165" s="5" t="n">
        <v>4</v>
      </c>
      <c r="P1165" s="5" t="n">
        <v>1.5</v>
      </c>
      <c r="Q1165" s="5" t="n">
        <v>0</v>
      </c>
      <c r="R1165" s="5" t="n">
        <v>5</v>
      </c>
      <c r="S1165" s="5" t="n">
        <v>7</v>
      </c>
      <c r="T1165" s="5" t="s">
        <v>1525</v>
      </c>
      <c r="U1165" s="6"/>
      <c r="V1165" s="6"/>
      <c r="W1165" s="6"/>
      <c r="X1165" s="6"/>
      <c r="Y1165" s="7" t="str">
        <f aca="false">IF(COUNT(U1165:X1165)=4,(W1165-X1165)/2,"")</f>
        <v/>
      </c>
      <c r="Z1165" s="7" t="str">
        <f aca="false">IF(COUNT(U1165:X1165)=4,(U1165-V1165)/2,"")</f>
        <v/>
      </c>
      <c r="AA1165" s="7" t="str">
        <f aca="false">IF(COUNT(U1165:X1165)=4,MAX(1,MIN(10,ROUNDUP(5-Z1165,0))),"")</f>
        <v/>
      </c>
      <c r="AB1165" s="7" t="str">
        <f aca="false">IF(COUNT(U1165:X1165)=4,MAX(1,MIN(10,ROUNDUP(Y1165+5,0))),"")</f>
        <v/>
      </c>
      <c r="AC1165" s="6"/>
      <c r="AD1165" s="6"/>
    </row>
    <row r="1166" customFormat="false" ht="15" hidden="false" customHeight="true" outlineLevel="0" collapsed="false">
      <c r="A1166" s="5" t="n">
        <v>1165</v>
      </c>
      <c r="B1166" s="5" t="s">
        <v>2929</v>
      </c>
      <c r="C1166" s="5" t="s">
        <v>203</v>
      </c>
      <c r="D1166" s="5" t="s">
        <v>204</v>
      </c>
      <c r="E1166" s="5" t="n">
        <v>95</v>
      </c>
      <c r="F1166" s="5" t="s">
        <v>2929</v>
      </c>
      <c r="G1166" s="5" t="n">
        <v>4</v>
      </c>
      <c r="H1166" s="5" t="s">
        <v>53</v>
      </c>
      <c r="I1166" s="5" t="s">
        <v>54</v>
      </c>
      <c r="J1166" s="5" t="s">
        <v>117</v>
      </c>
      <c r="K1166" s="5" t="s">
        <v>117</v>
      </c>
      <c r="L1166" s="5" t="n">
        <v>7</v>
      </c>
      <c r="M1166" s="5" t="n">
        <v>1</v>
      </c>
      <c r="N1166" s="5" t="n">
        <v>1</v>
      </c>
      <c r="O1166" s="5" t="n">
        <v>9</v>
      </c>
      <c r="P1166" s="5" t="n">
        <v>-4</v>
      </c>
      <c r="Q1166" s="5" t="n">
        <v>3</v>
      </c>
      <c r="R1166" s="5" t="n">
        <v>2</v>
      </c>
      <c r="S1166" s="5" t="n">
        <v>1</v>
      </c>
      <c r="T1166" s="5" t="s">
        <v>2930</v>
      </c>
      <c r="U1166" s="6"/>
      <c r="V1166" s="6"/>
      <c r="W1166" s="6"/>
      <c r="X1166" s="6"/>
      <c r="Y1166" s="7" t="str">
        <f aca="false">IF(COUNT(U1166:X1166)=4,(W1166-X1166)/2,"")</f>
        <v/>
      </c>
      <c r="Z1166" s="7" t="str">
        <f aca="false">IF(COUNT(U1166:X1166)=4,(U1166-V1166)/2,"")</f>
        <v/>
      </c>
      <c r="AA1166" s="7" t="str">
        <f aca="false">IF(COUNT(U1166:X1166)=4,MAX(1,MIN(10,ROUNDUP(5-Z1166,0))),"")</f>
        <v/>
      </c>
      <c r="AB1166" s="7" t="str">
        <f aca="false">IF(COUNT(U1166:X1166)=4,MAX(1,MIN(10,ROUNDUP(Y1166+5,0))),"")</f>
        <v/>
      </c>
      <c r="AC1166" s="6"/>
      <c r="AD1166" s="6"/>
    </row>
    <row r="1167" customFormat="false" ht="15" hidden="false" customHeight="true" outlineLevel="0" collapsed="false">
      <c r="A1167" s="5" t="n">
        <v>1166</v>
      </c>
      <c r="B1167" s="5" t="s">
        <v>2931</v>
      </c>
      <c r="C1167" s="5" t="s">
        <v>171</v>
      </c>
      <c r="D1167" s="5" t="s">
        <v>172</v>
      </c>
      <c r="E1167" s="5" t="n">
        <v>95</v>
      </c>
      <c r="F1167" s="5" t="s">
        <v>2932</v>
      </c>
      <c r="G1167" s="5" t="n">
        <v>4</v>
      </c>
      <c r="H1167" s="5" t="s">
        <v>53</v>
      </c>
      <c r="I1167" s="5" t="s">
        <v>54</v>
      </c>
      <c r="J1167" s="5" t="s">
        <v>181</v>
      </c>
      <c r="K1167" s="5" t="s">
        <v>333</v>
      </c>
      <c r="L1167" s="5" t="n">
        <v>3</v>
      </c>
      <c r="M1167" s="5" t="n">
        <v>3</v>
      </c>
      <c r="N1167" s="5" t="n">
        <v>9</v>
      </c>
      <c r="O1167" s="5" t="n">
        <v>2</v>
      </c>
      <c r="P1167" s="5" t="n">
        <v>3.5</v>
      </c>
      <c r="Q1167" s="5" t="n">
        <v>0</v>
      </c>
      <c r="R1167" s="5" t="n">
        <v>5</v>
      </c>
      <c r="S1167" s="5" t="n">
        <v>9</v>
      </c>
      <c r="T1167" s="5" t="s">
        <v>2830</v>
      </c>
      <c r="U1167" s="6"/>
      <c r="V1167" s="6"/>
      <c r="W1167" s="6"/>
      <c r="X1167" s="6"/>
      <c r="Y1167" s="7" t="str">
        <f aca="false">IF(COUNT(U1167:X1167)=4,(W1167-X1167)/2,"")</f>
        <v/>
      </c>
      <c r="Z1167" s="7" t="str">
        <f aca="false">IF(COUNT(U1167:X1167)=4,(U1167-V1167)/2,"")</f>
        <v/>
      </c>
      <c r="AA1167" s="7" t="str">
        <f aca="false">IF(COUNT(U1167:X1167)=4,MAX(1,MIN(10,ROUNDUP(5-Z1167,0))),"")</f>
        <v/>
      </c>
      <c r="AB1167" s="7" t="str">
        <f aca="false">IF(COUNT(U1167:X1167)=4,MAX(1,MIN(10,ROUNDUP(Y1167+5,0))),"")</f>
        <v/>
      </c>
      <c r="AC1167" s="6"/>
      <c r="AD1167" s="6"/>
    </row>
    <row r="1168" customFormat="false" ht="15" hidden="false" customHeight="true" outlineLevel="0" collapsed="false">
      <c r="A1168" s="5" t="n">
        <v>1167</v>
      </c>
      <c r="B1168" s="5" t="s">
        <v>2933</v>
      </c>
      <c r="C1168" s="5" t="s">
        <v>171</v>
      </c>
      <c r="D1168" s="5" t="s">
        <v>172</v>
      </c>
      <c r="E1168" s="5" t="n">
        <v>94</v>
      </c>
      <c r="F1168" s="5" t="s">
        <v>2934</v>
      </c>
      <c r="G1168" s="5" t="n">
        <v>4</v>
      </c>
      <c r="H1168" s="5" t="s">
        <v>53</v>
      </c>
      <c r="I1168" s="5" t="s">
        <v>54</v>
      </c>
      <c r="J1168" s="5" t="s">
        <v>181</v>
      </c>
      <c r="K1168" s="5" t="s">
        <v>235</v>
      </c>
      <c r="L1168" s="5" t="n">
        <v>5</v>
      </c>
      <c r="M1168" s="5" t="n">
        <v>4</v>
      </c>
      <c r="N1168" s="5" t="n">
        <v>7</v>
      </c>
      <c r="O1168" s="5" t="n">
        <v>4</v>
      </c>
      <c r="P1168" s="5" t="n">
        <v>1.5</v>
      </c>
      <c r="Q1168" s="5" t="n">
        <v>0.5</v>
      </c>
      <c r="R1168" s="5" t="n">
        <v>5</v>
      </c>
      <c r="S1168" s="5" t="n">
        <v>7</v>
      </c>
      <c r="T1168" s="5" t="s">
        <v>2060</v>
      </c>
      <c r="U1168" s="6"/>
      <c r="V1168" s="6"/>
      <c r="W1168" s="6"/>
      <c r="X1168" s="6"/>
      <c r="Y1168" s="7" t="str">
        <f aca="false">IF(COUNT(U1168:X1168)=4,(W1168-X1168)/2,"")</f>
        <v/>
      </c>
      <c r="Z1168" s="7" t="str">
        <f aca="false">IF(COUNT(U1168:X1168)=4,(U1168-V1168)/2,"")</f>
        <v/>
      </c>
      <c r="AA1168" s="7" t="str">
        <f aca="false">IF(COUNT(U1168:X1168)=4,MAX(1,MIN(10,ROUNDUP(5-Z1168,0))),"")</f>
        <v/>
      </c>
      <c r="AB1168" s="7" t="str">
        <f aca="false">IF(COUNT(U1168:X1168)=4,MAX(1,MIN(10,ROUNDUP(Y1168+5,0))),"")</f>
        <v/>
      </c>
      <c r="AC1168" s="6"/>
      <c r="AD1168" s="6"/>
    </row>
    <row r="1169" customFormat="false" ht="15" hidden="false" customHeight="true" outlineLevel="0" collapsed="false">
      <c r="A1169" s="5" t="n">
        <v>1168</v>
      </c>
      <c r="B1169" s="5" t="s">
        <v>2935</v>
      </c>
      <c r="C1169" s="5" t="s">
        <v>171</v>
      </c>
      <c r="D1169" s="5" t="s">
        <v>172</v>
      </c>
      <c r="E1169" s="5" t="n">
        <v>94</v>
      </c>
      <c r="F1169" s="5" t="s">
        <v>2936</v>
      </c>
      <c r="G1169" s="5" t="n">
        <v>4</v>
      </c>
      <c r="H1169" s="5" t="s">
        <v>53</v>
      </c>
      <c r="I1169" s="5" t="s">
        <v>54</v>
      </c>
      <c r="J1169" s="5" t="s">
        <v>181</v>
      </c>
      <c r="K1169" s="5" t="s">
        <v>443</v>
      </c>
      <c r="L1169" s="5" t="n">
        <v>5</v>
      </c>
      <c r="M1169" s="5" t="n">
        <v>3</v>
      </c>
      <c r="N1169" s="5" t="n">
        <v>4</v>
      </c>
      <c r="O1169" s="5" t="n">
        <v>8</v>
      </c>
      <c r="P1169" s="5" t="n">
        <v>-2</v>
      </c>
      <c r="Q1169" s="5" t="n">
        <v>1</v>
      </c>
      <c r="R1169" s="5" t="n">
        <v>4</v>
      </c>
      <c r="S1169" s="5" t="n">
        <v>3</v>
      </c>
      <c r="T1169" s="5" t="s">
        <v>374</v>
      </c>
      <c r="U1169" s="6"/>
      <c r="V1169" s="6"/>
      <c r="W1169" s="6"/>
      <c r="X1169" s="6"/>
      <c r="Y1169" s="7" t="str">
        <f aca="false">IF(COUNT(U1169:X1169)=4,(W1169-X1169)/2,"")</f>
        <v/>
      </c>
      <c r="Z1169" s="7" t="str">
        <f aca="false">IF(COUNT(U1169:X1169)=4,(U1169-V1169)/2,"")</f>
        <v/>
      </c>
      <c r="AA1169" s="7" t="str">
        <f aca="false">IF(COUNT(U1169:X1169)=4,MAX(1,MIN(10,ROUNDUP(5-Z1169,0))),"")</f>
        <v/>
      </c>
      <c r="AB1169" s="7" t="str">
        <f aca="false">IF(COUNT(U1169:X1169)=4,MAX(1,MIN(10,ROUNDUP(Y1169+5,0))),"")</f>
        <v/>
      </c>
      <c r="AC1169" s="6"/>
      <c r="AD1169" s="6"/>
    </row>
    <row r="1170" customFormat="false" ht="15" hidden="false" customHeight="true" outlineLevel="0" collapsed="false">
      <c r="A1170" s="5" t="n">
        <v>1169</v>
      </c>
      <c r="B1170" s="5" t="s">
        <v>2937</v>
      </c>
      <c r="C1170" s="5" t="s">
        <v>171</v>
      </c>
      <c r="D1170" s="5" t="s">
        <v>172</v>
      </c>
      <c r="E1170" s="5" t="n">
        <v>94</v>
      </c>
      <c r="F1170" s="5" t="s">
        <v>2937</v>
      </c>
      <c r="G1170" s="5" t="n">
        <v>2</v>
      </c>
      <c r="H1170" s="5" t="s">
        <v>47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 t="s">
        <v>2938</v>
      </c>
      <c r="U1170" s="6"/>
      <c r="V1170" s="6"/>
      <c r="W1170" s="6"/>
      <c r="X1170" s="6"/>
      <c r="Y1170" s="7" t="str">
        <f aca="false">IF(COUNT(U1170:X1170)=4,(W1170-X1170)/2,"")</f>
        <v/>
      </c>
      <c r="Z1170" s="7" t="str">
        <f aca="false">IF(COUNT(U1170:X1170)=4,(U1170-V1170)/2,"")</f>
        <v/>
      </c>
      <c r="AA1170" s="7" t="str">
        <f aca="false">IF(COUNT(U1170:X1170)=4,MAX(1,MIN(10,ROUNDUP(5-Z1170,0))),"")</f>
        <v/>
      </c>
      <c r="AB1170" s="7" t="str">
        <f aca="false">IF(COUNT(U1170:X1170)=4,MAX(1,MIN(10,ROUNDUP(Y1170+5,0))),"")</f>
        <v/>
      </c>
      <c r="AC1170" s="6"/>
      <c r="AD1170" s="6"/>
    </row>
    <row r="1171" customFormat="false" ht="15" hidden="false" customHeight="true" outlineLevel="0" collapsed="false">
      <c r="A1171" s="5" t="n">
        <v>1170</v>
      </c>
      <c r="B1171" s="5" t="s">
        <v>2939</v>
      </c>
      <c r="C1171" s="5" t="s">
        <v>171</v>
      </c>
      <c r="D1171" s="5" t="s">
        <v>172</v>
      </c>
      <c r="E1171" s="5" t="n">
        <v>94</v>
      </c>
      <c r="F1171" s="5" t="s">
        <v>2940</v>
      </c>
      <c r="G1171" s="5" t="n">
        <v>4</v>
      </c>
      <c r="H1171" s="5" t="s">
        <v>53</v>
      </c>
      <c r="I1171" s="5" t="s">
        <v>54</v>
      </c>
      <c r="J1171" s="5" t="s">
        <v>181</v>
      </c>
      <c r="K1171" s="5" t="s">
        <v>279</v>
      </c>
      <c r="L1171" s="5" t="n">
        <v>4</v>
      </c>
      <c r="M1171" s="5" t="n">
        <v>4</v>
      </c>
      <c r="N1171" s="5" t="n">
        <v>5</v>
      </c>
      <c r="O1171" s="5" t="n">
        <v>7</v>
      </c>
      <c r="P1171" s="5" t="n">
        <v>-1</v>
      </c>
      <c r="Q1171" s="5" t="n">
        <v>0</v>
      </c>
      <c r="R1171" s="5" t="n">
        <v>5</v>
      </c>
      <c r="S1171" s="5" t="n">
        <v>4</v>
      </c>
      <c r="T1171" s="5" t="s">
        <v>2941</v>
      </c>
      <c r="U1171" s="6"/>
      <c r="V1171" s="6"/>
      <c r="W1171" s="6"/>
      <c r="X1171" s="6"/>
      <c r="Y1171" s="7" t="str">
        <f aca="false">IF(COUNT(U1171:X1171)=4,(W1171-X1171)/2,"")</f>
        <v/>
      </c>
      <c r="Z1171" s="7" t="str">
        <f aca="false">IF(COUNT(U1171:X1171)=4,(U1171-V1171)/2,"")</f>
        <v/>
      </c>
      <c r="AA1171" s="7" t="str">
        <f aca="false">IF(COUNT(U1171:X1171)=4,MAX(1,MIN(10,ROUNDUP(5-Z1171,0))),"")</f>
        <v/>
      </c>
      <c r="AB1171" s="7" t="str">
        <f aca="false">IF(COUNT(U1171:X1171)=4,MAX(1,MIN(10,ROUNDUP(Y1171+5,0))),"")</f>
        <v/>
      </c>
      <c r="AC1171" s="6"/>
      <c r="AD1171" s="6"/>
    </row>
    <row r="1172" customFormat="false" ht="15" hidden="false" customHeight="true" outlineLevel="0" collapsed="false">
      <c r="A1172" s="5" t="n">
        <v>1171</v>
      </c>
      <c r="B1172" s="5" t="s">
        <v>2942</v>
      </c>
      <c r="C1172" s="5" t="s">
        <v>171</v>
      </c>
      <c r="D1172" s="5" t="s">
        <v>172</v>
      </c>
      <c r="E1172" s="5" t="n">
        <v>94</v>
      </c>
      <c r="F1172" s="5" t="s">
        <v>2943</v>
      </c>
      <c r="G1172" s="5" t="n">
        <v>4</v>
      </c>
      <c r="H1172" s="5" t="s">
        <v>53</v>
      </c>
      <c r="I1172" s="5" t="s">
        <v>54</v>
      </c>
      <c r="J1172" s="5" t="s">
        <v>181</v>
      </c>
      <c r="K1172" s="5" t="s">
        <v>333</v>
      </c>
      <c r="L1172" s="5" t="n">
        <v>2</v>
      </c>
      <c r="M1172" s="5" t="n">
        <v>4</v>
      </c>
      <c r="N1172" s="5" t="n">
        <v>8</v>
      </c>
      <c r="O1172" s="5" t="n">
        <v>2</v>
      </c>
      <c r="P1172" s="5" t="n">
        <v>3</v>
      </c>
      <c r="Q1172" s="5" t="n">
        <v>-1</v>
      </c>
      <c r="R1172" s="5" t="n">
        <v>6</v>
      </c>
      <c r="S1172" s="5" t="n">
        <v>8</v>
      </c>
      <c r="T1172" s="5" t="s">
        <v>2944</v>
      </c>
      <c r="U1172" s="6"/>
      <c r="V1172" s="6"/>
      <c r="W1172" s="6"/>
      <c r="X1172" s="6"/>
      <c r="Y1172" s="7" t="str">
        <f aca="false">IF(COUNT(U1172:X1172)=4,(W1172-X1172)/2,"")</f>
        <v/>
      </c>
      <c r="Z1172" s="7" t="str">
        <f aca="false">IF(COUNT(U1172:X1172)=4,(U1172-V1172)/2,"")</f>
        <v/>
      </c>
      <c r="AA1172" s="7" t="str">
        <f aca="false">IF(COUNT(U1172:X1172)=4,MAX(1,MIN(10,ROUNDUP(5-Z1172,0))),"")</f>
        <v/>
      </c>
      <c r="AB1172" s="7" t="str">
        <f aca="false">IF(COUNT(U1172:X1172)=4,MAX(1,MIN(10,ROUNDUP(Y1172+5,0))),"")</f>
        <v/>
      </c>
      <c r="AC1172" s="6"/>
      <c r="AD1172" s="6"/>
    </row>
    <row r="1173" customFormat="false" ht="15" hidden="false" customHeight="true" outlineLevel="0" collapsed="false">
      <c r="A1173" s="5" t="n">
        <v>1172</v>
      </c>
      <c r="B1173" s="5" t="s">
        <v>2945</v>
      </c>
      <c r="C1173" s="5" t="s">
        <v>108</v>
      </c>
      <c r="D1173" s="5" t="s">
        <v>109</v>
      </c>
      <c r="E1173" s="5" t="n">
        <v>94</v>
      </c>
      <c r="F1173" s="5" t="s">
        <v>2945</v>
      </c>
      <c r="G1173" s="5" t="n">
        <v>4</v>
      </c>
      <c r="H1173" s="5" t="s">
        <v>53</v>
      </c>
      <c r="I1173" s="5" t="s">
        <v>54</v>
      </c>
      <c r="J1173" s="5" t="s">
        <v>117</v>
      </c>
      <c r="K1173" s="5" t="s">
        <v>117</v>
      </c>
      <c r="L1173" s="5" t="n">
        <v>3</v>
      </c>
      <c r="M1173" s="5" t="n">
        <v>1</v>
      </c>
      <c r="N1173" s="5" t="n">
        <v>7</v>
      </c>
      <c r="O1173" s="5" t="n">
        <v>3</v>
      </c>
      <c r="P1173" s="5" t="n">
        <v>2</v>
      </c>
      <c r="Q1173" s="5" t="n">
        <v>1</v>
      </c>
      <c r="R1173" s="5" t="n">
        <v>4</v>
      </c>
      <c r="S1173" s="5" t="n">
        <v>7</v>
      </c>
      <c r="T1173" s="5" t="s">
        <v>2946</v>
      </c>
      <c r="U1173" s="6"/>
      <c r="V1173" s="6"/>
      <c r="W1173" s="6"/>
      <c r="X1173" s="6"/>
      <c r="Y1173" s="7" t="str">
        <f aca="false">IF(COUNT(U1173:X1173)=4,(W1173-X1173)/2,"")</f>
        <v/>
      </c>
      <c r="Z1173" s="7" t="str">
        <f aca="false">IF(COUNT(U1173:X1173)=4,(U1173-V1173)/2,"")</f>
        <v/>
      </c>
      <c r="AA1173" s="7" t="str">
        <f aca="false">IF(COUNT(U1173:X1173)=4,MAX(1,MIN(10,ROUNDUP(5-Z1173,0))),"")</f>
        <v/>
      </c>
      <c r="AB1173" s="7" t="str">
        <f aca="false">IF(COUNT(U1173:X1173)=4,MAX(1,MIN(10,ROUNDUP(Y1173+5,0))),"")</f>
        <v/>
      </c>
      <c r="AC1173" s="6"/>
      <c r="AD1173" s="6"/>
    </row>
    <row r="1174" customFormat="false" ht="15" hidden="false" customHeight="true" outlineLevel="0" collapsed="false">
      <c r="A1174" s="5" t="n">
        <v>1173</v>
      </c>
      <c r="B1174" s="5" t="s">
        <v>2947</v>
      </c>
      <c r="C1174" s="5" t="s">
        <v>171</v>
      </c>
      <c r="D1174" s="5" t="s">
        <v>172</v>
      </c>
      <c r="E1174" s="5" t="n">
        <v>94</v>
      </c>
      <c r="F1174" s="5" t="s">
        <v>2948</v>
      </c>
      <c r="G1174" s="5" t="n">
        <v>4</v>
      </c>
      <c r="H1174" s="5" t="s">
        <v>53</v>
      </c>
      <c r="I1174" s="5" t="s">
        <v>54</v>
      </c>
      <c r="J1174" s="5" t="s">
        <v>181</v>
      </c>
      <c r="K1174" s="5" t="s">
        <v>309</v>
      </c>
      <c r="L1174" s="5" t="n">
        <v>2</v>
      </c>
      <c r="M1174" s="5" t="n">
        <v>5</v>
      </c>
      <c r="N1174" s="5" t="n">
        <v>5</v>
      </c>
      <c r="O1174" s="5" t="n">
        <v>4</v>
      </c>
      <c r="P1174" s="5" t="n">
        <v>0.5</v>
      </c>
      <c r="Q1174" s="5" t="n">
        <v>-1.5</v>
      </c>
      <c r="R1174" s="5" t="n">
        <v>7</v>
      </c>
      <c r="S1174" s="5" t="n">
        <v>6</v>
      </c>
      <c r="T1174" s="5" t="s">
        <v>1415</v>
      </c>
      <c r="U1174" s="6"/>
      <c r="V1174" s="6"/>
      <c r="W1174" s="6"/>
      <c r="X1174" s="6"/>
      <c r="Y1174" s="7" t="str">
        <f aca="false">IF(COUNT(U1174:X1174)=4,(W1174-X1174)/2,"")</f>
        <v/>
      </c>
      <c r="Z1174" s="7" t="str">
        <f aca="false">IF(COUNT(U1174:X1174)=4,(U1174-V1174)/2,"")</f>
        <v/>
      </c>
      <c r="AA1174" s="7" t="str">
        <f aca="false">IF(COUNT(U1174:X1174)=4,MAX(1,MIN(10,ROUNDUP(5-Z1174,0))),"")</f>
        <v/>
      </c>
      <c r="AB1174" s="7" t="str">
        <f aca="false">IF(COUNT(U1174:X1174)=4,MAX(1,MIN(10,ROUNDUP(Y1174+5,0))),"")</f>
        <v/>
      </c>
      <c r="AC1174" s="6"/>
      <c r="AD1174" s="6"/>
    </row>
    <row r="1175" customFormat="false" ht="15" hidden="false" customHeight="true" outlineLevel="0" collapsed="false">
      <c r="A1175" s="5" t="n">
        <v>1174</v>
      </c>
      <c r="B1175" s="5" t="s">
        <v>2949</v>
      </c>
      <c r="C1175" s="5" t="s">
        <v>171</v>
      </c>
      <c r="D1175" s="5" t="s">
        <v>172</v>
      </c>
      <c r="E1175" s="5" t="n">
        <v>94</v>
      </c>
      <c r="F1175" s="5" t="s">
        <v>2950</v>
      </c>
      <c r="G1175" s="5" t="n">
        <v>4</v>
      </c>
      <c r="H1175" s="5" t="s">
        <v>53</v>
      </c>
      <c r="I1175" s="5" t="s">
        <v>54</v>
      </c>
      <c r="J1175" s="5" t="s">
        <v>181</v>
      </c>
      <c r="K1175" s="5" t="s">
        <v>413</v>
      </c>
      <c r="L1175" s="5" t="n">
        <v>5</v>
      </c>
      <c r="M1175" s="5" t="n">
        <v>3</v>
      </c>
      <c r="N1175" s="5" t="n">
        <v>3</v>
      </c>
      <c r="O1175" s="5" t="n">
        <v>8</v>
      </c>
      <c r="P1175" s="5" t="n">
        <v>-2.5</v>
      </c>
      <c r="Q1175" s="5" t="n">
        <v>1</v>
      </c>
      <c r="R1175" s="5" t="n">
        <v>4</v>
      </c>
      <c r="S1175" s="5" t="n">
        <v>3</v>
      </c>
      <c r="T1175" s="5" t="s">
        <v>2951</v>
      </c>
      <c r="U1175" s="6"/>
      <c r="V1175" s="6"/>
      <c r="W1175" s="6"/>
      <c r="X1175" s="6"/>
      <c r="Y1175" s="7" t="str">
        <f aca="false">IF(COUNT(U1175:X1175)=4,(W1175-X1175)/2,"")</f>
        <v/>
      </c>
      <c r="Z1175" s="7" t="str">
        <f aca="false">IF(COUNT(U1175:X1175)=4,(U1175-V1175)/2,"")</f>
        <v/>
      </c>
      <c r="AA1175" s="7" t="str">
        <f aca="false">IF(COUNT(U1175:X1175)=4,MAX(1,MIN(10,ROUNDUP(5-Z1175,0))),"")</f>
        <v/>
      </c>
      <c r="AB1175" s="7" t="str">
        <f aca="false">IF(COUNT(U1175:X1175)=4,MAX(1,MIN(10,ROUNDUP(Y1175+5,0))),"")</f>
        <v/>
      </c>
      <c r="AC1175" s="6"/>
      <c r="AD1175" s="6"/>
    </row>
    <row r="1176" customFormat="false" ht="15" hidden="false" customHeight="true" outlineLevel="0" collapsed="false">
      <c r="A1176" s="5" t="n">
        <v>1175</v>
      </c>
      <c r="B1176" s="5" t="s">
        <v>2952</v>
      </c>
      <c r="C1176" s="5" t="s">
        <v>171</v>
      </c>
      <c r="D1176" s="5" t="s">
        <v>172</v>
      </c>
      <c r="E1176" s="5" t="n">
        <v>94</v>
      </c>
      <c r="F1176" s="5" t="s">
        <v>2952</v>
      </c>
      <c r="G1176" s="5" t="n">
        <v>4</v>
      </c>
      <c r="H1176" s="5" t="s">
        <v>53</v>
      </c>
      <c r="I1176" s="5" t="s">
        <v>81</v>
      </c>
      <c r="J1176" s="5" t="s">
        <v>174</v>
      </c>
      <c r="K1176" s="5" t="s">
        <v>175</v>
      </c>
      <c r="L1176" s="5" t="n">
        <v>7</v>
      </c>
      <c r="M1176" s="5" t="n">
        <v>1</v>
      </c>
      <c r="N1176" s="5" t="n">
        <v>3</v>
      </c>
      <c r="O1176" s="5" t="n">
        <v>8</v>
      </c>
      <c r="P1176" s="5" t="n">
        <v>-2.5</v>
      </c>
      <c r="Q1176" s="5" t="n">
        <v>3</v>
      </c>
      <c r="R1176" s="5" t="n">
        <v>2</v>
      </c>
      <c r="S1176" s="5" t="n">
        <v>3</v>
      </c>
      <c r="T1176" s="5" t="s">
        <v>2396</v>
      </c>
      <c r="U1176" s="6"/>
      <c r="V1176" s="6"/>
      <c r="W1176" s="6"/>
      <c r="X1176" s="6"/>
      <c r="Y1176" s="7" t="str">
        <f aca="false">IF(COUNT(U1176:X1176)=4,(W1176-X1176)/2,"")</f>
        <v/>
      </c>
      <c r="Z1176" s="7" t="str">
        <f aca="false">IF(COUNT(U1176:X1176)=4,(U1176-V1176)/2,"")</f>
        <v/>
      </c>
      <c r="AA1176" s="7" t="str">
        <f aca="false">IF(COUNT(U1176:X1176)=4,MAX(1,MIN(10,ROUNDUP(5-Z1176,0))),"")</f>
        <v/>
      </c>
      <c r="AB1176" s="7" t="str">
        <f aca="false">IF(COUNT(U1176:X1176)=4,MAX(1,MIN(10,ROUNDUP(Y1176+5,0))),"")</f>
        <v/>
      </c>
      <c r="AC1176" s="6"/>
      <c r="AD1176" s="6"/>
    </row>
    <row r="1177" customFormat="false" ht="15" hidden="false" customHeight="true" outlineLevel="0" collapsed="false">
      <c r="A1177" s="5" t="n">
        <v>1176</v>
      </c>
      <c r="B1177" s="5" t="s">
        <v>2953</v>
      </c>
      <c r="C1177" s="5" t="s">
        <v>145</v>
      </c>
      <c r="D1177" s="5" t="s">
        <v>51</v>
      </c>
      <c r="E1177" s="5" t="n">
        <v>94</v>
      </c>
      <c r="F1177" s="5" t="s">
        <v>2954</v>
      </c>
      <c r="G1177" s="5" t="n">
        <v>4</v>
      </c>
      <c r="H1177" s="5" t="s">
        <v>53</v>
      </c>
      <c r="I1177" s="5" t="s">
        <v>54</v>
      </c>
      <c r="J1177" s="5" t="s">
        <v>55</v>
      </c>
      <c r="K1177" s="5" t="s">
        <v>55</v>
      </c>
      <c r="L1177" s="5" t="n">
        <v>4</v>
      </c>
      <c r="M1177" s="5" t="n">
        <v>3</v>
      </c>
      <c r="N1177" s="5" t="n">
        <v>9</v>
      </c>
      <c r="O1177" s="5" t="n">
        <v>2</v>
      </c>
      <c r="P1177" s="5" t="n">
        <v>3.5</v>
      </c>
      <c r="Q1177" s="5" t="n">
        <v>0.5</v>
      </c>
      <c r="R1177" s="5" t="n">
        <v>5</v>
      </c>
      <c r="S1177" s="5" t="n">
        <v>9</v>
      </c>
      <c r="T1177" s="5" t="s">
        <v>2955</v>
      </c>
      <c r="U1177" s="6"/>
      <c r="V1177" s="6"/>
      <c r="W1177" s="6"/>
      <c r="X1177" s="6"/>
      <c r="Y1177" s="7" t="str">
        <f aca="false">IF(COUNT(U1177:X1177)=4,(W1177-X1177)/2,"")</f>
        <v/>
      </c>
      <c r="Z1177" s="7" t="str">
        <f aca="false">IF(COUNT(U1177:X1177)=4,(U1177-V1177)/2,"")</f>
        <v/>
      </c>
      <c r="AA1177" s="7" t="str">
        <f aca="false">IF(COUNT(U1177:X1177)=4,MAX(1,MIN(10,ROUNDUP(5-Z1177,0))),"")</f>
        <v/>
      </c>
      <c r="AB1177" s="7" t="str">
        <f aca="false">IF(COUNT(U1177:X1177)=4,MAX(1,MIN(10,ROUNDUP(Y1177+5,0))),"")</f>
        <v/>
      </c>
      <c r="AC1177" s="6"/>
      <c r="AD1177" s="6"/>
    </row>
    <row r="1178" customFormat="false" ht="15" hidden="false" customHeight="true" outlineLevel="0" collapsed="false">
      <c r="A1178" s="5" t="n">
        <v>1177</v>
      </c>
      <c r="B1178" s="5" t="s">
        <v>2956</v>
      </c>
      <c r="C1178" s="5" t="s">
        <v>203</v>
      </c>
      <c r="D1178" s="5" t="s">
        <v>204</v>
      </c>
      <c r="E1178" s="5" t="n">
        <v>94</v>
      </c>
      <c r="F1178" s="5" t="s">
        <v>2956</v>
      </c>
      <c r="G1178" s="5" t="n">
        <v>4</v>
      </c>
      <c r="H1178" s="5" t="s">
        <v>53</v>
      </c>
      <c r="I1178" s="5" t="s">
        <v>54</v>
      </c>
      <c r="J1178" s="5" t="s">
        <v>117</v>
      </c>
      <c r="K1178" s="5" t="s">
        <v>117</v>
      </c>
      <c r="L1178" s="5" t="n">
        <v>5</v>
      </c>
      <c r="M1178" s="5" t="n">
        <v>1</v>
      </c>
      <c r="N1178" s="5" t="n">
        <v>2</v>
      </c>
      <c r="O1178" s="5" t="n">
        <v>8</v>
      </c>
      <c r="P1178" s="5" t="n">
        <v>-3</v>
      </c>
      <c r="Q1178" s="5" t="n">
        <v>2</v>
      </c>
      <c r="R1178" s="5" t="n">
        <v>3</v>
      </c>
      <c r="S1178" s="5" t="n">
        <v>2</v>
      </c>
      <c r="T1178" s="5" t="s">
        <v>65</v>
      </c>
      <c r="U1178" s="6"/>
      <c r="V1178" s="6"/>
      <c r="W1178" s="6"/>
      <c r="X1178" s="6"/>
      <c r="Y1178" s="7" t="str">
        <f aca="false">IF(COUNT(U1178:X1178)=4,(W1178-X1178)/2,"")</f>
        <v/>
      </c>
      <c r="Z1178" s="7" t="str">
        <f aca="false">IF(COUNT(U1178:X1178)=4,(U1178-V1178)/2,"")</f>
        <v/>
      </c>
      <c r="AA1178" s="7" t="str">
        <f aca="false">IF(COUNT(U1178:X1178)=4,MAX(1,MIN(10,ROUNDUP(5-Z1178,0))),"")</f>
        <v/>
      </c>
      <c r="AB1178" s="7" t="str">
        <f aca="false">IF(COUNT(U1178:X1178)=4,MAX(1,MIN(10,ROUNDUP(Y1178+5,0))),"")</f>
        <v/>
      </c>
      <c r="AC1178" s="6"/>
      <c r="AD1178" s="6"/>
    </row>
    <row r="1179" customFormat="false" ht="15" hidden="false" customHeight="true" outlineLevel="0" collapsed="false">
      <c r="A1179" s="5" t="n">
        <v>1178</v>
      </c>
      <c r="B1179" s="5" t="s">
        <v>2957</v>
      </c>
      <c r="C1179" s="5" t="s">
        <v>203</v>
      </c>
      <c r="D1179" s="5" t="s">
        <v>204</v>
      </c>
      <c r="E1179" s="5" t="n">
        <v>93</v>
      </c>
      <c r="F1179" s="5" t="s">
        <v>2957</v>
      </c>
      <c r="G1179" s="5" t="n">
        <v>4</v>
      </c>
      <c r="H1179" s="5" t="s">
        <v>53</v>
      </c>
      <c r="I1179" s="5" t="s">
        <v>54</v>
      </c>
      <c r="J1179" s="5" t="s">
        <v>117</v>
      </c>
      <c r="K1179" s="5" t="s">
        <v>117</v>
      </c>
      <c r="L1179" s="5" t="n">
        <v>3</v>
      </c>
      <c r="M1179" s="5" t="n">
        <v>2</v>
      </c>
      <c r="N1179" s="5" t="n">
        <v>2</v>
      </c>
      <c r="O1179" s="5" t="n">
        <v>7</v>
      </c>
      <c r="P1179" s="5" t="n">
        <v>-2.5</v>
      </c>
      <c r="Q1179" s="5" t="n">
        <v>0.5</v>
      </c>
      <c r="R1179" s="5" t="n">
        <v>5</v>
      </c>
      <c r="S1179" s="5" t="n">
        <v>3</v>
      </c>
      <c r="T1179" s="5" t="s">
        <v>2336</v>
      </c>
      <c r="U1179" s="6"/>
      <c r="V1179" s="6"/>
      <c r="W1179" s="6"/>
      <c r="X1179" s="6"/>
      <c r="Y1179" s="7" t="str">
        <f aca="false">IF(COUNT(U1179:X1179)=4,(W1179-X1179)/2,"")</f>
        <v/>
      </c>
      <c r="Z1179" s="7" t="str">
        <f aca="false">IF(COUNT(U1179:X1179)=4,(U1179-V1179)/2,"")</f>
        <v/>
      </c>
      <c r="AA1179" s="7" t="str">
        <f aca="false">IF(COUNT(U1179:X1179)=4,MAX(1,MIN(10,ROUNDUP(5-Z1179,0))),"")</f>
        <v/>
      </c>
      <c r="AB1179" s="7" t="str">
        <f aca="false">IF(COUNT(U1179:X1179)=4,MAX(1,MIN(10,ROUNDUP(Y1179+5,0))),"")</f>
        <v/>
      </c>
      <c r="AC1179" s="6"/>
      <c r="AD1179" s="6"/>
    </row>
    <row r="1180" customFormat="false" ht="15" hidden="false" customHeight="true" outlineLevel="0" collapsed="false">
      <c r="A1180" s="5" t="n">
        <v>1179</v>
      </c>
      <c r="B1180" s="5" t="s">
        <v>2958</v>
      </c>
      <c r="C1180" s="5" t="s">
        <v>171</v>
      </c>
      <c r="D1180" s="5" t="s">
        <v>172</v>
      </c>
      <c r="E1180" s="5" t="n">
        <v>93</v>
      </c>
      <c r="F1180" s="5" t="s">
        <v>2959</v>
      </c>
      <c r="G1180" s="5" t="n">
        <v>4</v>
      </c>
      <c r="H1180" s="5" t="s">
        <v>53</v>
      </c>
      <c r="I1180" s="5" t="s">
        <v>54</v>
      </c>
      <c r="J1180" s="5" t="s">
        <v>181</v>
      </c>
      <c r="K1180" s="5" t="s">
        <v>235</v>
      </c>
      <c r="L1180" s="5" t="n">
        <v>4</v>
      </c>
      <c r="M1180" s="5" t="n">
        <v>4</v>
      </c>
      <c r="N1180" s="5" t="n">
        <v>7</v>
      </c>
      <c r="O1180" s="5" t="n">
        <v>4</v>
      </c>
      <c r="P1180" s="5" t="n">
        <v>1.5</v>
      </c>
      <c r="Q1180" s="5" t="n">
        <v>0</v>
      </c>
      <c r="R1180" s="5" t="n">
        <v>5</v>
      </c>
      <c r="S1180" s="5" t="n">
        <v>7</v>
      </c>
      <c r="T1180" s="5" t="s">
        <v>1421</v>
      </c>
      <c r="U1180" s="6"/>
      <c r="V1180" s="6"/>
      <c r="W1180" s="6"/>
      <c r="X1180" s="6"/>
      <c r="Y1180" s="7" t="str">
        <f aca="false">IF(COUNT(U1180:X1180)=4,(W1180-X1180)/2,"")</f>
        <v/>
      </c>
      <c r="Z1180" s="7" t="str">
        <f aca="false">IF(COUNT(U1180:X1180)=4,(U1180-V1180)/2,"")</f>
        <v/>
      </c>
      <c r="AA1180" s="7" t="str">
        <f aca="false">IF(COUNT(U1180:X1180)=4,MAX(1,MIN(10,ROUNDUP(5-Z1180,0))),"")</f>
        <v/>
      </c>
      <c r="AB1180" s="7" t="str">
        <f aca="false">IF(COUNT(U1180:X1180)=4,MAX(1,MIN(10,ROUNDUP(Y1180+5,0))),"")</f>
        <v/>
      </c>
      <c r="AC1180" s="6"/>
      <c r="AD1180" s="6"/>
    </row>
    <row r="1181" customFormat="false" ht="15" hidden="false" customHeight="true" outlineLevel="0" collapsed="false">
      <c r="A1181" s="5" t="n">
        <v>1180</v>
      </c>
      <c r="B1181" s="5" t="s">
        <v>2960</v>
      </c>
      <c r="C1181" s="5" t="s">
        <v>171</v>
      </c>
      <c r="D1181" s="5" t="s">
        <v>172</v>
      </c>
      <c r="E1181" s="5" t="n">
        <v>93</v>
      </c>
      <c r="F1181" s="5" t="s">
        <v>2961</v>
      </c>
      <c r="G1181" s="5" t="n">
        <v>4</v>
      </c>
      <c r="H1181" s="5" t="s">
        <v>53</v>
      </c>
      <c r="I1181" s="5" t="s">
        <v>54</v>
      </c>
      <c r="J1181" s="5" t="s">
        <v>181</v>
      </c>
      <c r="K1181" s="5" t="s">
        <v>235</v>
      </c>
      <c r="L1181" s="5" t="n">
        <v>3</v>
      </c>
      <c r="M1181" s="5" t="n">
        <v>8</v>
      </c>
      <c r="N1181" s="5" t="n">
        <v>7</v>
      </c>
      <c r="O1181" s="5" t="n">
        <v>4</v>
      </c>
      <c r="P1181" s="5" t="n">
        <v>1.5</v>
      </c>
      <c r="Q1181" s="5" t="n">
        <v>-2.5</v>
      </c>
      <c r="R1181" s="5" t="n">
        <v>8</v>
      </c>
      <c r="S1181" s="5" t="n">
        <v>7</v>
      </c>
      <c r="T1181" s="5" t="s">
        <v>2962</v>
      </c>
      <c r="U1181" s="6"/>
      <c r="V1181" s="6"/>
      <c r="W1181" s="6"/>
      <c r="X1181" s="6"/>
      <c r="Y1181" s="7" t="str">
        <f aca="false">IF(COUNT(U1181:X1181)=4,(W1181-X1181)/2,"")</f>
        <v/>
      </c>
      <c r="Z1181" s="7" t="str">
        <f aca="false">IF(COUNT(U1181:X1181)=4,(U1181-V1181)/2,"")</f>
        <v/>
      </c>
      <c r="AA1181" s="7" t="str">
        <f aca="false">IF(COUNT(U1181:X1181)=4,MAX(1,MIN(10,ROUNDUP(5-Z1181,0))),"")</f>
        <v/>
      </c>
      <c r="AB1181" s="7" t="str">
        <f aca="false">IF(COUNT(U1181:X1181)=4,MAX(1,MIN(10,ROUNDUP(Y1181+5,0))),"")</f>
        <v/>
      </c>
      <c r="AC1181" s="6"/>
      <c r="AD1181" s="6"/>
    </row>
    <row r="1182" customFormat="false" ht="15" hidden="false" customHeight="true" outlineLevel="0" collapsed="false">
      <c r="A1182" s="5" t="n">
        <v>1181</v>
      </c>
      <c r="B1182" s="5" t="s">
        <v>2963</v>
      </c>
      <c r="C1182" s="5" t="s">
        <v>171</v>
      </c>
      <c r="D1182" s="5" t="s">
        <v>172</v>
      </c>
      <c r="E1182" s="5" t="n">
        <v>93</v>
      </c>
      <c r="F1182" s="5" t="s">
        <v>2964</v>
      </c>
      <c r="G1182" s="5" t="n">
        <v>4</v>
      </c>
      <c r="H1182" s="5" t="s">
        <v>53</v>
      </c>
      <c r="I1182" s="5" t="s">
        <v>54</v>
      </c>
      <c r="J1182" s="5" t="s">
        <v>181</v>
      </c>
      <c r="K1182" s="5" t="s">
        <v>235</v>
      </c>
      <c r="L1182" s="5" t="n">
        <v>4</v>
      </c>
      <c r="M1182" s="5" t="n">
        <v>4</v>
      </c>
      <c r="N1182" s="5" t="n">
        <v>7</v>
      </c>
      <c r="O1182" s="5" t="n">
        <v>4</v>
      </c>
      <c r="P1182" s="5" t="n">
        <v>1.5</v>
      </c>
      <c r="Q1182" s="5" t="n">
        <v>0</v>
      </c>
      <c r="R1182" s="5" t="n">
        <v>5</v>
      </c>
      <c r="S1182" s="5" t="n">
        <v>7</v>
      </c>
      <c r="T1182" s="5" t="s">
        <v>2965</v>
      </c>
      <c r="U1182" s="6"/>
      <c r="V1182" s="6"/>
      <c r="W1182" s="6"/>
      <c r="X1182" s="6"/>
      <c r="Y1182" s="7" t="str">
        <f aca="false">IF(COUNT(U1182:X1182)=4,(W1182-X1182)/2,"")</f>
        <v/>
      </c>
      <c r="Z1182" s="7" t="str">
        <f aca="false">IF(COUNT(U1182:X1182)=4,(U1182-V1182)/2,"")</f>
        <v/>
      </c>
      <c r="AA1182" s="7" t="str">
        <f aca="false">IF(COUNT(U1182:X1182)=4,MAX(1,MIN(10,ROUNDUP(5-Z1182,0))),"")</f>
        <v/>
      </c>
      <c r="AB1182" s="7" t="str">
        <f aca="false">IF(COUNT(U1182:X1182)=4,MAX(1,MIN(10,ROUNDUP(Y1182+5,0))),"")</f>
        <v/>
      </c>
      <c r="AC1182" s="6"/>
      <c r="AD1182" s="6"/>
    </row>
    <row r="1183" customFormat="false" ht="15" hidden="false" customHeight="true" outlineLevel="0" collapsed="false">
      <c r="A1183" s="5" t="n">
        <v>1182</v>
      </c>
      <c r="B1183" s="5" t="s">
        <v>2966</v>
      </c>
      <c r="C1183" s="5" t="s">
        <v>203</v>
      </c>
      <c r="D1183" s="5" t="s">
        <v>204</v>
      </c>
      <c r="E1183" s="5" t="n">
        <v>93</v>
      </c>
      <c r="F1183" s="5" t="s">
        <v>2967</v>
      </c>
      <c r="G1183" s="5" t="n">
        <v>4</v>
      </c>
      <c r="H1183" s="5" t="s">
        <v>53</v>
      </c>
      <c r="I1183" s="5" t="s">
        <v>54</v>
      </c>
      <c r="J1183" s="5" t="s">
        <v>117</v>
      </c>
      <c r="K1183" s="5" t="s">
        <v>117</v>
      </c>
      <c r="L1183" s="5" t="n">
        <v>3</v>
      </c>
      <c r="M1183" s="5" t="n">
        <v>1</v>
      </c>
      <c r="N1183" s="5" t="n">
        <v>8</v>
      </c>
      <c r="O1183" s="5" t="n">
        <v>2</v>
      </c>
      <c r="P1183" s="5" t="n">
        <v>3</v>
      </c>
      <c r="Q1183" s="5" t="n">
        <v>1</v>
      </c>
      <c r="R1183" s="5" t="n">
        <v>4</v>
      </c>
      <c r="S1183" s="5" t="n">
        <v>8</v>
      </c>
      <c r="T1183" s="5" t="s">
        <v>313</v>
      </c>
      <c r="U1183" s="6"/>
      <c r="V1183" s="6"/>
      <c r="W1183" s="6"/>
      <c r="X1183" s="6"/>
      <c r="Y1183" s="7" t="str">
        <f aca="false">IF(COUNT(U1183:X1183)=4,(W1183-X1183)/2,"")</f>
        <v/>
      </c>
      <c r="Z1183" s="7" t="str">
        <f aca="false">IF(COUNT(U1183:X1183)=4,(U1183-V1183)/2,"")</f>
        <v/>
      </c>
      <c r="AA1183" s="7" t="str">
        <f aca="false">IF(COUNT(U1183:X1183)=4,MAX(1,MIN(10,ROUNDUP(5-Z1183,0))),"")</f>
        <v/>
      </c>
      <c r="AB1183" s="7" t="str">
        <f aca="false">IF(COUNT(U1183:X1183)=4,MAX(1,MIN(10,ROUNDUP(Y1183+5,0))),"")</f>
        <v/>
      </c>
      <c r="AC1183" s="6"/>
      <c r="AD1183" s="6"/>
    </row>
    <row r="1184" customFormat="false" ht="15" hidden="false" customHeight="true" outlineLevel="0" collapsed="false">
      <c r="A1184" s="5" t="n">
        <v>1183</v>
      </c>
      <c r="B1184" s="5" t="s">
        <v>2968</v>
      </c>
      <c r="C1184" s="5" t="s">
        <v>171</v>
      </c>
      <c r="D1184" s="5" t="s">
        <v>172</v>
      </c>
      <c r="E1184" s="5" t="n">
        <v>93</v>
      </c>
      <c r="F1184" s="5" t="s">
        <v>2969</v>
      </c>
      <c r="G1184" s="5" t="n">
        <v>4</v>
      </c>
      <c r="H1184" s="5" t="s">
        <v>53</v>
      </c>
      <c r="I1184" s="5" t="s">
        <v>54</v>
      </c>
      <c r="J1184" s="5" t="s">
        <v>181</v>
      </c>
      <c r="K1184" s="5" t="s">
        <v>235</v>
      </c>
      <c r="L1184" s="5" t="n">
        <v>4</v>
      </c>
      <c r="M1184" s="5" t="n">
        <v>5</v>
      </c>
      <c r="N1184" s="5" t="n">
        <v>7</v>
      </c>
      <c r="O1184" s="5" t="n">
        <v>4</v>
      </c>
      <c r="P1184" s="5" t="n">
        <v>1.5</v>
      </c>
      <c r="Q1184" s="5" t="n">
        <v>-0.5</v>
      </c>
      <c r="R1184" s="5" t="n">
        <v>6</v>
      </c>
      <c r="S1184" s="5" t="n">
        <v>7</v>
      </c>
      <c r="T1184" s="5" t="s">
        <v>2970</v>
      </c>
      <c r="U1184" s="6"/>
      <c r="V1184" s="6"/>
      <c r="W1184" s="6"/>
      <c r="X1184" s="6"/>
      <c r="Y1184" s="7" t="str">
        <f aca="false">IF(COUNT(U1184:X1184)=4,(W1184-X1184)/2,"")</f>
        <v/>
      </c>
      <c r="Z1184" s="7" t="str">
        <f aca="false">IF(COUNT(U1184:X1184)=4,(U1184-V1184)/2,"")</f>
        <v/>
      </c>
      <c r="AA1184" s="7" t="str">
        <f aca="false">IF(COUNT(U1184:X1184)=4,MAX(1,MIN(10,ROUNDUP(5-Z1184,0))),"")</f>
        <v/>
      </c>
      <c r="AB1184" s="7" t="str">
        <f aca="false">IF(COUNT(U1184:X1184)=4,MAX(1,MIN(10,ROUNDUP(Y1184+5,0))),"")</f>
        <v/>
      </c>
      <c r="AC1184" s="6"/>
      <c r="AD1184" s="6"/>
    </row>
    <row r="1185" customFormat="false" ht="15" hidden="false" customHeight="true" outlineLevel="0" collapsed="false">
      <c r="A1185" s="5" t="n">
        <v>1184</v>
      </c>
      <c r="B1185" s="5" t="s">
        <v>2971</v>
      </c>
      <c r="C1185" s="5" t="s">
        <v>171</v>
      </c>
      <c r="D1185" s="5" t="s">
        <v>172</v>
      </c>
      <c r="E1185" s="5" t="n">
        <v>93</v>
      </c>
      <c r="F1185" s="5" t="s">
        <v>2972</v>
      </c>
      <c r="G1185" s="5" t="n">
        <v>4</v>
      </c>
      <c r="H1185" s="5" t="s">
        <v>53</v>
      </c>
      <c r="I1185" s="5" t="s">
        <v>54</v>
      </c>
      <c r="J1185" s="5" t="s">
        <v>181</v>
      </c>
      <c r="K1185" s="5" t="s">
        <v>309</v>
      </c>
      <c r="L1185" s="5" t="n">
        <v>2</v>
      </c>
      <c r="M1185" s="5" t="n">
        <v>6</v>
      </c>
      <c r="N1185" s="5" t="n">
        <v>5</v>
      </c>
      <c r="O1185" s="5" t="n">
        <v>4</v>
      </c>
      <c r="P1185" s="5" t="n">
        <v>0.5</v>
      </c>
      <c r="Q1185" s="5" t="n">
        <v>-2</v>
      </c>
      <c r="R1185" s="5" t="n">
        <v>7</v>
      </c>
      <c r="S1185" s="5" t="n">
        <v>6</v>
      </c>
      <c r="T1185" s="5" t="s">
        <v>2973</v>
      </c>
      <c r="U1185" s="6"/>
      <c r="V1185" s="6"/>
      <c r="W1185" s="6"/>
      <c r="X1185" s="6"/>
      <c r="Y1185" s="7" t="str">
        <f aca="false">IF(COUNT(U1185:X1185)=4,(W1185-X1185)/2,"")</f>
        <v/>
      </c>
      <c r="Z1185" s="7" t="str">
        <f aca="false">IF(COUNT(U1185:X1185)=4,(U1185-V1185)/2,"")</f>
        <v/>
      </c>
      <c r="AA1185" s="7" t="str">
        <f aca="false">IF(COUNT(U1185:X1185)=4,MAX(1,MIN(10,ROUNDUP(5-Z1185,0))),"")</f>
        <v/>
      </c>
      <c r="AB1185" s="7" t="str">
        <f aca="false">IF(COUNT(U1185:X1185)=4,MAX(1,MIN(10,ROUNDUP(Y1185+5,0))),"")</f>
        <v/>
      </c>
      <c r="AC1185" s="6"/>
      <c r="AD1185" s="6"/>
    </row>
    <row r="1186" customFormat="false" ht="15" hidden="false" customHeight="true" outlineLevel="0" collapsed="false">
      <c r="A1186" s="5" t="n">
        <v>1185</v>
      </c>
      <c r="B1186" s="5" t="s">
        <v>2974</v>
      </c>
      <c r="C1186" s="5" t="s">
        <v>171</v>
      </c>
      <c r="D1186" s="5" t="s">
        <v>172</v>
      </c>
      <c r="E1186" s="5" t="n">
        <v>93</v>
      </c>
      <c r="F1186" s="5" t="s">
        <v>2975</v>
      </c>
      <c r="G1186" s="5" t="n">
        <v>4</v>
      </c>
      <c r="H1186" s="5" t="s">
        <v>53</v>
      </c>
      <c r="I1186" s="5" t="s">
        <v>81</v>
      </c>
      <c r="J1186" s="5" t="s">
        <v>174</v>
      </c>
      <c r="K1186" s="5" t="s">
        <v>175</v>
      </c>
      <c r="L1186" s="5" t="n">
        <v>9</v>
      </c>
      <c r="M1186" s="5" t="n">
        <v>1</v>
      </c>
      <c r="N1186" s="5" t="n">
        <v>1</v>
      </c>
      <c r="O1186" s="5" t="n">
        <v>10</v>
      </c>
      <c r="P1186" s="5" t="n">
        <v>-4.5</v>
      </c>
      <c r="Q1186" s="5" t="n">
        <v>4</v>
      </c>
      <c r="R1186" s="5" t="n">
        <v>1</v>
      </c>
      <c r="S1186" s="5" t="n">
        <v>1</v>
      </c>
      <c r="T1186" s="5" t="s">
        <v>1069</v>
      </c>
      <c r="U1186" s="6"/>
      <c r="V1186" s="6"/>
      <c r="W1186" s="6"/>
      <c r="X1186" s="6"/>
      <c r="Y1186" s="7" t="str">
        <f aca="false">IF(COUNT(U1186:X1186)=4,(W1186-X1186)/2,"")</f>
        <v/>
      </c>
      <c r="Z1186" s="7" t="str">
        <f aca="false">IF(COUNT(U1186:X1186)=4,(U1186-V1186)/2,"")</f>
        <v/>
      </c>
      <c r="AA1186" s="7" t="str">
        <f aca="false">IF(COUNT(U1186:X1186)=4,MAX(1,MIN(10,ROUNDUP(5-Z1186,0))),"")</f>
        <v/>
      </c>
      <c r="AB1186" s="7" t="str">
        <f aca="false">IF(COUNT(U1186:X1186)=4,MAX(1,MIN(10,ROUNDUP(Y1186+5,0))),"")</f>
        <v/>
      </c>
      <c r="AC1186" s="6"/>
      <c r="AD1186" s="6"/>
    </row>
    <row r="1187" customFormat="false" ht="15" hidden="false" customHeight="true" outlineLevel="0" collapsed="false">
      <c r="A1187" s="5" t="n">
        <v>1186</v>
      </c>
      <c r="B1187" s="5" t="s">
        <v>2976</v>
      </c>
      <c r="C1187" s="5" t="s">
        <v>145</v>
      </c>
      <c r="D1187" s="5" t="s">
        <v>51</v>
      </c>
      <c r="E1187" s="5" t="n">
        <v>92</v>
      </c>
      <c r="F1187" s="5" t="s">
        <v>2977</v>
      </c>
      <c r="G1187" s="5" t="n">
        <v>4</v>
      </c>
      <c r="H1187" s="5" t="s">
        <v>53</v>
      </c>
      <c r="I1187" s="5" t="s">
        <v>54</v>
      </c>
      <c r="J1187" s="5" t="s">
        <v>55</v>
      </c>
      <c r="K1187" s="5" t="s">
        <v>55</v>
      </c>
      <c r="L1187" s="5" t="n">
        <v>7</v>
      </c>
      <c r="M1187" s="5" t="n">
        <v>2</v>
      </c>
      <c r="N1187" s="5" t="n">
        <v>4</v>
      </c>
      <c r="O1187" s="5" t="n">
        <v>8</v>
      </c>
      <c r="P1187" s="5" t="n">
        <v>-2</v>
      </c>
      <c r="Q1187" s="5" t="n">
        <v>2.5</v>
      </c>
      <c r="R1187" s="5" t="n">
        <v>3</v>
      </c>
      <c r="S1187" s="5" t="n">
        <v>3</v>
      </c>
      <c r="T1187" s="5" t="s">
        <v>2978</v>
      </c>
      <c r="U1187" s="6"/>
      <c r="V1187" s="6"/>
      <c r="W1187" s="6"/>
      <c r="X1187" s="6"/>
      <c r="Y1187" s="7" t="str">
        <f aca="false">IF(COUNT(U1187:X1187)=4,(W1187-X1187)/2,"")</f>
        <v/>
      </c>
      <c r="Z1187" s="7" t="str">
        <f aca="false">IF(COUNT(U1187:X1187)=4,(U1187-V1187)/2,"")</f>
        <v/>
      </c>
      <c r="AA1187" s="7" t="str">
        <f aca="false">IF(COUNT(U1187:X1187)=4,MAX(1,MIN(10,ROUNDUP(5-Z1187,0))),"")</f>
        <v/>
      </c>
      <c r="AB1187" s="7" t="str">
        <f aca="false">IF(COUNT(U1187:X1187)=4,MAX(1,MIN(10,ROUNDUP(Y1187+5,0))),"")</f>
        <v/>
      </c>
      <c r="AC1187" s="6"/>
      <c r="AD1187" s="6"/>
    </row>
    <row r="1188" customFormat="false" ht="15" hidden="false" customHeight="true" outlineLevel="0" collapsed="false">
      <c r="A1188" s="5" t="n">
        <v>1187</v>
      </c>
      <c r="B1188" s="5" t="s">
        <v>2979</v>
      </c>
      <c r="C1188" s="5" t="s">
        <v>171</v>
      </c>
      <c r="D1188" s="5" t="s">
        <v>172</v>
      </c>
      <c r="E1188" s="5" t="n">
        <v>92</v>
      </c>
      <c r="F1188" s="5" t="s">
        <v>2980</v>
      </c>
      <c r="G1188" s="5" t="n">
        <v>4</v>
      </c>
      <c r="H1188" s="5" t="s">
        <v>53</v>
      </c>
      <c r="I1188" s="5" t="s">
        <v>54</v>
      </c>
      <c r="J1188" s="5" t="s">
        <v>181</v>
      </c>
      <c r="K1188" s="5" t="s">
        <v>182</v>
      </c>
      <c r="L1188" s="5" t="n">
        <v>2</v>
      </c>
      <c r="M1188" s="5" t="n">
        <v>6</v>
      </c>
      <c r="N1188" s="5" t="n">
        <v>7</v>
      </c>
      <c r="O1188" s="5" t="n">
        <v>3</v>
      </c>
      <c r="P1188" s="5" t="n">
        <v>2</v>
      </c>
      <c r="Q1188" s="5" t="n">
        <v>-2</v>
      </c>
      <c r="R1188" s="5" t="n">
        <v>7</v>
      </c>
      <c r="S1188" s="5" t="n">
        <v>7</v>
      </c>
      <c r="T1188" s="5" t="s">
        <v>2981</v>
      </c>
      <c r="U1188" s="6"/>
      <c r="V1188" s="6"/>
      <c r="W1188" s="6"/>
      <c r="X1188" s="6"/>
      <c r="Y1188" s="7" t="str">
        <f aca="false">IF(COUNT(U1188:X1188)=4,(W1188-X1188)/2,"")</f>
        <v/>
      </c>
      <c r="Z1188" s="7" t="str">
        <f aca="false">IF(COUNT(U1188:X1188)=4,(U1188-V1188)/2,"")</f>
        <v/>
      </c>
      <c r="AA1188" s="7" t="str">
        <f aca="false">IF(COUNT(U1188:X1188)=4,MAX(1,MIN(10,ROUNDUP(5-Z1188,0))),"")</f>
        <v/>
      </c>
      <c r="AB1188" s="7" t="str">
        <f aca="false">IF(COUNT(U1188:X1188)=4,MAX(1,MIN(10,ROUNDUP(Y1188+5,0))),"")</f>
        <v/>
      </c>
      <c r="AC1188" s="6"/>
      <c r="AD1188" s="6"/>
    </row>
    <row r="1189" customFormat="false" ht="15" hidden="false" customHeight="true" outlineLevel="0" collapsed="false">
      <c r="A1189" s="5" t="n">
        <v>1188</v>
      </c>
      <c r="B1189" s="5" t="s">
        <v>2982</v>
      </c>
      <c r="C1189" s="5" t="s">
        <v>171</v>
      </c>
      <c r="D1189" s="5" t="s">
        <v>172</v>
      </c>
      <c r="E1189" s="5" t="n">
        <v>92</v>
      </c>
      <c r="F1189" s="5" t="s">
        <v>2983</v>
      </c>
      <c r="G1189" s="5" t="n">
        <v>4</v>
      </c>
      <c r="H1189" s="5" t="s">
        <v>53</v>
      </c>
      <c r="I1189" s="5" t="s">
        <v>54</v>
      </c>
      <c r="J1189" s="5" t="s">
        <v>181</v>
      </c>
      <c r="K1189" s="5" t="s">
        <v>309</v>
      </c>
      <c r="L1189" s="5" t="n">
        <v>2</v>
      </c>
      <c r="M1189" s="5" t="n">
        <v>5</v>
      </c>
      <c r="N1189" s="5" t="n">
        <v>5</v>
      </c>
      <c r="O1189" s="5" t="n">
        <v>4</v>
      </c>
      <c r="P1189" s="5" t="n">
        <v>0.5</v>
      </c>
      <c r="Q1189" s="5" t="n">
        <v>-1.5</v>
      </c>
      <c r="R1189" s="5" t="n">
        <v>7</v>
      </c>
      <c r="S1189" s="5" t="n">
        <v>6</v>
      </c>
      <c r="T1189" s="5" t="s">
        <v>1238</v>
      </c>
      <c r="U1189" s="6"/>
      <c r="V1189" s="6"/>
      <c r="W1189" s="6"/>
      <c r="X1189" s="6"/>
      <c r="Y1189" s="7" t="str">
        <f aca="false">IF(COUNT(U1189:X1189)=4,(W1189-X1189)/2,"")</f>
        <v/>
      </c>
      <c r="Z1189" s="7" t="str">
        <f aca="false">IF(COUNT(U1189:X1189)=4,(U1189-V1189)/2,"")</f>
        <v/>
      </c>
      <c r="AA1189" s="7" t="str">
        <f aca="false">IF(COUNT(U1189:X1189)=4,MAX(1,MIN(10,ROUNDUP(5-Z1189,0))),"")</f>
        <v/>
      </c>
      <c r="AB1189" s="7" t="str">
        <f aca="false">IF(COUNT(U1189:X1189)=4,MAX(1,MIN(10,ROUNDUP(Y1189+5,0))),"")</f>
        <v/>
      </c>
      <c r="AC1189" s="6"/>
      <c r="AD1189" s="6"/>
    </row>
    <row r="1190" customFormat="false" ht="15" hidden="false" customHeight="true" outlineLevel="0" collapsed="false">
      <c r="A1190" s="5" t="n">
        <v>1189</v>
      </c>
      <c r="B1190" s="5" t="s">
        <v>2984</v>
      </c>
      <c r="C1190" s="5" t="s">
        <v>145</v>
      </c>
      <c r="D1190" s="5" t="s">
        <v>51</v>
      </c>
      <c r="E1190" s="5" t="n">
        <v>92</v>
      </c>
      <c r="F1190" s="5" t="s">
        <v>2985</v>
      </c>
      <c r="G1190" s="5" t="n">
        <v>4</v>
      </c>
      <c r="H1190" s="5" t="s">
        <v>53</v>
      </c>
      <c r="I1190" s="5" t="s">
        <v>54</v>
      </c>
      <c r="J1190" s="5" t="s">
        <v>55</v>
      </c>
      <c r="K1190" s="5" t="s">
        <v>55</v>
      </c>
      <c r="L1190" s="5" t="n">
        <v>5</v>
      </c>
      <c r="M1190" s="5" t="n">
        <v>2</v>
      </c>
      <c r="N1190" s="5" t="n">
        <v>4</v>
      </c>
      <c r="O1190" s="5" t="n">
        <v>8</v>
      </c>
      <c r="P1190" s="5" t="n">
        <v>-2</v>
      </c>
      <c r="Q1190" s="5" t="n">
        <v>1.5</v>
      </c>
      <c r="R1190" s="5" t="n">
        <v>4</v>
      </c>
      <c r="S1190" s="5" t="n">
        <v>3</v>
      </c>
      <c r="T1190" s="5" t="s">
        <v>1224</v>
      </c>
      <c r="U1190" s="6"/>
      <c r="V1190" s="6"/>
      <c r="W1190" s="6"/>
      <c r="X1190" s="6"/>
      <c r="Y1190" s="7" t="str">
        <f aca="false">IF(COUNT(U1190:X1190)=4,(W1190-X1190)/2,"")</f>
        <v/>
      </c>
      <c r="Z1190" s="7" t="str">
        <f aca="false">IF(COUNT(U1190:X1190)=4,(U1190-V1190)/2,"")</f>
        <v/>
      </c>
      <c r="AA1190" s="7" t="str">
        <f aca="false">IF(COUNT(U1190:X1190)=4,MAX(1,MIN(10,ROUNDUP(5-Z1190,0))),"")</f>
        <v/>
      </c>
      <c r="AB1190" s="7" t="str">
        <f aca="false">IF(COUNT(U1190:X1190)=4,MAX(1,MIN(10,ROUNDUP(Y1190+5,0))),"")</f>
        <v/>
      </c>
      <c r="AC1190" s="6"/>
      <c r="AD1190" s="6"/>
    </row>
    <row r="1191" customFormat="false" ht="15" hidden="false" customHeight="true" outlineLevel="0" collapsed="false">
      <c r="A1191" s="5" t="n">
        <v>1190</v>
      </c>
      <c r="B1191" s="5" t="s">
        <v>2986</v>
      </c>
      <c r="C1191" s="5" t="s">
        <v>171</v>
      </c>
      <c r="D1191" s="5" t="s">
        <v>172</v>
      </c>
      <c r="E1191" s="5" t="n">
        <v>92</v>
      </c>
      <c r="F1191" s="5" t="s">
        <v>2987</v>
      </c>
      <c r="G1191" s="5" t="n">
        <v>4</v>
      </c>
      <c r="H1191" s="5" t="s">
        <v>53</v>
      </c>
      <c r="I1191" s="5" t="s">
        <v>54</v>
      </c>
      <c r="J1191" s="5" t="s">
        <v>181</v>
      </c>
      <c r="K1191" s="5" t="s">
        <v>333</v>
      </c>
      <c r="L1191" s="5" t="n">
        <v>2</v>
      </c>
      <c r="M1191" s="5" t="n">
        <v>5</v>
      </c>
      <c r="N1191" s="5" t="n">
        <v>9</v>
      </c>
      <c r="O1191" s="5" t="n">
        <v>2</v>
      </c>
      <c r="P1191" s="5" t="n">
        <v>3.5</v>
      </c>
      <c r="Q1191" s="5" t="n">
        <v>-1.5</v>
      </c>
      <c r="R1191" s="5" t="n">
        <v>7</v>
      </c>
      <c r="S1191" s="5" t="n">
        <v>9</v>
      </c>
      <c r="T1191" s="5" t="s">
        <v>2988</v>
      </c>
      <c r="U1191" s="6"/>
      <c r="V1191" s="6"/>
      <c r="W1191" s="6"/>
      <c r="X1191" s="6"/>
      <c r="Y1191" s="7" t="str">
        <f aca="false">IF(COUNT(U1191:X1191)=4,(W1191-X1191)/2,"")</f>
        <v/>
      </c>
      <c r="Z1191" s="7" t="str">
        <f aca="false">IF(COUNT(U1191:X1191)=4,(U1191-V1191)/2,"")</f>
        <v/>
      </c>
      <c r="AA1191" s="7" t="str">
        <f aca="false">IF(COUNT(U1191:X1191)=4,MAX(1,MIN(10,ROUNDUP(5-Z1191,0))),"")</f>
        <v/>
      </c>
      <c r="AB1191" s="7" t="str">
        <f aca="false">IF(COUNT(U1191:X1191)=4,MAX(1,MIN(10,ROUNDUP(Y1191+5,0))),"")</f>
        <v/>
      </c>
      <c r="AC1191" s="6"/>
      <c r="AD1191" s="6"/>
    </row>
    <row r="1192" customFormat="false" ht="15" hidden="false" customHeight="true" outlineLevel="0" collapsed="false">
      <c r="A1192" s="5" t="n">
        <v>1191</v>
      </c>
      <c r="B1192" s="5" t="s">
        <v>2989</v>
      </c>
      <c r="C1192" s="5" t="s">
        <v>145</v>
      </c>
      <c r="D1192" s="5" t="s">
        <v>51</v>
      </c>
      <c r="E1192" s="5" t="n">
        <v>92</v>
      </c>
      <c r="F1192" s="5" t="s">
        <v>2990</v>
      </c>
      <c r="G1192" s="5" t="n">
        <v>4</v>
      </c>
      <c r="H1192" s="5" t="s">
        <v>53</v>
      </c>
      <c r="I1192" s="5" t="s">
        <v>54</v>
      </c>
      <c r="J1192" s="5" t="s">
        <v>55</v>
      </c>
      <c r="K1192" s="5" t="s">
        <v>55</v>
      </c>
      <c r="L1192" s="5" t="n">
        <v>5</v>
      </c>
      <c r="M1192" s="5" t="n">
        <v>2</v>
      </c>
      <c r="N1192" s="5" t="n">
        <v>8</v>
      </c>
      <c r="O1192" s="5" t="n">
        <v>2</v>
      </c>
      <c r="P1192" s="5" t="n">
        <v>3</v>
      </c>
      <c r="Q1192" s="5" t="n">
        <v>1.5</v>
      </c>
      <c r="R1192" s="5" t="n">
        <v>4</v>
      </c>
      <c r="S1192" s="5" t="n">
        <v>8</v>
      </c>
      <c r="T1192" s="5" t="s">
        <v>2991</v>
      </c>
      <c r="U1192" s="6"/>
      <c r="V1192" s="6"/>
      <c r="W1192" s="6"/>
      <c r="X1192" s="6"/>
      <c r="Y1192" s="7" t="str">
        <f aca="false">IF(COUNT(U1192:X1192)=4,(W1192-X1192)/2,"")</f>
        <v/>
      </c>
      <c r="Z1192" s="7" t="str">
        <f aca="false">IF(COUNT(U1192:X1192)=4,(U1192-V1192)/2,"")</f>
        <v/>
      </c>
      <c r="AA1192" s="7" t="str">
        <f aca="false">IF(COUNT(U1192:X1192)=4,MAX(1,MIN(10,ROUNDUP(5-Z1192,0))),"")</f>
        <v/>
      </c>
      <c r="AB1192" s="7" t="str">
        <f aca="false">IF(COUNT(U1192:X1192)=4,MAX(1,MIN(10,ROUNDUP(Y1192+5,0))),"")</f>
        <v/>
      </c>
      <c r="AC1192" s="6"/>
      <c r="AD1192" s="6"/>
    </row>
    <row r="1193" customFormat="false" ht="15" hidden="false" customHeight="true" outlineLevel="0" collapsed="false">
      <c r="A1193" s="5" t="n">
        <v>1192</v>
      </c>
      <c r="B1193" s="5" t="s">
        <v>2992</v>
      </c>
      <c r="C1193" s="5" t="s">
        <v>145</v>
      </c>
      <c r="D1193" s="5" t="s">
        <v>51</v>
      </c>
      <c r="E1193" s="5" t="n">
        <v>92</v>
      </c>
      <c r="F1193" s="5" t="s">
        <v>2993</v>
      </c>
      <c r="G1193" s="5" t="n">
        <v>4</v>
      </c>
      <c r="H1193" s="5" t="s">
        <v>53</v>
      </c>
      <c r="I1193" s="5" t="s">
        <v>54</v>
      </c>
      <c r="J1193" s="5" t="s">
        <v>55</v>
      </c>
      <c r="K1193" s="5" t="s">
        <v>55</v>
      </c>
      <c r="L1193" s="5" t="n">
        <v>6</v>
      </c>
      <c r="M1193" s="5" t="n">
        <v>3</v>
      </c>
      <c r="N1193" s="5" t="n">
        <v>6</v>
      </c>
      <c r="O1193" s="5" t="n">
        <v>5</v>
      </c>
      <c r="P1193" s="5" t="n">
        <v>0.5</v>
      </c>
      <c r="Q1193" s="5" t="n">
        <v>1.5</v>
      </c>
      <c r="R1193" s="5" t="n">
        <v>4</v>
      </c>
      <c r="S1193" s="5" t="n">
        <v>6</v>
      </c>
      <c r="T1193" s="5" t="s">
        <v>2994</v>
      </c>
      <c r="U1193" s="6"/>
      <c r="V1193" s="6"/>
      <c r="W1193" s="6"/>
      <c r="X1193" s="6"/>
      <c r="Y1193" s="7" t="str">
        <f aca="false">IF(COUNT(U1193:X1193)=4,(W1193-X1193)/2,"")</f>
        <v/>
      </c>
      <c r="Z1193" s="7" t="str">
        <f aca="false">IF(COUNT(U1193:X1193)=4,(U1193-V1193)/2,"")</f>
        <v/>
      </c>
      <c r="AA1193" s="7" t="str">
        <f aca="false">IF(COUNT(U1193:X1193)=4,MAX(1,MIN(10,ROUNDUP(5-Z1193,0))),"")</f>
        <v/>
      </c>
      <c r="AB1193" s="7" t="str">
        <f aca="false">IF(COUNT(U1193:X1193)=4,MAX(1,MIN(10,ROUNDUP(Y1193+5,0))),"")</f>
        <v/>
      </c>
      <c r="AC1193" s="6"/>
      <c r="AD1193" s="6"/>
    </row>
    <row r="1194" customFormat="false" ht="15" hidden="false" customHeight="true" outlineLevel="0" collapsed="false">
      <c r="A1194" s="5" t="n">
        <v>1193</v>
      </c>
      <c r="B1194" s="5" t="s">
        <v>2995</v>
      </c>
      <c r="C1194" s="5" t="s">
        <v>171</v>
      </c>
      <c r="D1194" s="5" t="s">
        <v>172</v>
      </c>
      <c r="E1194" s="5" t="n">
        <v>92</v>
      </c>
      <c r="F1194" s="5" t="s">
        <v>2996</v>
      </c>
      <c r="G1194" s="5" t="n">
        <v>4</v>
      </c>
      <c r="H1194" s="5" t="s">
        <v>53</v>
      </c>
      <c r="I1194" s="5" t="s">
        <v>54</v>
      </c>
      <c r="J1194" s="5" t="s">
        <v>181</v>
      </c>
      <c r="K1194" s="5" t="s">
        <v>427</v>
      </c>
      <c r="L1194" s="5" t="n">
        <v>4</v>
      </c>
      <c r="M1194" s="5" t="n">
        <v>4</v>
      </c>
      <c r="N1194" s="5" t="n">
        <v>3</v>
      </c>
      <c r="O1194" s="5" t="n">
        <v>8</v>
      </c>
      <c r="P1194" s="5" t="n">
        <v>-2.5</v>
      </c>
      <c r="Q1194" s="5" t="n">
        <v>0</v>
      </c>
      <c r="R1194" s="5" t="n">
        <v>5</v>
      </c>
      <c r="S1194" s="5" t="n">
        <v>3</v>
      </c>
      <c r="T1194" s="5" t="s">
        <v>2997</v>
      </c>
      <c r="U1194" s="6"/>
      <c r="V1194" s="6"/>
      <c r="W1194" s="6"/>
      <c r="X1194" s="6"/>
      <c r="Y1194" s="7" t="str">
        <f aca="false">IF(COUNT(U1194:X1194)=4,(W1194-X1194)/2,"")</f>
        <v/>
      </c>
      <c r="Z1194" s="7" t="str">
        <f aca="false">IF(COUNT(U1194:X1194)=4,(U1194-V1194)/2,"")</f>
        <v/>
      </c>
      <c r="AA1194" s="7" t="str">
        <f aca="false">IF(COUNT(U1194:X1194)=4,MAX(1,MIN(10,ROUNDUP(5-Z1194,0))),"")</f>
        <v/>
      </c>
      <c r="AB1194" s="7" t="str">
        <f aca="false">IF(COUNT(U1194:X1194)=4,MAX(1,MIN(10,ROUNDUP(Y1194+5,0))),"")</f>
        <v/>
      </c>
      <c r="AC1194" s="6"/>
      <c r="AD1194" s="6"/>
    </row>
    <row r="1195" customFormat="false" ht="15" hidden="false" customHeight="true" outlineLevel="0" collapsed="false">
      <c r="A1195" s="5" t="n">
        <v>1194</v>
      </c>
      <c r="B1195" s="5" t="s">
        <v>2998</v>
      </c>
      <c r="C1195" s="5" t="s">
        <v>171</v>
      </c>
      <c r="D1195" s="5" t="s">
        <v>172</v>
      </c>
      <c r="E1195" s="5" t="n">
        <v>92</v>
      </c>
      <c r="F1195" s="5" t="s">
        <v>2998</v>
      </c>
      <c r="G1195" s="5" t="n">
        <v>4</v>
      </c>
      <c r="H1195" s="5" t="s">
        <v>53</v>
      </c>
      <c r="I1195" s="5" t="s">
        <v>54</v>
      </c>
      <c r="J1195" s="5" t="s">
        <v>181</v>
      </c>
      <c r="K1195" s="5" t="s">
        <v>574</v>
      </c>
      <c r="L1195" s="5" t="n">
        <v>3</v>
      </c>
      <c r="M1195" s="5" t="n">
        <v>5</v>
      </c>
      <c r="N1195" s="5" t="n">
        <v>4</v>
      </c>
      <c r="O1195" s="5" t="n">
        <v>7</v>
      </c>
      <c r="P1195" s="5" t="n">
        <v>-1.5</v>
      </c>
      <c r="Q1195" s="5" t="n">
        <v>-1</v>
      </c>
      <c r="R1195" s="5" t="n">
        <v>6</v>
      </c>
      <c r="S1195" s="5" t="n">
        <v>4</v>
      </c>
      <c r="T1195" s="5" t="s">
        <v>2999</v>
      </c>
      <c r="U1195" s="6"/>
      <c r="V1195" s="6"/>
      <c r="W1195" s="6"/>
      <c r="X1195" s="6"/>
      <c r="Y1195" s="7" t="str">
        <f aca="false">IF(COUNT(U1195:X1195)=4,(W1195-X1195)/2,"")</f>
        <v/>
      </c>
      <c r="Z1195" s="7" t="str">
        <f aca="false">IF(COUNT(U1195:X1195)=4,(U1195-V1195)/2,"")</f>
        <v/>
      </c>
      <c r="AA1195" s="7" t="str">
        <f aca="false">IF(COUNT(U1195:X1195)=4,MAX(1,MIN(10,ROUNDUP(5-Z1195,0))),"")</f>
        <v/>
      </c>
      <c r="AB1195" s="7" t="str">
        <f aca="false">IF(COUNT(U1195:X1195)=4,MAX(1,MIN(10,ROUNDUP(Y1195+5,0))),"")</f>
        <v/>
      </c>
      <c r="AC1195" s="6"/>
      <c r="AD1195" s="6"/>
    </row>
    <row r="1196" customFormat="false" ht="15" hidden="false" customHeight="true" outlineLevel="0" collapsed="false">
      <c r="A1196" s="5" t="n">
        <v>1195</v>
      </c>
      <c r="B1196" s="5" t="s">
        <v>3000</v>
      </c>
      <c r="C1196" s="5" t="s">
        <v>171</v>
      </c>
      <c r="D1196" s="5" t="s">
        <v>172</v>
      </c>
      <c r="E1196" s="5" t="n">
        <v>92</v>
      </c>
      <c r="F1196" s="5" t="s">
        <v>3000</v>
      </c>
      <c r="G1196" s="5" t="n">
        <v>4</v>
      </c>
      <c r="H1196" s="5" t="s">
        <v>53</v>
      </c>
      <c r="I1196" s="5" t="s">
        <v>54</v>
      </c>
      <c r="J1196" s="5" t="s">
        <v>181</v>
      </c>
      <c r="K1196" s="5" t="s">
        <v>235</v>
      </c>
      <c r="L1196" s="5" t="n">
        <v>4</v>
      </c>
      <c r="M1196" s="5" t="n">
        <v>4</v>
      </c>
      <c r="N1196" s="5" t="n">
        <v>7</v>
      </c>
      <c r="O1196" s="5" t="n">
        <v>4</v>
      </c>
      <c r="P1196" s="5" t="n">
        <v>1.5</v>
      </c>
      <c r="Q1196" s="5" t="n">
        <v>0</v>
      </c>
      <c r="R1196" s="5" t="n">
        <v>5</v>
      </c>
      <c r="S1196" s="5" t="n">
        <v>7</v>
      </c>
      <c r="T1196" s="5" t="s">
        <v>184</v>
      </c>
      <c r="U1196" s="6"/>
      <c r="V1196" s="6"/>
      <c r="W1196" s="6"/>
      <c r="X1196" s="6"/>
      <c r="Y1196" s="7" t="str">
        <f aca="false">IF(COUNT(U1196:X1196)=4,(W1196-X1196)/2,"")</f>
        <v/>
      </c>
      <c r="Z1196" s="7" t="str">
        <f aca="false">IF(COUNT(U1196:X1196)=4,(U1196-V1196)/2,"")</f>
        <v/>
      </c>
      <c r="AA1196" s="7" t="str">
        <f aca="false">IF(COUNT(U1196:X1196)=4,MAX(1,MIN(10,ROUNDUP(5-Z1196,0))),"")</f>
        <v/>
      </c>
      <c r="AB1196" s="7" t="str">
        <f aca="false">IF(COUNT(U1196:X1196)=4,MAX(1,MIN(10,ROUNDUP(Y1196+5,0))),"")</f>
        <v/>
      </c>
      <c r="AC1196" s="6"/>
      <c r="AD1196" s="6"/>
    </row>
    <row r="1197" customFormat="false" ht="15" hidden="false" customHeight="true" outlineLevel="0" collapsed="false">
      <c r="A1197" s="5" t="n">
        <v>1196</v>
      </c>
      <c r="B1197" s="5" t="s">
        <v>3001</v>
      </c>
      <c r="C1197" s="5" t="s">
        <v>145</v>
      </c>
      <c r="D1197" s="5" t="s">
        <v>51</v>
      </c>
      <c r="E1197" s="5" t="n">
        <v>92</v>
      </c>
      <c r="F1197" s="5" t="s">
        <v>3002</v>
      </c>
      <c r="G1197" s="5" t="n">
        <v>4</v>
      </c>
      <c r="H1197" s="5" t="s">
        <v>53</v>
      </c>
      <c r="I1197" s="5" t="s">
        <v>54</v>
      </c>
      <c r="J1197" s="5" t="s">
        <v>181</v>
      </c>
      <c r="K1197" s="5" t="s">
        <v>333</v>
      </c>
      <c r="L1197" s="5" t="n">
        <v>2</v>
      </c>
      <c r="M1197" s="5" t="n">
        <v>5</v>
      </c>
      <c r="N1197" s="5" t="n">
        <v>9</v>
      </c>
      <c r="O1197" s="5" t="n">
        <v>2</v>
      </c>
      <c r="P1197" s="5" t="n">
        <v>3.5</v>
      </c>
      <c r="Q1197" s="5" t="n">
        <v>-1.5</v>
      </c>
      <c r="R1197" s="5" t="n">
        <v>7</v>
      </c>
      <c r="S1197" s="5" t="n">
        <v>9</v>
      </c>
      <c r="T1197" s="5" t="s">
        <v>3003</v>
      </c>
      <c r="U1197" s="6"/>
      <c r="V1197" s="6"/>
      <c r="W1197" s="6"/>
      <c r="X1197" s="6"/>
      <c r="Y1197" s="7" t="str">
        <f aca="false">IF(COUNT(U1197:X1197)=4,(W1197-X1197)/2,"")</f>
        <v/>
      </c>
      <c r="Z1197" s="7" t="str">
        <f aca="false">IF(COUNT(U1197:X1197)=4,(U1197-V1197)/2,"")</f>
        <v/>
      </c>
      <c r="AA1197" s="7" t="str">
        <f aca="false">IF(COUNT(U1197:X1197)=4,MAX(1,MIN(10,ROUNDUP(5-Z1197,0))),"")</f>
        <v/>
      </c>
      <c r="AB1197" s="7" t="str">
        <f aca="false">IF(COUNT(U1197:X1197)=4,MAX(1,MIN(10,ROUNDUP(Y1197+5,0))),"")</f>
        <v/>
      </c>
      <c r="AC1197" s="6"/>
      <c r="AD1197" s="6"/>
    </row>
    <row r="1198" customFormat="false" ht="15" hidden="false" customHeight="true" outlineLevel="0" collapsed="false">
      <c r="A1198" s="5" t="n">
        <v>1197</v>
      </c>
      <c r="B1198" s="5" t="s">
        <v>3004</v>
      </c>
      <c r="C1198" s="5" t="s">
        <v>203</v>
      </c>
      <c r="D1198" s="5" t="s">
        <v>204</v>
      </c>
      <c r="E1198" s="5" t="n">
        <v>92</v>
      </c>
      <c r="F1198" s="5" t="s">
        <v>3004</v>
      </c>
      <c r="G1198" s="5" t="n">
        <v>4</v>
      </c>
      <c r="H1198" s="5" t="s">
        <v>53</v>
      </c>
      <c r="I1198" s="5" t="s">
        <v>54</v>
      </c>
      <c r="J1198" s="5" t="s">
        <v>117</v>
      </c>
      <c r="K1198" s="5" t="s">
        <v>117</v>
      </c>
      <c r="L1198" s="5" t="n">
        <v>6</v>
      </c>
      <c r="M1198" s="5" t="n">
        <v>1</v>
      </c>
      <c r="N1198" s="5" t="n">
        <v>1</v>
      </c>
      <c r="O1198" s="5" t="n">
        <v>8</v>
      </c>
      <c r="P1198" s="5" t="n">
        <v>-3.5</v>
      </c>
      <c r="Q1198" s="5" t="n">
        <v>2.5</v>
      </c>
      <c r="R1198" s="5" t="n">
        <v>3</v>
      </c>
      <c r="S1198" s="5" t="n">
        <v>2</v>
      </c>
      <c r="T1198" s="5" t="s">
        <v>2164</v>
      </c>
      <c r="U1198" s="6"/>
      <c r="V1198" s="6"/>
      <c r="W1198" s="6"/>
      <c r="X1198" s="6"/>
      <c r="Y1198" s="7" t="str">
        <f aca="false">IF(COUNT(U1198:X1198)=4,(W1198-X1198)/2,"")</f>
        <v/>
      </c>
      <c r="Z1198" s="7" t="str">
        <f aca="false">IF(COUNT(U1198:X1198)=4,(U1198-V1198)/2,"")</f>
        <v/>
      </c>
      <c r="AA1198" s="7" t="str">
        <f aca="false">IF(COUNT(U1198:X1198)=4,MAX(1,MIN(10,ROUNDUP(5-Z1198,0))),"")</f>
        <v/>
      </c>
      <c r="AB1198" s="7" t="str">
        <f aca="false">IF(COUNT(U1198:X1198)=4,MAX(1,MIN(10,ROUNDUP(Y1198+5,0))),"")</f>
        <v/>
      </c>
      <c r="AC1198" s="6"/>
      <c r="AD1198" s="6"/>
    </row>
    <row r="1199" customFormat="false" ht="15" hidden="false" customHeight="true" outlineLevel="0" collapsed="false">
      <c r="A1199" s="5" t="n">
        <v>1198</v>
      </c>
      <c r="B1199" s="5" t="s">
        <v>3005</v>
      </c>
      <c r="C1199" s="5" t="s">
        <v>145</v>
      </c>
      <c r="D1199" s="5" t="s">
        <v>51</v>
      </c>
      <c r="E1199" s="5" t="n">
        <v>92</v>
      </c>
      <c r="F1199" s="5" t="s">
        <v>3006</v>
      </c>
      <c r="G1199" s="5" t="n">
        <v>4</v>
      </c>
      <c r="H1199" s="5" t="s">
        <v>53</v>
      </c>
      <c r="I1199" s="5" t="s">
        <v>54</v>
      </c>
      <c r="J1199" s="5" t="s">
        <v>55</v>
      </c>
      <c r="K1199" s="5" t="s">
        <v>55</v>
      </c>
      <c r="L1199" s="5" t="n">
        <v>5</v>
      </c>
      <c r="M1199" s="5" t="n">
        <v>3</v>
      </c>
      <c r="N1199" s="5" t="n">
        <v>4</v>
      </c>
      <c r="O1199" s="5" t="n">
        <v>8</v>
      </c>
      <c r="P1199" s="5" t="n">
        <v>-2</v>
      </c>
      <c r="Q1199" s="5" t="n">
        <v>1</v>
      </c>
      <c r="R1199" s="5" t="n">
        <v>4</v>
      </c>
      <c r="S1199" s="5" t="n">
        <v>3</v>
      </c>
      <c r="T1199" s="5" t="s">
        <v>3007</v>
      </c>
      <c r="U1199" s="6"/>
      <c r="V1199" s="6"/>
      <c r="W1199" s="6"/>
      <c r="X1199" s="6"/>
      <c r="Y1199" s="7" t="str">
        <f aca="false">IF(COUNT(U1199:X1199)=4,(W1199-X1199)/2,"")</f>
        <v/>
      </c>
      <c r="Z1199" s="7" t="str">
        <f aca="false">IF(COUNT(U1199:X1199)=4,(U1199-V1199)/2,"")</f>
        <v/>
      </c>
      <c r="AA1199" s="7" t="str">
        <f aca="false">IF(COUNT(U1199:X1199)=4,MAX(1,MIN(10,ROUNDUP(5-Z1199,0))),"")</f>
        <v/>
      </c>
      <c r="AB1199" s="7" t="str">
        <f aca="false">IF(COUNT(U1199:X1199)=4,MAX(1,MIN(10,ROUNDUP(Y1199+5,0))),"")</f>
        <v/>
      </c>
      <c r="AC1199" s="6"/>
      <c r="AD1199" s="6"/>
    </row>
    <row r="1200" customFormat="false" ht="15" hidden="false" customHeight="true" outlineLevel="0" collapsed="false">
      <c r="A1200" s="5" t="n">
        <v>1199</v>
      </c>
      <c r="B1200" s="5" t="s">
        <v>3008</v>
      </c>
      <c r="C1200" s="5" t="s">
        <v>145</v>
      </c>
      <c r="D1200" s="5" t="s">
        <v>51</v>
      </c>
      <c r="E1200" s="5" t="n">
        <v>92</v>
      </c>
      <c r="F1200" s="5" t="s">
        <v>3009</v>
      </c>
      <c r="G1200" s="5" t="n">
        <v>4</v>
      </c>
      <c r="H1200" s="5" t="s">
        <v>53</v>
      </c>
      <c r="I1200" s="5" t="s">
        <v>54</v>
      </c>
      <c r="J1200" s="5" t="s">
        <v>181</v>
      </c>
      <c r="K1200" s="5" t="s">
        <v>333</v>
      </c>
      <c r="L1200" s="5" t="n">
        <v>2</v>
      </c>
      <c r="M1200" s="5" t="n">
        <v>5</v>
      </c>
      <c r="N1200" s="5" t="n">
        <v>9</v>
      </c>
      <c r="O1200" s="5" t="n">
        <v>2</v>
      </c>
      <c r="P1200" s="5" t="n">
        <v>3.5</v>
      </c>
      <c r="Q1200" s="5" t="n">
        <v>-1.5</v>
      </c>
      <c r="R1200" s="5" t="n">
        <v>7</v>
      </c>
      <c r="S1200" s="5" t="n">
        <v>9</v>
      </c>
      <c r="T1200" s="5" t="s">
        <v>3010</v>
      </c>
      <c r="U1200" s="6"/>
      <c r="V1200" s="6"/>
      <c r="W1200" s="6"/>
      <c r="X1200" s="6"/>
      <c r="Y1200" s="7" t="str">
        <f aca="false">IF(COUNT(U1200:X1200)=4,(W1200-X1200)/2,"")</f>
        <v/>
      </c>
      <c r="Z1200" s="7" t="str">
        <f aca="false">IF(COUNT(U1200:X1200)=4,(U1200-V1200)/2,"")</f>
        <v/>
      </c>
      <c r="AA1200" s="7" t="str">
        <f aca="false">IF(COUNT(U1200:X1200)=4,MAX(1,MIN(10,ROUNDUP(5-Z1200,0))),"")</f>
        <v/>
      </c>
      <c r="AB1200" s="7" t="str">
        <f aca="false">IF(COUNT(U1200:X1200)=4,MAX(1,MIN(10,ROUNDUP(Y1200+5,0))),"")</f>
        <v/>
      </c>
      <c r="AC1200" s="6"/>
      <c r="AD1200" s="6"/>
    </row>
    <row r="1201" customFormat="false" ht="15" hidden="false" customHeight="true" outlineLevel="0" collapsed="false">
      <c r="A1201" s="5" t="n">
        <v>1200</v>
      </c>
      <c r="B1201" s="5" t="s">
        <v>3011</v>
      </c>
      <c r="C1201" s="5" t="s">
        <v>145</v>
      </c>
      <c r="D1201" s="5" t="s">
        <v>51</v>
      </c>
      <c r="E1201" s="5" t="n">
        <v>91</v>
      </c>
      <c r="F1201" s="5" t="s">
        <v>3012</v>
      </c>
      <c r="G1201" s="5" t="n">
        <v>4</v>
      </c>
      <c r="H1201" s="5" t="s">
        <v>53</v>
      </c>
      <c r="I1201" s="5" t="s">
        <v>54</v>
      </c>
      <c r="J1201" s="5" t="s">
        <v>55</v>
      </c>
      <c r="K1201" s="5" t="s">
        <v>55</v>
      </c>
      <c r="L1201" s="5" t="n">
        <v>5</v>
      </c>
      <c r="M1201" s="5" t="n">
        <v>2</v>
      </c>
      <c r="N1201" s="5" t="n">
        <v>4</v>
      </c>
      <c r="O1201" s="5" t="n">
        <v>8</v>
      </c>
      <c r="P1201" s="5" t="n">
        <v>-2</v>
      </c>
      <c r="Q1201" s="5" t="n">
        <v>1.5</v>
      </c>
      <c r="R1201" s="5" t="n">
        <v>4</v>
      </c>
      <c r="S1201" s="5" t="n">
        <v>3</v>
      </c>
      <c r="T1201" s="5" t="s">
        <v>3013</v>
      </c>
      <c r="U1201" s="6"/>
      <c r="V1201" s="6"/>
      <c r="W1201" s="6"/>
      <c r="X1201" s="6"/>
      <c r="Y1201" s="7" t="str">
        <f aca="false">IF(COUNT(U1201:X1201)=4,(W1201-X1201)/2,"")</f>
        <v/>
      </c>
      <c r="Z1201" s="7" t="str">
        <f aca="false">IF(COUNT(U1201:X1201)=4,(U1201-V1201)/2,"")</f>
        <v/>
      </c>
      <c r="AA1201" s="7" t="str">
        <f aca="false">IF(COUNT(U1201:X1201)=4,MAX(1,MIN(10,ROUNDUP(5-Z1201,0))),"")</f>
        <v/>
      </c>
      <c r="AB1201" s="7" t="str">
        <f aca="false">IF(COUNT(U1201:X1201)=4,MAX(1,MIN(10,ROUNDUP(Y1201+5,0))),"")</f>
        <v/>
      </c>
      <c r="AC1201" s="6"/>
      <c r="AD1201" s="6"/>
    </row>
    <row r="1202" customFormat="false" ht="15" hidden="false" customHeight="true" outlineLevel="0" collapsed="false">
      <c r="A1202" s="5" t="n">
        <v>1201</v>
      </c>
      <c r="B1202" s="5" t="s">
        <v>3014</v>
      </c>
      <c r="C1202" s="5" t="s">
        <v>145</v>
      </c>
      <c r="D1202" s="5" t="s">
        <v>51</v>
      </c>
      <c r="E1202" s="5" t="n">
        <v>91</v>
      </c>
      <c r="F1202" s="5" t="s">
        <v>3015</v>
      </c>
      <c r="G1202" s="5" t="n">
        <v>4</v>
      </c>
      <c r="H1202" s="5" t="s">
        <v>53</v>
      </c>
      <c r="I1202" s="5" t="s">
        <v>54</v>
      </c>
      <c r="J1202" s="5" t="s">
        <v>55</v>
      </c>
      <c r="K1202" s="5" t="s">
        <v>55</v>
      </c>
      <c r="L1202" s="5" t="n">
        <v>5</v>
      </c>
      <c r="M1202" s="5" t="n">
        <v>2</v>
      </c>
      <c r="N1202" s="5" t="n">
        <v>4</v>
      </c>
      <c r="O1202" s="5" t="n">
        <v>8</v>
      </c>
      <c r="P1202" s="5" t="n">
        <v>-2</v>
      </c>
      <c r="Q1202" s="5" t="n">
        <v>1.5</v>
      </c>
      <c r="R1202" s="5" t="n">
        <v>4</v>
      </c>
      <c r="S1202" s="5" t="n">
        <v>3</v>
      </c>
      <c r="T1202" s="5" t="s">
        <v>3016</v>
      </c>
      <c r="U1202" s="6"/>
      <c r="V1202" s="6"/>
      <c r="W1202" s="6"/>
      <c r="X1202" s="6"/>
      <c r="Y1202" s="7" t="str">
        <f aca="false">IF(COUNT(U1202:X1202)=4,(W1202-X1202)/2,"")</f>
        <v/>
      </c>
      <c r="Z1202" s="7" t="str">
        <f aca="false">IF(COUNT(U1202:X1202)=4,(U1202-V1202)/2,"")</f>
        <v/>
      </c>
      <c r="AA1202" s="7" t="str">
        <f aca="false">IF(COUNT(U1202:X1202)=4,MAX(1,MIN(10,ROUNDUP(5-Z1202,0))),"")</f>
        <v/>
      </c>
      <c r="AB1202" s="7" t="str">
        <f aca="false">IF(COUNT(U1202:X1202)=4,MAX(1,MIN(10,ROUNDUP(Y1202+5,0))),"")</f>
        <v/>
      </c>
      <c r="AC1202" s="6"/>
      <c r="AD1202" s="6"/>
    </row>
    <row r="1203" customFormat="false" ht="15" hidden="false" customHeight="true" outlineLevel="0" collapsed="false">
      <c r="A1203" s="5" t="n">
        <v>1202</v>
      </c>
      <c r="B1203" s="5" t="s">
        <v>3017</v>
      </c>
      <c r="C1203" s="5" t="s">
        <v>203</v>
      </c>
      <c r="D1203" s="5" t="s">
        <v>204</v>
      </c>
      <c r="E1203" s="5" t="n">
        <v>91</v>
      </c>
      <c r="F1203" s="5" t="s">
        <v>3017</v>
      </c>
      <c r="G1203" s="5" t="n">
        <v>4</v>
      </c>
      <c r="H1203" s="5" t="s">
        <v>53</v>
      </c>
      <c r="I1203" s="5" t="s">
        <v>54</v>
      </c>
      <c r="J1203" s="5" t="s">
        <v>117</v>
      </c>
      <c r="K1203" s="5" t="s">
        <v>117</v>
      </c>
      <c r="L1203" s="5" t="n">
        <v>4</v>
      </c>
      <c r="M1203" s="5" t="n">
        <v>1</v>
      </c>
      <c r="N1203" s="5" t="n">
        <v>1</v>
      </c>
      <c r="O1203" s="5" t="n">
        <v>9</v>
      </c>
      <c r="P1203" s="5" t="n">
        <v>-4</v>
      </c>
      <c r="Q1203" s="5" t="n">
        <v>1.5</v>
      </c>
      <c r="R1203" s="5" t="n">
        <v>4</v>
      </c>
      <c r="S1203" s="5" t="n">
        <v>1</v>
      </c>
      <c r="T1203" s="5" t="s">
        <v>250</v>
      </c>
      <c r="U1203" s="6"/>
      <c r="V1203" s="6"/>
      <c r="W1203" s="6"/>
      <c r="X1203" s="6"/>
      <c r="Y1203" s="7" t="str">
        <f aca="false">IF(COUNT(U1203:X1203)=4,(W1203-X1203)/2,"")</f>
        <v/>
      </c>
      <c r="Z1203" s="7" t="str">
        <f aca="false">IF(COUNT(U1203:X1203)=4,(U1203-V1203)/2,"")</f>
        <v/>
      </c>
      <c r="AA1203" s="7" t="str">
        <f aca="false">IF(COUNT(U1203:X1203)=4,MAX(1,MIN(10,ROUNDUP(5-Z1203,0))),"")</f>
        <v/>
      </c>
      <c r="AB1203" s="7" t="str">
        <f aca="false">IF(COUNT(U1203:X1203)=4,MAX(1,MIN(10,ROUNDUP(Y1203+5,0))),"")</f>
        <v/>
      </c>
      <c r="AC1203" s="6"/>
      <c r="AD1203" s="6"/>
    </row>
    <row r="1204" customFormat="false" ht="15" hidden="false" customHeight="true" outlineLevel="0" collapsed="false">
      <c r="A1204" s="5" t="n">
        <v>1203</v>
      </c>
      <c r="B1204" s="5" t="s">
        <v>3018</v>
      </c>
      <c r="C1204" s="5" t="s">
        <v>145</v>
      </c>
      <c r="D1204" s="5" t="s">
        <v>51</v>
      </c>
      <c r="E1204" s="5" t="n">
        <v>91</v>
      </c>
      <c r="F1204" s="5" t="s">
        <v>3019</v>
      </c>
      <c r="G1204" s="5" t="n">
        <v>4</v>
      </c>
      <c r="H1204" s="5" t="s">
        <v>53</v>
      </c>
      <c r="I1204" s="5" t="s">
        <v>81</v>
      </c>
      <c r="J1204" s="5" t="s">
        <v>174</v>
      </c>
      <c r="K1204" s="5" t="s">
        <v>175</v>
      </c>
      <c r="L1204" s="5" t="n">
        <v>7</v>
      </c>
      <c r="M1204" s="5" t="n">
        <v>1</v>
      </c>
      <c r="N1204" s="5" t="n">
        <v>3</v>
      </c>
      <c r="O1204" s="5" t="n">
        <v>8</v>
      </c>
      <c r="P1204" s="5" t="n">
        <v>-2.5</v>
      </c>
      <c r="Q1204" s="5" t="n">
        <v>3</v>
      </c>
      <c r="R1204" s="5" t="n">
        <v>2</v>
      </c>
      <c r="S1204" s="5" t="n">
        <v>3</v>
      </c>
      <c r="T1204" s="5" t="s">
        <v>1680</v>
      </c>
      <c r="U1204" s="6"/>
      <c r="V1204" s="6"/>
      <c r="W1204" s="6"/>
      <c r="X1204" s="6"/>
      <c r="Y1204" s="7" t="str">
        <f aca="false">IF(COUNT(U1204:X1204)=4,(W1204-X1204)/2,"")</f>
        <v/>
      </c>
      <c r="Z1204" s="7" t="str">
        <f aca="false">IF(COUNT(U1204:X1204)=4,(U1204-V1204)/2,"")</f>
        <v/>
      </c>
      <c r="AA1204" s="7" t="str">
        <f aca="false">IF(COUNT(U1204:X1204)=4,MAX(1,MIN(10,ROUNDUP(5-Z1204,0))),"")</f>
        <v/>
      </c>
      <c r="AB1204" s="7" t="str">
        <f aca="false">IF(COUNT(U1204:X1204)=4,MAX(1,MIN(10,ROUNDUP(Y1204+5,0))),"")</f>
        <v/>
      </c>
      <c r="AC1204" s="6"/>
      <c r="AD1204" s="6"/>
    </row>
    <row r="1205" customFormat="false" ht="15" hidden="false" customHeight="true" outlineLevel="0" collapsed="false">
      <c r="A1205" s="5" t="n">
        <v>1204</v>
      </c>
      <c r="B1205" s="5" t="s">
        <v>3020</v>
      </c>
      <c r="C1205" s="5" t="s">
        <v>108</v>
      </c>
      <c r="D1205" s="5" t="s">
        <v>109</v>
      </c>
      <c r="E1205" s="5" t="n">
        <v>91</v>
      </c>
      <c r="F1205" s="5" t="s">
        <v>3020</v>
      </c>
      <c r="G1205" s="5" t="n">
        <v>4</v>
      </c>
      <c r="H1205" s="5" t="s">
        <v>53</v>
      </c>
      <c r="I1205" s="5" t="s">
        <v>54</v>
      </c>
      <c r="J1205" s="5" t="s">
        <v>117</v>
      </c>
      <c r="K1205" s="5" t="s">
        <v>117</v>
      </c>
      <c r="L1205" s="5" t="n">
        <v>3</v>
      </c>
      <c r="M1205" s="5" t="n">
        <v>1</v>
      </c>
      <c r="N1205" s="5" t="n">
        <v>2</v>
      </c>
      <c r="O1205" s="5" t="n">
        <v>7</v>
      </c>
      <c r="P1205" s="5" t="n">
        <v>-2.5</v>
      </c>
      <c r="Q1205" s="5" t="n">
        <v>1</v>
      </c>
      <c r="R1205" s="5" t="n">
        <v>4</v>
      </c>
      <c r="S1205" s="5" t="n">
        <v>3</v>
      </c>
      <c r="T1205" s="5" t="s">
        <v>3021</v>
      </c>
      <c r="U1205" s="6"/>
      <c r="V1205" s="6"/>
      <c r="W1205" s="6"/>
      <c r="X1205" s="6"/>
      <c r="Y1205" s="7" t="str">
        <f aca="false">IF(COUNT(U1205:X1205)=4,(W1205-X1205)/2,"")</f>
        <v/>
      </c>
      <c r="Z1205" s="7" t="str">
        <f aca="false">IF(COUNT(U1205:X1205)=4,(U1205-V1205)/2,"")</f>
        <v/>
      </c>
      <c r="AA1205" s="7" t="str">
        <f aca="false">IF(COUNT(U1205:X1205)=4,MAX(1,MIN(10,ROUNDUP(5-Z1205,0))),"")</f>
        <v/>
      </c>
      <c r="AB1205" s="7" t="str">
        <f aca="false">IF(COUNT(U1205:X1205)=4,MAX(1,MIN(10,ROUNDUP(Y1205+5,0))),"")</f>
        <v/>
      </c>
      <c r="AC1205" s="6"/>
      <c r="AD1205" s="6"/>
    </row>
    <row r="1206" customFormat="false" ht="15" hidden="false" customHeight="true" outlineLevel="0" collapsed="false">
      <c r="A1206" s="5" t="n">
        <v>1205</v>
      </c>
      <c r="B1206" s="5" t="s">
        <v>3022</v>
      </c>
      <c r="C1206" s="5" t="s">
        <v>108</v>
      </c>
      <c r="D1206" s="5" t="s">
        <v>109</v>
      </c>
      <c r="E1206" s="5" t="n">
        <v>91</v>
      </c>
      <c r="F1206" s="5" t="s">
        <v>3022</v>
      </c>
      <c r="G1206" s="5" t="n">
        <v>4</v>
      </c>
      <c r="H1206" s="5" t="s">
        <v>53</v>
      </c>
      <c r="I1206" s="5" t="s">
        <v>54</v>
      </c>
      <c r="J1206" s="5" t="s">
        <v>117</v>
      </c>
      <c r="K1206" s="5" t="s">
        <v>117</v>
      </c>
      <c r="L1206" s="5" t="n">
        <v>3</v>
      </c>
      <c r="M1206" s="5" t="n">
        <v>2</v>
      </c>
      <c r="N1206" s="5" t="n">
        <v>2</v>
      </c>
      <c r="O1206" s="5" t="n">
        <v>7</v>
      </c>
      <c r="P1206" s="5" t="n">
        <v>-2.5</v>
      </c>
      <c r="Q1206" s="5" t="n">
        <v>0.5</v>
      </c>
      <c r="R1206" s="5" t="n">
        <v>5</v>
      </c>
      <c r="S1206" s="5" t="n">
        <v>3</v>
      </c>
      <c r="T1206" s="5" t="s">
        <v>1207</v>
      </c>
      <c r="U1206" s="6"/>
      <c r="V1206" s="6"/>
      <c r="W1206" s="6"/>
      <c r="X1206" s="6"/>
      <c r="Y1206" s="7" t="str">
        <f aca="false">IF(COUNT(U1206:X1206)=4,(W1206-X1206)/2,"")</f>
        <v/>
      </c>
      <c r="Z1206" s="7" t="str">
        <f aca="false">IF(COUNT(U1206:X1206)=4,(U1206-V1206)/2,"")</f>
        <v/>
      </c>
      <c r="AA1206" s="7" t="str">
        <f aca="false">IF(COUNT(U1206:X1206)=4,MAX(1,MIN(10,ROUNDUP(5-Z1206,0))),"")</f>
        <v/>
      </c>
      <c r="AB1206" s="7" t="str">
        <f aca="false">IF(COUNT(U1206:X1206)=4,MAX(1,MIN(10,ROUNDUP(Y1206+5,0))),"")</f>
        <v/>
      </c>
      <c r="AC1206" s="6"/>
      <c r="AD1206" s="6"/>
    </row>
    <row r="1207" customFormat="false" ht="15" hidden="false" customHeight="true" outlineLevel="0" collapsed="false">
      <c r="A1207" s="5" t="n">
        <v>1206</v>
      </c>
      <c r="B1207" s="5" t="s">
        <v>3023</v>
      </c>
      <c r="C1207" s="5" t="s">
        <v>171</v>
      </c>
      <c r="D1207" s="5" t="s">
        <v>172</v>
      </c>
      <c r="E1207" s="5" t="n">
        <v>91</v>
      </c>
      <c r="F1207" s="5" t="s">
        <v>3024</v>
      </c>
      <c r="G1207" s="5" t="n">
        <v>4</v>
      </c>
      <c r="H1207" s="5" t="s">
        <v>53</v>
      </c>
      <c r="I1207" s="5" t="s">
        <v>81</v>
      </c>
      <c r="J1207" s="5" t="s">
        <v>174</v>
      </c>
      <c r="K1207" s="5" t="s">
        <v>175</v>
      </c>
      <c r="L1207" s="5" t="n">
        <v>7</v>
      </c>
      <c r="M1207" s="5" t="n">
        <v>1</v>
      </c>
      <c r="N1207" s="5" t="n">
        <v>6</v>
      </c>
      <c r="O1207" s="5" t="n">
        <v>5</v>
      </c>
      <c r="P1207" s="5" t="n">
        <v>0.5</v>
      </c>
      <c r="Q1207" s="5" t="n">
        <v>3</v>
      </c>
      <c r="R1207" s="5" t="n">
        <v>2</v>
      </c>
      <c r="S1207" s="5" t="n">
        <v>6</v>
      </c>
      <c r="T1207" s="5" t="s">
        <v>2670</v>
      </c>
      <c r="U1207" s="6"/>
      <c r="V1207" s="6"/>
      <c r="W1207" s="6"/>
      <c r="X1207" s="6"/>
      <c r="Y1207" s="7" t="str">
        <f aca="false">IF(COUNT(U1207:X1207)=4,(W1207-X1207)/2,"")</f>
        <v/>
      </c>
      <c r="Z1207" s="7" t="str">
        <f aca="false">IF(COUNT(U1207:X1207)=4,(U1207-V1207)/2,"")</f>
        <v/>
      </c>
      <c r="AA1207" s="7" t="str">
        <f aca="false">IF(COUNT(U1207:X1207)=4,MAX(1,MIN(10,ROUNDUP(5-Z1207,0))),"")</f>
        <v/>
      </c>
      <c r="AB1207" s="7" t="str">
        <f aca="false">IF(COUNT(U1207:X1207)=4,MAX(1,MIN(10,ROUNDUP(Y1207+5,0))),"")</f>
        <v/>
      </c>
      <c r="AC1207" s="6"/>
      <c r="AD1207" s="6"/>
    </row>
    <row r="1208" customFormat="false" ht="15" hidden="false" customHeight="true" outlineLevel="0" collapsed="false">
      <c r="A1208" s="5" t="n">
        <v>1207</v>
      </c>
      <c r="B1208" s="5" t="s">
        <v>3025</v>
      </c>
      <c r="C1208" s="5" t="s">
        <v>145</v>
      </c>
      <c r="D1208" s="5" t="s">
        <v>51</v>
      </c>
      <c r="E1208" s="5" t="n">
        <v>91</v>
      </c>
      <c r="F1208" s="5" t="s">
        <v>3026</v>
      </c>
      <c r="G1208" s="5" t="n">
        <v>4</v>
      </c>
      <c r="H1208" s="5" t="s">
        <v>53</v>
      </c>
      <c r="I1208" s="5" t="s">
        <v>54</v>
      </c>
      <c r="J1208" s="5" t="s">
        <v>55</v>
      </c>
      <c r="K1208" s="5" t="s">
        <v>55</v>
      </c>
      <c r="L1208" s="5" t="n">
        <v>4</v>
      </c>
      <c r="M1208" s="5" t="n">
        <v>3</v>
      </c>
      <c r="N1208" s="5" t="n">
        <v>4</v>
      </c>
      <c r="O1208" s="5" t="n">
        <v>6</v>
      </c>
      <c r="P1208" s="5" t="n">
        <v>-1</v>
      </c>
      <c r="Q1208" s="5" t="n">
        <v>0.5</v>
      </c>
      <c r="R1208" s="5" t="n">
        <v>5</v>
      </c>
      <c r="S1208" s="5" t="n">
        <v>4</v>
      </c>
      <c r="T1208" s="5" t="s">
        <v>355</v>
      </c>
      <c r="U1208" s="6"/>
      <c r="V1208" s="6"/>
      <c r="W1208" s="6"/>
      <c r="X1208" s="6"/>
      <c r="Y1208" s="7" t="str">
        <f aca="false">IF(COUNT(U1208:X1208)=4,(W1208-X1208)/2,"")</f>
        <v/>
      </c>
      <c r="Z1208" s="7" t="str">
        <f aca="false">IF(COUNT(U1208:X1208)=4,(U1208-V1208)/2,"")</f>
        <v/>
      </c>
      <c r="AA1208" s="7" t="str">
        <f aca="false">IF(COUNT(U1208:X1208)=4,MAX(1,MIN(10,ROUNDUP(5-Z1208,0))),"")</f>
        <v/>
      </c>
      <c r="AB1208" s="7" t="str">
        <f aca="false">IF(COUNT(U1208:X1208)=4,MAX(1,MIN(10,ROUNDUP(Y1208+5,0))),"")</f>
        <v/>
      </c>
      <c r="AC1208" s="6"/>
      <c r="AD1208" s="6"/>
    </row>
    <row r="1209" customFormat="false" ht="15" hidden="false" customHeight="true" outlineLevel="0" collapsed="false">
      <c r="A1209" s="5" t="n">
        <v>1208</v>
      </c>
      <c r="B1209" s="5" t="s">
        <v>3027</v>
      </c>
      <c r="C1209" s="5" t="s">
        <v>171</v>
      </c>
      <c r="D1209" s="5" t="s">
        <v>172</v>
      </c>
      <c r="E1209" s="5" t="n">
        <v>91</v>
      </c>
      <c r="F1209" s="5" t="s">
        <v>3028</v>
      </c>
      <c r="G1209" s="5" t="n">
        <v>4</v>
      </c>
      <c r="H1209" s="5" t="s">
        <v>53</v>
      </c>
      <c r="I1209" s="5" t="s">
        <v>54</v>
      </c>
      <c r="J1209" s="5" t="s">
        <v>181</v>
      </c>
      <c r="K1209" s="5" t="s">
        <v>413</v>
      </c>
      <c r="L1209" s="5" t="n">
        <v>3</v>
      </c>
      <c r="M1209" s="5" t="n">
        <v>6</v>
      </c>
      <c r="N1209" s="5" t="n">
        <v>3</v>
      </c>
      <c r="O1209" s="5" t="n">
        <v>8</v>
      </c>
      <c r="P1209" s="5" t="n">
        <v>-2.5</v>
      </c>
      <c r="Q1209" s="5" t="n">
        <v>-1.5</v>
      </c>
      <c r="R1209" s="5" t="n">
        <v>7</v>
      </c>
      <c r="S1209" s="5" t="n">
        <v>3</v>
      </c>
      <c r="T1209" s="5" t="s">
        <v>2237</v>
      </c>
      <c r="U1209" s="6"/>
      <c r="V1209" s="6"/>
      <c r="W1209" s="6"/>
      <c r="X1209" s="6"/>
      <c r="Y1209" s="7" t="str">
        <f aca="false">IF(COUNT(U1209:X1209)=4,(W1209-X1209)/2,"")</f>
        <v/>
      </c>
      <c r="Z1209" s="7" t="str">
        <f aca="false">IF(COUNT(U1209:X1209)=4,(U1209-V1209)/2,"")</f>
        <v/>
      </c>
      <c r="AA1209" s="7" t="str">
        <f aca="false">IF(COUNT(U1209:X1209)=4,MAX(1,MIN(10,ROUNDUP(5-Z1209,0))),"")</f>
        <v/>
      </c>
      <c r="AB1209" s="7" t="str">
        <f aca="false">IF(COUNT(U1209:X1209)=4,MAX(1,MIN(10,ROUNDUP(Y1209+5,0))),"")</f>
        <v/>
      </c>
      <c r="AC1209" s="6"/>
      <c r="AD1209" s="6"/>
    </row>
    <row r="1210" customFormat="false" ht="15" hidden="false" customHeight="true" outlineLevel="0" collapsed="false">
      <c r="A1210" s="5" t="n">
        <v>1209</v>
      </c>
      <c r="B1210" s="5" t="s">
        <v>3029</v>
      </c>
      <c r="C1210" s="5" t="s">
        <v>171</v>
      </c>
      <c r="D1210" s="5" t="s">
        <v>172</v>
      </c>
      <c r="E1210" s="5" t="n">
        <v>91</v>
      </c>
      <c r="F1210" s="5" t="s">
        <v>3029</v>
      </c>
      <c r="G1210" s="5" t="n">
        <v>4</v>
      </c>
      <c r="H1210" s="5" t="s">
        <v>53</v>
      </c>
      <c r="I1210" s="5" t="s">
        <v>54</v>
      </c>
      <c r="J1210" s="5" t="s">
        <v>181</v>
      </c>
      <c r="K1210" s="5" t="s">
        <v>333</v>
      </c>
      <c r="L1210" s="5" t="n">
        <v>2</v>
      </c>
      <c r="M1210" s="5" t="n">
        <v>5</v>
      </c>
      <c r="N1210" s="5" t="n">
        <v>9</v>
      </c>
      <c r="O1210" s="5" t="n">
        <v>2</v>
      </c>
      <c r="P1210" s="5" t="n">
        <v>3.5</v>
      </c>
      <c r="Q1210" s="5" t="n">
        <v>-1.5</v>
      </c>
      <c r="R1210" s="5" t="n">
        <v>7</v>
      </c>
      <c r="S1210" s="5" t="n">
        <v>9</v>
      </c>
      <c r="T1210" s="5" t="s">
        <v>3030</v>
      </c>
      <c r="U1210" s="6"/>
      <c r="V1210" s="6"/>
      <c r="W1210" s="6"/>
      <c r="X1210" s="6"/>
      <c r="Y1210" s="7" t="str">
        <f aca="false">IF(COUNT(U1210:X1210)=4,(W1210-X1210)/2,"")</f>
        <v/>
      </c>
      <c r="Z1210" s="7" t="str">
        <f aca="false">IF(COUNT(U1210:X1210)=4,(U1210-V1210)/2,"")</f>
        <v/>
      </c>
      <c r="AA1210" s="7" t="str">
        <f aca="false">IF(COUNT(U1210:X1210)=4,MAX(1,MIN(10,ROUNDUP(5-Z1210,0))),"")</f>
        <v/>
      </c>
      <c r="AB1210" s="7" t="str">
        <f aca="false">IF(COUNT(U1210:X1210)=4,MAX(1,MIN(10,ROUNDUP(Y1210+5,0))),"")</f>
        <v/>
      </c>
      <c r="AC1210" s="6"/>
      <c r="AD1210" s="6"/>
    </row>
    <row r="1211" customFormat="false" ht="15" hidden="false" customHeight="true" outlineLevel="0" collapsed="false">
      <c r="A1211" s="5" t="n">
        <v>1210</v>
      </c>
      <c r="B1211" s="5" t="s">
        <v>3031</v>
      </c>
      <c r="C1211" s="5" t="s">
        <v>145</v>
      </c>
      <c r="D1211" s="5" t="s">
        <v>51</v>
      </c>
      <c r="E1211" s="5" t="n">
        <v>91</v>
      </c>
      <c r="F1211" s="5" t="s">
        <v>3032</v>
      </c>
      <c r="G1211" s="5" t="n">
        <v>4</v>
      </c>
      <c r="H1211" s="5" t="s">
        <v>53</v>
      </c>
      <c r="I1211" s="5" t="s">
        <v>54</v>
      </c>
      <c r="J1211" s="5" t="s">
        <v>181</v>
      </c>
      <c r="K1211" s="5" t="s">
        <v>221</v>
      </c>
      <c r="L1211" s="5" t="n">
        <v>2</v>
      </c>
      <c r="M1211" s="5" t="n">
        <v>5</v>
      </c>
      <c r="N1211" s="5" t="n">
        <v>6</v>
      </c>
      <c r="O1211" s="5" t="n">
        <v>5</v>
      </c>
      <c r="P1211" s="5" t="n">
        <v>0.5</v>
      </c>
      <c r="Q1211" s="5" t="n">
        <v>-1.5</v>
      </c>
      <c r="R1211" s="5" t="n">
        <v>7</v>
      </c>
      <c r="S1211" s="5" t="n">
        <v>6</v>
      </c>
      <c r="T1211" s="5" t="s">
        <v>3033</v>
      </c>
      <c r="U1211" s="6"/>
      <c r="V1211" s="6"/>
      <c r="W1211" s="6"/>
      <c r="X1211" s="6"/>
      <c r="Y1211" s="7" t="str">
        <f aca="false">IF(COUNT(U1211:X1211)=4,(W1211-X1211)/2,"")</f>
        <v/>
      </c>
      <c r="Z1211" s="7" t="str">
        <f aca="false">IF(COUNT(U1211:X1211)=4,(U1211-V1211)/2,"")</f>
        <v/>
      </c>
      <c r="AA1211" s="7" t="str">
        <f aca="false">IF(COUNT(U1211:X1211)=4,MAX(1,MIN(10,ROUNDUP(5-Z1211,0))),"")</f>
        <v/>
      </c>
      <c r="AB1211" s="7" t="str">
        <f aca="false">IF(COUNT(U1211:X1211)=4,MAX(1,MIN(10,ROUNDUP(Y1211+5,0))),"")</f>
        <v/>
      </c>
      <c r="AC1211" s="6"/>
      <c r="AD1211" s="6"/>
    </row>
    <row r="1212" customFormat="false" ht="15" hidden="false" customHeight="true" outlineLevel="0" collapsed="false">
      <c r="A1212" s="5" t="n">
        <v>1211</v>
      </c>
      <c r="B1212" s="5" t="s">
        <v>3034</v>
      </c>
      <c r="C1212" s="5" t="s">
        <v>171</v>
      </c>
      <c r="D1212" s="5" t="s">
        <v>172</v>
      </c>
      <c r="E1212" s="5" t="n">
        <v>91</v>
      </c>
      <c r="F1212" s="5" t="s">
        <v>3035</v>
      </c>
      <c r="G1212" s="5" t="n">
        <v>4</v>
      </c>
      <c r="H1212" s="5" t="s">
        <v>53</v>
      </c>
      <c r="I1212" s="5" t="s">
        <v>54</v>
      </c>
      <c r="J1212" s="5" t="s">
        <v>181</v>
      </c>
      <c r="K1212" s="5" t="s">
        <v>333</v>
      </c>
      <c r="L1212" s="5" t="n">
        <v>2</v>
      </c>
      <c r="M1212" s="5" t="n">
        <v>5</v>
      </c>
      <c r="N1212" s="5" t="n">
        <v>9</v>
      </c>
      <c r="O1212" s="5" t="n">
        <v>2</v>
      </c>
      <c r="P1212" s="5" t="n">
        <v>3.5</v>
      </c>
      <c r="Q1212" s="5" t="n">
        <v>-1.5</v>
      </c>
      <c r="R1212" s="5" t="n">
        <v>7</v>
      </c>
      <c r="S1212" s="5" t="n">
        <v>9</v>
      </c>
      <c r="T1212" s="5" t="s">
        <v>3036</v>
      </c>
      <c r="U1212" s="6"/>
      <c r="V1212" s="6"/>
      <c r="W1212" s="6"/>
      <c r="X1212" s="6"/>
      <c r="Y1212" s="7" t="str">
        <f aca="false">IF(COUNT(U1212:X1212)=4,(W1212-X1212)/2,"")</f>
        <v/>
      </c>
      <c r="Z1212" s="7" t="str">
        <f aca="false">IF(COUNT(U1212:X1212)=4,(U1212-V1212)/2,"")</f>
        <v/>
      </c>
      <c r="AA1212" s="7" t="str">
        <f aca="false">IF(COUNT(U1212:X1212)=4,MAX(1,MIN(10,ROUNDUP(5-Z1212,0))),"")</f>
        <v/>
      </c>
      <c r="AB1212" s="7" t="str">
        <f aca="false">IF(COUNT(U1212:X1212)=4,MAX(1,MIN(10,ROUNDUP(Y1212+5,0))),"")</f>
        <v/>
      </c>
      <c r="AC1212" s="6"/>
      <c r="AD1212" s="6"/>
    </row>
    <row r="1213" customFormat="false" ht="15" hidden="false" customHeight="true" outlineLevel="0" collapsed="false">
      <c r="A1213" s="5" t="n">
        <v>1212</v>
      </c>
      <c r="B1213" s="5" t="s">
        <v>3037</v>
      </c>
      <c r="C1213" s="5" t="s">
        <v>171</v>
      </c>
      <c r="D1213" s="5" t="s">
        <v>172</v>
      </c>
      <c r="E1213" s="5" t="n">
        <v>91</v>
      </c>
      <c r="F1213" s="5" t="s">
        <v>3037</v>
      </c>
      <c r="G1213" s="5" t="n">
        <v>4</v>
      </c>
      <c r="H1213" s="5" t="s">
        <v>53</v>
      </c>
      <c r="I1213" s="5" t="s">
        <v>54</v>
      </c>
      <c r="J1213" s="5" t="s">
        <v>181</v>
      </c>
      <c r="K1213" s="5" t="s">
        <v>235</v>
      </c>
      <c r="L1213" s="5" t="n">
        <v>6</v>
      </c>
      <c r="M1213" s="5" t="n">
        <v>4</v>
      </c>
      <c r="N1213" s="5" t="n">
        <v>7</v>
      </c>
      <c r="O1213" s="5" t="n">
        <v>4</v>
      </c>
      <c r="P1213" s="5" t="n">
        <v>1.5</v>
      </c>
      <c r="Q1213" s="5" t="n">
        <v>1</v>
      </c>
      <c r="R1213" s="5" t="n">
        <v>4</v>
      </c>
      <c r="S1213" s="5" t="n">
        <v>7</v>
      </c>
      <c r="T1213" s="5" t="s">
        <v>178</v>
      </c>
      <c r="U1213" s="6"/>
      <c r="V1213" s="6"/>
      <c r="W1213" s="6"/>
      <c r="X1213" s="6"/>
      <c r="Y1213" s="7" t="str">
        <f aca="false">IF(COUNT(U1213:X1213)=4,(W1213-X1213)/2,"")</f>
        <v/>
      </c>
      <c r="Z1213" s="7" t="str">
        <f aca="false">IF(COUNT(U1213:X1213)=4,(U1213-V1213)/2,"")</f>
        <v/>
      </c>
      <c r="AA1213" s="7" t="str">
        <f aca="false">IF(COUNT(U1213:X1213)=4,MAX(1,MIN(10,ROUNDUP(5-Z1213,0))),"")</f>
        <v/>
      </c>
      <c r="AB1213" s="7" t="str">
        <f aca="false">IF(COUNT(U1213:X1213)=4,MAX(1,MIN(10,ROUNDUP(Y1213+5,0))),"")</f>
        <v/>
      </c>
      <c r="AC1213" s="6"/>
      <c r="AD1213" s="6"/>
    </row>
    <row r="1214" customFormat="false" ht="15" hidden="false" customHeight="true" outlineLevel="0" collapsed="false">
      <c r="A1214" s="5" t="n">
        <v>1213</v>
      </c>
      <c r="B1214" s="5" t="s">
        <v>3038</v>
      </c>
      <c r="C1214" s="5" t="s">
        <v>203</v>
      </c>
      <c r="D1214" s="5" t="s">
        <v>204</v>
      </c>
      <c r="E1214" s="5" t="n">
        <v>91</v>
      </c>
      <c r="F1214" s="5" t="s">
        <v>3039</v>
      </c>
      <c r="G1214" s="5" t="n">
        <v>4</v>
      </c>
      <c r="H1214" s="5" t="s">
        <v>53</v>
      </c>
      <c r="I1214" s="5" t="s">
        <v>54</v>
      </c>
      <c r="J1214" s="5" t="s">
        <v>117</v>
      </c>
      <c r="K1214" s="5" t="s">
        <v>117</v>
      </c>
      <c r="L1214" s="5" t="n">
        <v>4</v>
      </c>
      <c r="M1214" s="5" t="n">
        <v>2</v>
      </c>
      <c r="N1214" s="5" t="n">
        <v>8</v>
      </c>
      <c r="O1214" s="5" t="n">
        <v>2</v>
      </c>
      <c r="P1214" s="5" t="n">
        <v>3</v>
      </c>
      <c r="Q1214" s="5" t="n">
        <v>1</v>
      </c>
      <c r="R1214" s="5" t="n">
        <v>4</v>
      </c>
      <c r="S1214" s="5" t="n">
        <v>8</v>
      </c>
      <c r="T1214" s="5" t="s">
        <v>394</v>
      </c>
      <c r="U1214" s="6"/>
      <c r="V1214" s="6"/>
      <c r="W1214" s="6"/>
      <c r="X1214" s="6"/>
      <c r="Y1214" s="7" t="str">
        <f aca="false">IF(COUNT(U1214:X1214)=4,(W1214-X1214)/2,"")</f>
        <v/>
      </c>
      <c r="Z1214" s="7" t="str">
        <f aca="false">IF(COUNT(U1214:X1214)=4,(U1214-V1214)/2,"")</f>
        <v/>
      </c>
      <c r="AA1214" s="7" t="str">
        <f aca="false">IF(COUNT(U1214:X1214)=4,MAX(1,MIN(10,ROUNDUP(5-Z1214,0))),"")</f>
        <v/>
      </c>
      <c r="AB1214" s="7" t="str">
        <f aca="false">IF(COUNT(U1214:X1214)=4,MAX(1,MIN(10,ROUNDUP(Y1214+5,0))),"")</f>
        <v/>
      </c>
      <c r="AC1214" s="6"/>
      <c r="AD1214" s="6"/>
    </row>
    <row r="1215" customFormat="false" ht="15" hidden="false" customHeight="true" outlineLevel="0" collapsed="false">
      <c r="A1215" s="5" t="n">
        <v>1214</v>
      </c>
      <c r="B1215" s="5" t="s">
        <v>3040</v>
      </c>
      <c r="C1215" s="5" t="s">
        <v>171</v>
      </c>
      <c r="D1215" s="5" t="s">
        <v>172</v>
      </c>
      <c r="E1215" s="5" t="n">
        <v>90</v>
      </c>
      <c r="F1215" s="5" t="s">
        <v>3041</v>
      </c>
      <c r="G1215" s="5" t="n">
        <v>4</v>
      </c>
      <c r="H1215" s="5" t="s">
        <v>53</v>
      </c>
      <c r="I1215" s="5" t="s">
        <v>81</v>
      </c>
      <c r="J1215" s="5" t="s">
        <v>174</v>
      </c>
      <c r="K1215" s="5" t="s">
        <v>175</v>
      </c>
      <c r="L1215" s="5" t="n">
        <v>7</v>
      </c>
      <c r="M1215" s="5" t="n">
        <v>1</v>
      </c>
      <c r="N1215" s="5" t="n">
        <v>3</v>
      </c>
      <c r="O1215" s="5" t="n">
        <v>8</v>
      </c>
      <c r="P1215" s="5" t="n">
        <v>-2.5</v>
      </c>
      <c r="Q1215" s="5" t="n">
        <v>3</v>
      </c>
      <c r="R1215" s="5" t="n">
        <v>2</v>
      </c>
      <c r="S1215" s="5" t="n">
        <v>3</v>
      </c>
      <c r="T1215" s="5" t="s">
        <v>937</v>
      </c>
      <c r="U1215" s="6"/>
      <c r="V1215" s="6"/>
      <c r="W1215" s="6"/>
      <c r="X1215" s="6"/>
      <c r="Y1215" s="7" t="str">
        <f aca="false">IF(COUNT(U1215:X1215)=4,(W1215-X1215)/2,"")</f>
        <v/>
      </c>
      <c r="Z1215" s="7" t="str">
        <f aca="false">IF(COUNT(U1215:X1215)=4,(U1215-V1215)/2,"")</f>
        <v/>
      </c>
      <c r="AA1215" s="7" t="str">
        <f aca="false">IF(COUNT(U1215:X1215)=4,MAX(1,MIN(10,ROUNDUP(5-Z1215,0))),"")</f>
        <v/>
      </c>
      <c r="AB1215" s="7" t="str">
        <f aca="false">IF(COUNT(U1215:X1215)=4,MAX(1,MIN(10,ROUNDUP(Y1215+5,0))),"")</f>
        <v/>
      </c>
      <c r="AC1215" s="6"/>
      <c r="AD1215" s="6"/>
    </row>
    <row r="1216" customFormat="false" ht="15" hidden="false" customHeight="true" outlineLevel="0" collapsed="false">
      <c r="A1216" s="5" t="n">
        <v>1215</v>
      </c>
      <c r="B1216" s="5" t="s">
        <v>3042</v>
      </c>
      <c r="C1216" s="5" t="s">
        <v>171</v>
      </c>
      <c r="D1216" s="5" t="s">
        <v>172</v>
      </c>
      <c r="E1216" s="5" t="n">
        <v>90</v>
      </c>
      <c r="F1216" s="5" t="s">
        <v>3043</v>
      </c>
      <c r="G1216" s="5" t="n">
        <v>4</v>
      </c>
      <c r="H1216" s="5" t="s">
        <v>53</v>
      </c>
      <c r="I1216" s="5" t="s">
        <v>54</v>
      </c>
      <c r="J1216" s="5" t="s">
        <v>181</v>
      </c>
      <c r="K1216" s="5" t="s">
        <v>223</v>
      </c>
      <c r="L1216" s="5" t="n">
        <v>4</v>
      </c>
      <c r="M1216" s="5" t="n">
        <v>4</v>
      </c>
      <c r="N1216" s="5" t="n">
        <v>6</v>
      </c>
      <c r="O1216" s="5" t="n">
        <v>5</v>
      </c>
      <c r="P1216" s="5" t="n">
        <v>0.5</v>
      </c>
      <c r="Q1216" s="5" t="n">
        <v>0</v>
      </c>
      <c r="R1216" s="5" t="n">
        <v>5</v>
      </c>
      <c r="S1216" s="5" t="n">
        <v>6</v>
      </c>
      <c r="T1216" s="5" t="s">
        <v>1032</v>
      </c>
      <c r="U1216" s="6"/>
      <c r="V1216" s="6"/>
      <c r="W1216" s="6"/>
      <c r="X1216" s="6"/>
      <c r="Y1216" s="7" t="str">
        <f aca="false">IF(COUNT(U1216:X1216)=4,(W1216-X1216)/2,"")</f>
        <v/>
      </c>
      <c r="Z1216" s="7" t="str">
        <f aca="false">IF(COUNT(U1216:X1216)=4,(U1216-V1216)/2,"")</f>
        <v/>
      </c>
      <c r="AA1216" s="7" t="str">
        <f aca="false">IF(COUNT(U1216:X1216)=4,MAX(1,MIN(10,ROUNDUP(5-Z1216,0))),"")</f>
        <v/>
      </c>
      <c r="AB1216" s="7" t="str">
        <f aca="false">IF(COUNT(U1216:X1216)=4,MAX(1,MIN(10,ROUNDUP(Y1216+5,0))),"")</f>
        <v/>
      </c>
      <c r="AC1216" s="6"/>
      <c r="AD1216" s="6"/>
    </row>
    <row r="1217" customFormat="false" ht="15" hidden="false" customHeight="true" outlineLevel="0" collapsed="false">
      <c r="A1217" s="5" t="n">
        <v>1216</v>
      </c>
      <c r="B1217" s="5" t="s">
        <v>3044</v>
      </c>
      <c r="C1217" s="5" t="s">
        <v>171</v>
      </c>
      <c r="D1217" s="5" t="s">
        <v>172</v>
      </c>
      <c r="E1217" s="5" t="n">
        <v>90</v>
      </c>
      <c r="F1217" s="5" t="s">
        <v>3045</v>
      </c>
      <c r="G1217" s="5" t="n">
        <v>4</v>
      </c>
      <c r="H1217" s="5" t="s">
        <v>53</v>
      </c>
      <c r="I1217" s="5" t="s">
        <v>54</v>
      </c>
      <c r="J1217" s="5" t="s">
        <v>181</v>
      </c>
      <c r="K1217" s="5" t="s">
        <v>235</v>
      </c>
      <c r="L1217" s="5" t="n">
        <v>2</v>
      </c>
      <c r="M1217" s="5" t="n">
        <v>8</v>
      </c>
      <c r="N1217" s="5" t="n">
        <v>7</v>
      </c>
      <c r="O1217" s="5" t="n">
        <v>4</v>
      </c>
      <c r="P1217" s="5" t="n">
        <v>1.5</v>
      </c>
      <c r="Q1217" s="5" t="n">
        <v>-3</v>
      </c>
      <c r="R1217" s="5" t="n">
        <v>8</v>
      </c>
      <c r="S1217" s="5" t="n">
        <v>7</v>
      </c>
      <c r="T1217" s="5" t="s">
        <v>674</v>
      </c>
      <c r="U1217" s="6"/>
      <c r="V1217" s="6"/>
      <c r="W1217" s="6"/>
      <c r="X1217" s="6"/>
      <c r="Y1217" s="7" t="str">
        <f aca="false">IF(COUNT(U1217:X1217)=4,(W1217-X1217)/2,"")</f>
        <v/>
      </c>
      <c r="Z1217" s="7" t="str">
        <f aca="false">IF(COUNT(U1217:X1217)=4,(U1217-V1217)/2,"")</f>
        <v/>
      </c>
      <c r="AA1217" s="7" t="str">
        <f aca="false">IF(COUNT(U1217:X1217)=4,MAX(1,MIN(10,ROUNDUP(5-Z1217,0))),"")</f>
        <v/>
      </c>
      <c r="AB1217" s="7" t="str">
        <f aca="false">IF(COUNT(U1217:X1217)=4,MAX(1,MIN(10,ROUNDUP(Y1217+5,0))),"")</f>
        <v/>
      </c>
      <c r="AC1217" s="6"/>
      <c r="AD1217" s="6"/>
    </row>
    <row r="1218" customFormat="false" ht="15" hidden="false" customHeight="true" outlineLevel="0" collapsed="false">
      <c r="A1218" s="5" t="n">
        <v>1217</v>
      </c>
      <c r="B1218" s="5" t="s">
        <v>3046</v>
      </c>
      <c r="C1218" s="5" t="s">
        <v>203</v>
      </c>
      <c r="D1218" s="5" t="s">
        <v>204</v>
      </c>
      <c r="E1218" s="5" t="n">
        <v>90</v>
      </c>
      <c r="F1218" s="5" t="s">
        <v>3047</v>
      </c>
      <c r="G1218" s="5" t="n">
        <v>4</v>
      </c>
      <c r="H1218" s="5" t="s">
        <v>53</v>
      </c>
      <c r="I1218" s="5" t="s">
        <v>54</v>
      </c>
      <c r="J1218" s="5" t="s">
        <v>117</v>
      </c>
      <c r="K1218" s="5" t="s">
        <v>117</v>
      </c>
      <c r="L1218" s="5" t="n">
        <v>5</v>
      </c>
      <c r="M1218" s="5" t="n">
        <v>1</v>
      </c>
      <c r="N1218" s="5" t="n">
        <v>2</v>
      </c>
      <c r="O1218" s="5" t="n">
        <v>8</v>
      </c>
      <c r="P1218" s="5" t="n">
        <v>-3</v>
      </c>
      <c r="Q1218" s="5" t="n">
        <v>2</v>
      </c>
      <c r="R1218" s="5" t="n">
        <v>3</v>
      </c>
      <c r="S1218" s="5" t="n">
        <v>2</v>
      </c>
      <c r="T1218" s="5" t="s">
        <v>3048</v>
      </c>
      <c r="U1218" s="6"/>
      <c r="V1218" s="6"/>
      <c r="W1218" s="6"/>
      <c r="X1218" s="6"/>
      <c r="Y1218" s="7" t="str">
        <f aca="false">IF(COUNT(U1218:X1218)=4,(W1218-X1218)/2,"")</f>
        <v/>
      </c>
      <c r="Z1218" s="7" t="str">
        <f aca="false">IF(COUNT(U1218:X1218)=4,(U1218-V1218)/2,"")</f>
        <v/>
      </c>
      <c r="AA1218" s="7" t="str">
        <f aca="false">IF(COUNT(U1218:X1218)=4,MAX(1,MIN(10,ROUNDUP(5-Z1218,0))),"")</f>
        <v/>
      </c>
      <c r="AB1218" s="7" t="str">
        <f aca="false">IF(COUNT(U1218:X1218)=4,MAX(1,MIN(10,ROUNDUP(Y1218+5,0))),"")</f>
        <v/>
      </c>
      <c r="AC1218" s="6"/>
      <c r="AD1218" s="6"/>
    </row>
    <row r="1219" customFormat="false" ht="15" hidden="false" customHeight="true" outlineLevel="0" collapsed="false">
      <c r="A1219" s="5" t="n">
        <v>1218</v>
      </c>
      <c r="B1219" s="5" t="s">
        <v>3049</v>
      </c>
      <c r="C1219" s="5" t="s">
        <v>171</v>
      </c>
      <c r="D1219" s="5" t="s">
        <v>172</v>
      </c>
      <c r="E1219" s="5" t="n">
        <v>90</v>
      </c>
      <c r="F1219" s="5" t="s">
        <v>3050</v>
      </c>
      <c r="G1219" s="5" t="n">
        <v>4</v>
      </c>
      <c r="H1219" s="5" t="s">
        <v>53</v>
      </c>
      <c r="I1219" s="5" t="s">
        <v>54</v>
      </c>
      <c r="J1219" s="5" t="s">
        <v>181</v>
      </c>
      <c r="K1219" s="5" t="s">
        <v>443</v>
      </c>
      <c r="L1219" s="5" t="n">
        <v>5</v>
      </c>
      <c r="M1219" s="5" t="n">
        <v>3</v>
      </c>
      <c r="N1219" s="5" t="n">
        <v>4</v>
      </c>
      <c r="O1219" s="5" t="n">
        <v>8</v>
      </c>
      <c r="P1219" s="5" t="n">
        <v>-2</v>
      </c>
      <c r="Q1219" s="5" t="n">
        <v>1</v>
      </c>
      <c r="R1219" s="5" t="n">
        <v>4</v>
      </c>
      <c r="S1219" s="5" t="n">
        <v>3</v>
      </c>
      <c r="T1219" s="5" t="s">
        <v>3051</v>
      </c>
      <c r="U1219" s="6"/>
      <c r="V1219" s="6"/>
      <c r="W1219" s="6"/>
      <c r="X1219" s="6"/>
      <c r="Y1219" s="7" t="str">
        <f aca="false">IF(COUNT(U1219:X1219)=4,(W1219-X1219)/2,"")</f>
        <v/>
      </c>
      <c r="Z1219" s="7" t="str">
        <f aca="false">IF(COUNT(U1219:X1219)=4,(U1219-V1219)/2,"")</f>
        <v/>
      </c>
      <c r="AA1219" s="7" t="str">
        <f aca="false">IF(COUNT(U1219:X1219)=4,MAX(1,MIN(10,ROUNDUP(5-Z1219,0))),"")</f>
        <v/>
      </c>
      <c r="AB1219" s="7" t="str">
        <f aca="false">IF(COUNT(U1219:X1219)=4,MAX(1,MIN(10,ROUNDUP(Y1219+5,0))),"")</f>
        <v/>
      </c>
      <c r="AC1219" s="6"/>
      <c r="AD1219" s="6"/>
    </row>
    <row r="1220" customFormat="false" ht="15" hidden="false" customHeight="true" outlineLevel="0" collapsed="false">
      <c r="A1220" s="5" t="n">
        <v>1219</v>
      </c>
      <c r="B1220" s="5" t="s">
        <v>3052</v>
      </c>
      <c r="C1220" s="5" t="s">
        <v>127</v>
      </c>
      <c r="D1220" s="5" t="s">
        <v>128</v>
      </c>
      <c r="E1220" s="5" t="n">
        <v>90</v>
      </c>
      <c r="F1220" s="5" t="s">
        <v>3053</v>
      </c>
      <c r="G1220" s="5" t="n">
        <v>4</v>
      </c>
      <c r="H1220" s="5" t="s">
        <v>53</v>
      </c>
      <c r="I1220" s="5" t="s">
        <v>54</v>
      </c>
      <c r="J1220" s="5" t="s">
        <v>117</v>
      </c>
      <c r="K1220" s="5" t="s">
        <v>117</v>
      </c>
      <c r="L1220" s="5" t="n">
        <v>3</v>
      </c>
      <c r="M1220" s="5" t="n">
        <v>1</v>
      </c>
      <c r="N1220" s="5" t="n">
        <v>2</v>
      </c>
      <c r="O1220" s="5" t="n">
        <v>7</v>
      </c>
      <c r="P1220" s="5" t="n">
        <v>-2.5</v>
      </c>
      <c r="Q1220" s="5" t="n">
        <v>1</v>
      </c>
      <c r="R1220" s="5" t="n">
        <v>4</v>
      </c>
      <c r="S1220" s="5" t="n">
        <v>3</v>
      </c>
      <c r="T1220" s="5" t="s">
        <v>3054</v>
      </c>
      <c r="U1220" s="6"/>
      <c r="V1220" s="6"/>
      <c r="W1220" s="6"/>
      <c r="X1220" s="6"/>
      <c r="Y1220" s="7" t="str">
        <f aca="false">IF(COUNT(U1220:X1220)=4,(W1220-X1220)/2,"")</f>
        <v/>
      </c>
      <c r="Z1220" s="7" t="str">
        <f aca="false">IF(COUNT(U1220:X1220)=4,(U1220-V1220)/2,"")</f>
        <v/>
      </c>
      <c r="AA1220" s="7" t="str">
        <f aca="false">IF(COUNT(U1220:X1220)=4,MAX(1,MIN(10,ROUNDUP(5-Z1220,0))),"")</f>
        <v/>
      </c>
      <c r="AB1220" s="7" t="str">
        <f aca="false">IF(COUNT(U1220:X1220)=4,MAX(1,MIN(10,ROUNDUP(Y1220+5,0))),"")</f>
        <v/>
      </c>
      <c r="AC1220" s="6"/>
      <c r="AD1220" s="6"/>
    </row>
    <row r="1221" customFormat="false" ht="15" hidden="false" customHeight="true" outlineLevel="0" collapsed="false">
      <c r="A1221" s="5" t="n">
        <v>1220</v>
      </c>
      <c r="B1221" s="5" t="s">
        <v>3055</v>
      </c>
      <c r="C1221" s="5" t="s">
        <v>171</v>
      </c>
      <c r="D1221" s="5" t="s">
        <v>172</v>
      </c>
      <c r="E1221" s="5" t="n">
        <v>89</v>
      </c>
      <c r="F1221" s="5" t="s">
        <v>3056</v>
      </c>
      <c r="G1221" s="5" t="n">
        <v>4</v>
      </c>
      <c r="H1221" s="5" t="s">
        <v>53</v>
      </c>
      <c r="I1221" s="5" t="s">
        <v>54</v>
      </c>
      <c r="J1221" s="5" t="s">
        <v>181</v>
      </c>
      <c r="K1221" s="5" t="s">
        <v>673</v>
      </c>
      <c r="L1221" s="5" t="n">
        <v>4</v>
      </c>
      <c r="M1221" s="5" t="n">
        <v>4</v>
      </c>
      <c r="N1221" s="5" t="n">
        <v>5</v>
      </c>
      <c r="O1221" s="5" t="n">
        <v>6</v>
      </c>
      <c r="P1221" s="5" t="n">
        <v>-0.5</v>
      </c>
      <c r="Q1221" s="5" t="n">
        <v>0</v>
      </c>
      <c r="R1221" s="5" t="n">
        <v>5</v>
      </c>
      <c r="S1221" s="5" t="n">
        <v>5</v>
      </c>
      <c r="T1221" s="5" t="s">
        <v>3057</v>
      </c>
      <c r="U1221" s="6"/>
      <c r="V1221" s="6"/>
      <c r="W1221" s="6"/>
      <c r="X1221" s="6"/>
      <c r="Y1221" s="7" t="str">
        <f aca="false">IF(COUNT(U1221:X1221)=4,(W1221-X1221)/2,"")</f>
        <v/>
      </c>
      <c r="Z1221" s="7" t="str">
        <f aca="false">IF(COUNT(U1221:X1221)=4,(U1221-V1221)/2,"")</f>
        <v/>
      </c>
      <c r="AA1221" s="7" t="str">
        <f aca="false">IF(COUNT(U1221:X1221)=4,MAX(1,MIN(10,ROUNDUP(5-Z1221,0))),"")</f>
        <v/>
      </c>
      <c r="AB1221" s="7" t="str">
        <f aca="false">IF(COUNT(U1221:X1221)=4,MAX(1,MIN(10,ROUNDUP(Y1221+5,0))),"")</f>
        <v/>
      </c>
      <c r="AC1221" s="6"/>
      <c r="AD1221" s="6"/>
    </row>
    <row r="1222" customFormat="false" ht="15" hidden="false" customHeight="true" outlineLevel="0" collapsed="false">
      <c r="A1222" s="5" t="n">
        <v>1221</v>
      </c>
      <c r="B1222" s="5" t="s">
        <v>3058</v>
      </c>
      <c r="C1222" s="5" t="s">
        <v>171</v>
      </c>
      <c r="D1222" s="5" t="s">
        <v>172</v>
      </c>
      <c r="E1222" s="5" t="n">
        <v>89</v>
      </c>
      <c r="F1222" s="5" t="s">
        <v>3059</v>
      </c>
      <c r="G1222" s="5" t="n">
        <v>4</v>
      </c>
      <c r="H1222" s="5" t="s">
        <v>53</v>
      </c>
      <c r="I1222" s="5" t="s">
        <v>54</v>
      </c>
      <c r="J1222" s="5" t="s">
        <v>181</v>
      </c>
      <c r="K1222" s="5" t="s">
        <v>333</v>
      </c>
      <c r="L1222" s="5" t="n">
        <v>2</v>
      </c>
      <c r="M1222" s="5" t="n">
        <v>4</v>
      </c>
      <c r="N1222" s="5" t="n">
        <v>9</v>
      </c>
      <c r="O1222" s="5" t="n">
        <v>2</v>
      </c>
      <c r="P1222" s="5" t="n">
        <v>3.5</v>
      </c>
      <c r="Q1222" s="5" t="n">
        <v>-1</v>
      </c>
      <c r="R1222" s="5" t="n">
        <v>6</v>
      </c>
      <c r="S1222" s="5" t="n">
        <v>9</v>
      </c>
      <c r="T1222" s="5" t="s">
        <v>3060</v>
      </c>
      <c r="U1222" s="6"/>
      <c r="V1222" s="6"/>
      <c r="W1222" s="6"/>
      <c r="X1222" s="6"/>
      <c r="Y1222" s="7" t="str">
        <f aca="false">IF(COUNT(U1222:X1222)=4,(W1222-X1222)/2,"")</f>
        <v/>
      </c>
      <c r="Z1222" s="7" t="str">
        <f aca="false">IF(COUNT(U1222:X1222)=4,(U1222-V1222)/2,"")</f>
        <v/>
      </c>
      <c r="AA1222" s="7" t="str">
        <f aca="false">IF(COUNT(U1222:X1222)=4,MAX(1,MIN(10,ROUNDUP(5-Z1222,0))),"")</f>
        <v/>
      </c>
      <c r="AB1222" s="7" t="str">
        <f aca="false">IF(COUNT(U1222:X1222)=4,MAX(1,MIN(10,ROUNDUP(Y1222+5,0))),"")</f>
        <v/>
      </c>
      <c r="AC1222" s="6"/>
      <c r="AD1222" s="6"/>
    </row>
    <row r="1223" customFormat="false" ht="15" hidden="false" customHeight="true" outlineLevel="0" collapsed="false">
      <c r="A1223" s="5" t="n">
        <v>1222</v>
      </c>
      <c r="B1223" s="5" t="s">
        <v>3061</v>
      </c>
      <c r="C1223" s="5" t="s">
        <v>171</v>
      </c>
      <c r="D1223" s="5" t="s">
        <v>172</v>
      </c>
      <c r="E1223" s="5" t="n">
        <v>89</v>
      </c>
      <c r="F1223" s="5" t="s">
        <v>3062</v>
      </c>
      <c r="G1223" s="5" t="n">
        <v>4</v>
      </c>
      <c r="H1223" s="5" t="s">
        <v>53</v>
      </c>
      <c r="I1223" s="5" t="s">
        <v>54</v>
      </c>
      <c r="J1223" s="5" t="s">
        <v>181</v>
      </c>
      <c r="K1223" s="5" t="s">
        <v>443</v>
      </c>
      <c r="L1223" s="5" t="n">
        <v>5</v>
      </c>
      <c r="M1223" s="5" t="n">
        <v>3</v>
      </c>
      <c r="N1223" s="5" t="n">
        <v>4</v>
      </c>
      <c r="O1223" s="5" t="n">
        <v>8</v>
      </c>
      <c r="P1223" s="5" t="n">
        <v>-2</v>
      </c>
      <c r="Q1223" s="5" t="n">
        <v>1</v>
      </c>
      <c r="R1223" s="5" t="n">
        <v>4</v>
      </c>
      <c r="S1223" s="5" t="n">
        <v>3</v>
      </c>
      <c r="T1223" s="5" t="s">
        <v>3063</v>
      </c>
      <c r="U1223" s="6"/>
      <c r="V1223" s="6"/>
      <c r="W1223" s="6"/>
      <c r="X1223" s="6"/>
      <c r="Y1223" s="7" t="str">
        <f aca="false">IF(COUNT(U1223:X1223)=4,(W1223-X1223)/2,"")</f>
        <v/>
      </c>
      <c r="Z1223" s="7" t="str">
        <f aca="false">IF(COUNT(U1223:X1223)=4,(U1223-V1223)/2,"")</f>
        <v/>
      </c>
      <c r="AA1223" s="7" t="str">
        <f aca="false">IF(COUNT(U1223:X1223)=4,MAX(1,MIN(10,ROUNDUP(5-Z1223,0))),"")</f>
        <v/>
      </c>
      <c r="AB1223" s="7" t="str">
        <f aca="false">IF(COUNT(U1223:X1223)=4,MAX(1,MIN(10,ROUNDUP(Y1223+5,0))),"")</f>
        <v/>
      </c>
      <c r="AC1223" s="6"/>
      <c r="AD1223" s="6"/>
    </row>
    <row r="1224" customFormat="false" ht="15" hidden="false" customHeight="true" outlineLevel="0" collapsed="false">
      <c r="A1224" s="5" t="n">
        <v>1223</v>
      </c>
      <c r="B1224" s="5" t="s">
        <v>3064</v>
      </c>
      <c r="C1224" s="5" t="s">
        <v>171</v>
      </c>
      <c r="D1224" s="5" t="s">
        <v>172</v>
      </c>
      <c r="E1224" s="5" t="n">
        <v>89</v>
      </c>
      <c r="F1224" s="5" t="s">
        <v>3064</v>
      </c>
      <c r="G1224" s="5" t="n">
        <v>4</v>
      </c>
      <c r="H1224" s="5" t="s">
        <v>53</v>
      </c>
      <c r="I1224" s="5" t="s">
        <v>54</v>
      </c>
      <c r="J1224" s="5" t="s">
        <v>181</v>
      </c>
      <c r="K1224" s="5" t="s">
        <v>333</v>
      </c>
      <c r="L1224" s="5" t="n">
        <v>3</v>
      </c>
      <c r="M1224" s="5" t="n">
        <v>3</v>
      </c>
      <c r="N1224" s="5" t="n">
        <v>9</v>
      </c>
      <c r="O1224" s="5" t="n">
        <v>2</v>
      </c>
      <c r="P1224" s="5" t="n">
        <v>3.5</v>
      </c>
      <c r="Q1224" s="5" t="n">
        <v>0</v>
      </c>
      <c r="R1224" s="5" t="n">
        <v>5</v>
      </c>
      <c r="S1224" s="5" t="n">
        <v>9</v>
      </c>
      <c r="T1224" s="5" t="s">
        <v>3065</v>
      </c>
      <c r="U1224" s="6"/>
      <c r="V1224" s="6"/>
      <c r="W1224" s="6"/>
      <c r="X1224" s="6"/>
      <c r="Y1224" s="7" t="str">
        <f aca="false">IF(COUNT(U1224:X1224)=4,(W1224-X1224)/2,"")</f>
        <v/>
      </c>
      <c r="Z1224" s="7" t="str">
        <f aca="false">IF(COUNT(U1224:X1224)=4,(U1224-V1224)/2,"")</f>
        <v/>
      </c>
      <c r="AA1224" s="7" t="str">
        <f aca="false">IF(COUNT(U1224:X1224)=4,MAX(1,MIN(10,ROUNDUP(5-Z1224,0))),"")</f>
        <v/>
      </c>
      <c r="AB1224" s="7" t="str">
        <f aca="false">IF(COUNT(U1224:X1224)=4,MAX(1,MIN(10,ROUNDUP(Y1224+5,0))),"")</f>
        <v/>
      </c>
      <c r="AC1224" s="6"/>
      <c r="AD1224" s="6"/>
    </row>
    <row r="1225" customFormat="false" ht="15" hidden="false" customHeight="true" outlineLevel="0" collapsed="false">
      <c r="A1225" s="5" t="n">
        <v>1224</v>
      </c>
      <c r="B1225" s="5" t="s">
        <v>3066</v>
      </c>
      <c r="C1225" s="5" t="s">
        <v>145</v>
      </c>
      <c r="D1225" s="5" t="s">
        <v>51</v>
      </c>
      <c r="E1225" s="5" t="n">
        <v>89</v>
      </c>
      <c r="F1225" s="5" t="s">
        <v>3067</v>
      </c>
      <c r="G1225" s="5" t="n">
        <v>4</v>
      </c>
      <c r="H1225" s="5" t="s">
        <v>53</v>
      </c>
      <c r="I1225" s="5" t="s">
        <v>54</v>
      </c>
      <c r="J1225" s="5" t="s">
        <v>181</v>
      </c>
      <c r="K1225" s="5" t="s">
        <v>443</v>
      </c>
      <c r="L1225" s="5" t="n">
        <v>5</v>
      </c>
      <c r="M1225" s="5" t="n">
        <v>3</v>
      </c>
      <c r="N1225" s="5" t="n">
        <v>4</v>
      </c>
      <c r="O1225" s="5" t="n">
        <v>8</v>
      </c>
      <c r="P1225" s="5" t="n">
        <v>-2</v>
      </c>
      <c r="Q1225" s="5" t="n">
        <v>1</v>
      </c>
      <c r="R1225" s="5" t="n">
        <v>4</v>
      </c>
      <c r="S1225" s="5" t="n">
        <v>3</v>
      </c>
      <c r="T1225" s="5" t="s">
        <v>3068</v>
      </c>
      <c r="U1225" s="6"/>
      <c r="V1225" s="6"/>
      <c r="W1225" s="6"/>
      <c r="X1225" s="6"/>
      <c r="Y1225" s="7" t="str">
        <f aca="false">IF(COUNT(U1225:X1225)=4,(W1225-X1225)/2,"")</f>
        <v/>
      </c>
      <c r="Z1225" s="7" t="str">
        <f aca="false">IF(COUNT(U1225:X1225)=4,(U1225-V1225)/2,"")</f>
        <v/>
      </c>
      <c r="AA1225" s="7" t="str">
        <f aca="false">IF(COUNT(U1225:X1225)=4,MAX(1,MIN(10,ROUNDUP(5-Z1225,0))),"")</f>
        <v/>
      </c>
      <c r="AB1225" s="7" t="str">
        <f aca="false">IF(COUNT(U1225:X1225)=4,MAX(1,MIN(10,ROUNDUP(Y1225+5,0))),"")</f>
        <v/>
      </c>
      <c r="AC1225" s="6"/>
      <c r="AD1225" s="6"/>
    </row>
    <row r="1226" customFormat="false" ht="15" hidden="false" customHeight="true" outlineLevel="0" collapsed="false">
      <c r="A1226" s="5" t="n">
        <v>1225</v>
      </c>
      <c r="B1226" s="5" t="s">
        <v>3069</v>
      </c>
      <c r="C1226" s="5" t="s">
        <v>203</v>
      </c>
      <c r="D1226" s="5" t="s">
        <v>204</v>
      </c>
      <c r="E1226" s="5" t="n">
        <v>89</v>
      </c>
      <c r="F1226" s="5" t="s">
        <v>3069</v>
      </c>
      <c r="G1226" s="5" t="n">
        <v>4</v>
      </c>
      <c r="H1226" s="5" t="s">
        <v>53</v>
      </c>
      <c r="I1226" s="5" t="s">
        <v>54</v>
      </c>
      <c r="J1226" s="5" t="s">
        <v>117</v>
      </c>
      <c r="K1226" s="5" t="s">
        <v>117</v>
      </c>
      <c r="L1226" s="5" t="n">
        <v>5</v>
      </c>
      <c r="M1226" s="5" t="n">
        <v>1</v>
      </c>
      <c r="N1226" s="5" t="n">
        <v>1</v>
      </c>
      <c r="O1226" s="5" t="n">
        <v>9</v>
      </c>
      <c r="P1226" s="5" t="n">
        <v>-4</v>
      </c>
      <c r="Q1226" s="5" t="n">
        <v>2</v>
      </c>
      <c r="R1226" s="5" t="n">
        <v>3</v>
      </c>
      <c r="S1226" s="5" t="n">
        <v>1</v>
      </c>
      <c r="T1226" s="5" t="s">
        <v>3070</v>
      </c>
      <c r="U1226" s="6"/>
      <c r="V1226" s="6"/>
      <c r="W1226" s="6"/>
      <c r="X1226" s="6"/>
      <c r="Y1226" s="7" t="str">
        <f aca="false">IF(COUNT(U1226:X1226)=4,(W1226-X1226)/2,"")</f>
        <v/>
      </c>
      <c r="Z1226" s="7" t="str">
        <f aca="false">IF(COUNT(U1226:X1226)=4,(U1226-V1226)/2,"")</f>
        <v/>
      </c>
      <c r="AA1226" s="7" t="str">
        <f aca="false">IF(COUNT(U1226:X1226)=4,MAX(1,MIN(10,ROUNDUP(5-Z1226,0))),"")</f>
        <v/>
      </c>
      <c r="AB1226" s="7" t="str">
        <f aca="false">IF(COUNT(U1226:X1226)=4,MAX(1,MIN(10,ROUNDUP(Y1226+5,0))),"")</f>
        <v/>
      </c>
      <c r="AC1226" s="6"/>
      <c r="AD1226" s="6"/>
    </row>
    <row r="1227" customFormat="false" ht="15" hidden="false" customHeight="true" outlineLevel="0" collapsed="false">
      <c r="A1227" s="5" t="n">
        <v>1226</v>
      </c>
      <c r="B1227" s="5" t="s">
        <v>3071</v>
      </c>
      <c r="C1227" s="5" t="s">
        <v>145</v>
      </c>
      <c r="D1227" s="5" t="s">
        <v>51</v>
      </c>
      <c r="E1227" s="5" t="n">
        <v>89</v>
      </c>
      <c r="F1227" s="5" t="s">
        <v>3072</v>
      </c>
      <c r="G1227" s="5" t="n">
        <v>4</v>
      </c>
      <c r="H1227" s="5" t="s">
        <v>53</v>
      </c>
      <c r="I1227" s="5" t="s">
        <v>81</v>
      </c>
      <c r="J1227" s="5" t="s">
        <v>174</v>
      </c>
      <c r="K1227" s="5" t="s">
        <v>1180</v>
      </c>
      <c r="L1227" s="5" t="n">
        <v>6</v>
      </c>
      <c r="M1227" s="5" t="n">
        <v>2</v>
      </c>
      <c r="N1227" s="5" t="n">
        <v>3</v>
      </c>
      <c r="O1227" s="5" t="n">
        <v>8</v>
      </c>
      <c r="P1227" s="5" t="n">
        <v>-2.5</v>
      </c>
      <c r="Q1227" s="5" t="n">
        <v>2</v>
      </c>
      <c r="R1227" s="5" t="n">
        <v>3</v>
      </c>
      <c r="S1227" s="5" t="n">
        <v>3</v>
      </c>
      <c r="T1227" s="5" t="s">
        <v>3073</v>
      </c>
      <c r="U1227" s="6"/>
      <c r="V1227" s="6"/>
      <c r="W1227" s="6"/>
      <c r="X1227" s="6"/>
      <c r="Y1227" s="7" t="str">
        <f aca="false">IF(COUNT(U1227:X1227)=4,(W1227-X1227)/2,"")</f>
        <v/>
      </c>
      <c r="Z1227" s="7" t="str">
        <f aca="false">IF(COUNT(U1227:X1227)=4,(U1227-V1227)/2,"")</f>
        <v/>
      </c>
      <c r="AA1227" s="7" t="str">
        <f aca="false">IF(COUNT(U1227:X1227)=4,MAX(1,MIN(10,ROUNDUP(5-Z1227,0))),"")</f>
        <v/>
      </c>
      <c r="AB1227" s="7" t="str">
        <f aca="false">IF(COUNT(U1227:X1227)=4,MAX(1,MIN(10,ROUNDUP(Y1227+5,0))),"")</f>
        <v/>
      </c>
      <c r="AC1227" s="6"/>
      <c r="AD1227" s="6"/>
    </row>
    <row r="1228" customFormat="false" ht="15" hidden="false" customHeight="true" outlineLevel="0" collapsed="false">
      <c r="A1228" s="5" t="n">
        <v>1227</v>
      </c>
      <c r="B1228" s="5" t="s">
        <v>3074</v>
      </c>
      <c r="C1228" s="5" t="s">
        <v>108</v>
      </c>
      <c r="D1228" s="5" t="s">
        <v>109</v>
      </c>
      <c r="E1228" s="5" t="n">
        <v>89</v>
      </c>
      <c r="F1228" s="5" t="s">
        <v>3074</v>
      </c>
      <c r="G1228" s="5" t="n">
        <v>4</v>
      </c>
      <c r="H1228" s="5" t="s">
        <v>53</v>
      </c>
      <c r="I1228" s="5" t="s">
        <v>54</v>
      </c>
      <c r="J1228" s="5" t="s">
        <v>117</v>
      </c>
      <c r="K1228" s="5" t="s">
        <v>117</v>
      </c>
      <c r="L1228" s="5" t="n">
        <v>3</v>
      </c>
      <c r="M1228" s="5" t="n">
        <v>1</v>
      </c>
      <c r="N1228" s="5" t="n">
        <v>7</v>
      </c>
      <c r="O1228" s="5" t="n">
        <v>3</v>
      </c>
      <c r="P1228" s="5" t="n">
        <v>2</v>
      </c>
      <c r="Q1228" s="5" t="n">
        <v>1</v>
      </c>
      <c r="R1228" s="5" t="n">
        <v>4</v>
      </c>
      <c r="S1228" s="5" t="n">
        <v>7</v>
      </c>
      <c r="T1228" s="5" t="s">
        <v>3075</v>
      </c>
      <c r="U1228" s="6"/>
      <c r="V1228" s="6"/>
      <c r="W1228" s="6"/>
      <c r="X1228" s="6"/>
      <c r="Y1228" s="7" t="str">
        <f aca="false">IF(COUNT(U1228:X1228)=4,(W1228-X1228)/2,"")</f>
        <v/>
      </c>
      <c r="Z1228" s="7" t="str">
        <f aca="false">IF(COUNT(U1228:X1228)=4,(U1228-V1228)/2,"")</f>
        <v/>
      </c>
      <c r="AA1228" s="7" t="str">
        <f aca="false">IF(COUNT(U1228:X1228)=4,MAX(1,MIN(10,ROUNDUP(5-Z1228,0))),"")</f>
        <v/>
      </c>
      <c r="AB1228" s="7" t="str">
        <f aca="false">IF(COUNT(U1228:X1228)=4,MAX(1,MIN(10,ROUNDUP(Y1228+5,0))),"")</f>
        <v/>
      </c>
      <c r="AC1228" s="6"/>
      <c r="AD1228" s="6"/>
    </row>
    <row r="1229" customFormat="false" ht="15" hidden="false" customHeight="true" outlineLevel="0" collapsed="false">
      <c r="A1229" s="5" t="n">
        <v>1228</v>
      </c>
      <c r="B1229" s="5" t="s">
        <v>3076</v>
      </c>
      <c r="C1229" s="5" t="s">
        <v>203</v>
      </c>
      <c r="D1229" s="5" t="s">
        <v>204</v>
      </c>
      <c r="E1229" s="5" t="n">
        <v>89</v>
      </c>
      <c r="F1229" s="5" t="s">
        <v>3077</v>
      </c>
      <c r="G1229" s="5" t="n">
        <v>4</v>
      </c>
      <c r="H1229" s="5" t="s">
        <v>53</v>
      </c>
      <c r="I1229" s="5" t="s">
        <v>54</v>
      </c>
      <c r="J1229" s="5" t="s">
        <v>117</v>
      </c>
      <c r="K1229" s="5" t="s">
        <v>117</v>
      </c>
      <c r="L1229" s="5" t="n">
        <v>4</v>
      </c>
      <c r="M1229" s="5" t="n">
        <v>1</v>
      </c>
      <c r="N1229" s="5" t="n">
        <v>2</v>
      </c>
      <c r="O1229" s="5" t="n">
        <v>8</v>
      </c>
      <c r="P1229" s="5" t="n">
        <v>-3</v>
      </c>
      <c r="Q1229" s="5" t="n">
        <v>1.5</v>
      </c>
      <c r="R1229" s="5" t="n">
        <v>4</v>
      </c>
      <c r="S1229" s="5" t="n">
        <v>2</v>
      </c>
      <c r="T1229" s="5" t="s">
        <v>3078</v>
      </c>
      <c r="U1229" s="6"/>
      <c r="V1229" s="6"/>
      <c r="W1229" s="6"/>
      <c r="X1229" s="6"/>
      <c r="Y1229" s="7" t="str">
        <f aca="false">IF(COUNT(U1229:X1229)=4,(W1229-X1229)/2,"")</f>
        <v/>
      </c>
      <c r="Z1229" s="7" t="str">
        <f aca="false">IF(COUNT(U1229:X1229)=4,(U1229-V1229)/2,"")</f>
        <v/>
      </c>
      <c r="AA1229" s="7" t="str">
        <f aca="false">IF(COUNT(U1229:X1229)=4,MAX(1,MIN(10,ROUNDUP(5-Z1229,0))),"")</f>
        <v/>
      </c>
      <c r="AB1229" s="7" t="str">
        <f aca="false">IF(COUNT(U1229:X1229)=4,MAX(1,MIN(10,ROUNDUP(Y1229+5,0))),"")</f>
        <v/>
      </c>
      <c r="AC1229" s="6"/>
      <c r="AD1229" s="6"/>
    </row>
    <row r="1230" customFormat="false" ht="15" hidden="false" customHeight="true" outlineLevel="0" collapsed="false">
      <c r="A1230" s="5" t="n">
        <v>1229</v>
      </c>
      <c r="B1230" s="5" t="s">
        <v>3079</v>
      </c>
      <c r="C1230" s="5" t="s">
        <v>171</v>
      </c>
      <c r="D1230" s="5" t="s">
        <v>172</v>
      </c>
      <c r="E1230" s="5" t="n">
        <v>89</v>
      </c>
      <c r="F1230" s="5" t="s">
        <v>3080</v>
      </c>
      <c r="G1230" s="5" t="n">
        <v>4</v>
      </c>
      <c r="H1230" s="5" t="s">
        <v>53</v>
      </c>
      <c r="I1230" s="5" t="s">
        <v>54</v>
      </c>
      <c r="J1230" s="5" t="s">
        <v>181</v>
      </c>
      <c r="K1230" s="5" t="s">
        <v>235</v>
      </c>
      <c r="L1230" s="5" t="n">
        <v>4</v>
      </c>
      <c r="M1230" s="5" t="n">
        <v>4</v>
      </c>
      <c r="N1230" s="5" t="n">
        <v>7</v>
      </c>
      <c r="O1230" s="5" t="n">
        <v>4</v>
      </c>
      <c r="P1230" s="5" t="n">
        <v>1.5</v>
      </c>
      <c r="Q1230" s="5" t="n">
        <v>0</v>
      </c>
      <c r="R1230" s="5" t="n">
        <v>5</v>
      </c>
      <c r="S1230" s="5" t="n">
        <v>7</v>
      </c>
      <c r="T1230" s="5" t="s">
        <v>3081</v>
      </c>
      <c r="U1230" s="6"/>
      <c r="V1230" s="6"/>
      <c r="W1230" s="6"/>
      <c r="X1230" s="6"/>
      <c r="Y1230" s="7" t="str">
        <f aca="false">IF(COUNT(U1230:X1230)=4,(W1230-X1230)/2,"")</f>
        <v/>
      </c>
      <c r="Z1230" s="7" t="str">
        <f aca="false">IF(COUNT(U1230:X1230)=4,(U1230-V1230)/2,"")</f>
        <v/>
      </c>
      <c r="AA1230" s="7" t="str">
        <f aca="false">IF(COUNT(U1230:X1230)=4,MAX(1,MIN(10,ROUNDUP(5-Z1230,0))),"")</f>
        <v/>
      </c>
      <c r="AB1230" s="7" t="str">
        <f aca="false">IF(COUNT(U1230:X1230)=4,MAX(1,MIN(10,ROUNDUP(Y1230+5,0))),"")</f>
        <v/>
      </c>
      <c r="AC1230" s="6"/>
      <c r="AD1230" s="6"/>
    </row>
    <row r="1231" customFormat="false" ht="15" hidden="false" customHeight="true" outlineLevel="0" collapsed="false">
      <c r="A1231" s="5" t="n">
        <v>1230</v>
      </c>
      <c r="B1231" s="5" t="s">
        <v>3082</v>
      </c>
      <c r="C1231" s="5" t="s">
        <v>145</v>
      </c>
      <c r="D1231" s="5" t="s">
        <v>51</v>
      </c>
      <c r="E1231" s="5" t="n">
        <v>88</v>
      </c>
      <c r="F1231" s="5" t="s">
        <v>3083</v>
      </c>
      <c r="G1231" s="5" t="n">
        <v>4</v>
      </c>
      <c r="H1231" s="5" t="s">
        <v>53</v>
      </c>
      <c r="I1231" s="5" t="s">
        <v>54</v>
      </c>
      <c r="J1231" s="5" t="s">
        <v>55</v>
      </c>
      <c r="K1231" s="5" t="s">
        <v>55</v>
      </c>
      <c r="L1231" s="5" t="n">
        <v>6</v>
      </c>
      <c r="M1231" s="5" t="n">
        <v>3</v>
      </c>
      <c r="N1231" s="5" t="n">
        <v>4</v>
      </c>
      <c r="O1231" s="5" t="n">
        <v>6</v>
      </c>
      <c r="P1231" s="5" t="n">
        <v>-1</v>
      </c>
      <c r="Q1231" s="5" t="n">
        <v>1.5</v>
      </c>
      <c r="R1231" s="5" t="n">
        <v>4</v>
      </c>
      <c r="S1231" s="5" t="n">
        <v>4</v>
      </c>
      <c r="T1231" s="5" t="s">
        <v>3084</v>
      </c>
      <c r="U1231" s="6"/>
      <c r="V1231" s="6"/>
      <c r="W1231" s="6"/>
      <c r="X1231" s="6"/>
      <c r="Y1231" s="7" t="str">
        <f aca="false">IF(COUNT(U1231:X1231)=4,(W1231-X1231)/2,"")</f>
        <v/>
      </c>
      <c r="Z1231" s="7" t="str">
        <f aca="false">IF(COUNT(U1231:X1231)=4,(U1231-V1231)/2,"")</f>
        <v/>
      </c>
      <c r="AA1231" s="7" t="str">
        <f aca="false">IF(COUNT(U1231:X1231)=4,MAX(1,MIN(10,ROUNDUP(5-Z1231,0))),"")</f>
        <v/>
      </c>
      <c r="AB1231" s="7" t="str">
        <f aca="false">IF(COUNT(U1231:X1231)=4,MAX(1,MIN(10,ROUNDUP(Y1231+5,0))),"")</f>
        <v/>
      </c>
      <c r="AC1231" s="6"/>
      <c r="AD1231" s="6"/>
    </row>
    <row r="1232" customFormat="false" ht="15" hidden="false" customHeight="true" outlineLevel="0" collapsed="false">
      <c r="A1232" s="5" t="n">
        <v>1231</v>
      </c>
      <c r="B1232" s="5" t="s">
        <v>3085</v>
      </c>
      <c r="C1232" s="5" t="s">
        <v>171</v>
      </c>
      <c r="D1232" s="5" t="s">
        <v>172</v>
      </c>
      <c r="E1232" s="5" t="n">
        <v>88</v>
      </c>
      <c r="F1232" s="5" t="s">
        <v>3086</v>
      </c>
      <c r="G1232" s="5" t="n">
        <v>4</v>
      </c>
      <c r="H1232" s="5" t="s">
        <v>53</v>
      </c>
      <c r="I1232" s="5" t="s">
        <v>81</v>
      </c>
      <c r="J1232" s="5" t="s">
        <v>174</v>
      </c>
      <c r="K1232" s="5" t="s">
        <v>1180</v>
      </c>
      <c r="L1232" s="5" t="n">
        <v>6</v>
      </c>
      <c r="M1232" s="5" t="n">
        <v>2</v>
      </c>
      <c r="N1232" s="5" t="n">
        <v>5</v>
      </c>
      <c r="O1232" s="5" t="n">
        <v>7</v>
      </c>
      <c r="P1232" s="5" t="n">
        <v>-1</v>
      </c>
      <c r="Q1232" s="5" t="n">
        <v>2</v>
      </c>
      <c r="R1232" s="5" t="n">
        <v>3</v>
      </c>
      <c r="S1232" s="5" t="n">
        <v>4</v>
      </c>
      <c r="T1232" s="5" t="s">
        <v>3087</v>
      </c>
      <c r="U1232" s="6"/>
      <c r="V1232" s="6"/>
      <c r="W1232" s="6"/>
      <c r="X1232" s="6"/>
      <c r="Y1232" s="7" t="str">
        <f aca="false">IF(COUNT(U1232:X1232)=4,(W1232-X1232)/2,"")</f>
        <v/>
      </c>
      <c r="Z1232" s="7" t="str">
        <f aca="false">IF(COUNT(U1232:X1232)=4,(U1232-V1232)/2,"")</f>
        <v/>
      </c>
      <c r="AA1232" s="7" t="str">
        <f aca="false">IF(COUNT(U1232:X1232)=4,MAX(1,MIN(10,ROUNDUP(5-Z1232,0))),"")</f>
        <v/>
      </c>
      <c r="AB1232" s="7" t="str">
        <f aca="false">IF(COUNT(U1232:X1232)=4,MAX(1,MIN(10,ROUNDUP(Y1232+5,0))),"")</f>
        <v/>
      </c>
      <c r="AC1232" s="6"/>
      <c r="AD1232" s="6"/>
    </row>
    <row r="1233" customFormat="false" ht="15" hidden="false" customHeight="true" outlineLevel="0" collapsed="false">
      <c r="A1233" s="5" t="n">
        <v>1232</v>
      </c>
      <c r="B1233" s="5" t="s">
        <v>3088</v>
      </c>
      <c r="C1233" s="5" t="s">
        <v>171</v>
      </c>
      <c r="D1233" s="5" t="s">
        <v>172</v>
      </c>
      <c r="E1233" s="5" t="n">
        <v>88</v>
      </c>
      <c r="F1233" s="5" t="s">
        <v>3089</v>
      </c>
      <c r="G1233" s="5" t="n">
        <v>4</v>
      </c>
      <c r="H1233" s="5" t="s">
        <v>53</v>
      </c>
      <c r="I1233" s="5" t="s">
        <v>54</v>
      </c>
      <c r="J1233" s="5" t="s">
        <v>181</v>
      </c>
      <c r="K1233" s="5" t="s">
        <v>279</v>
      </c>
      <c r="L1233" s="5" t="n">
        <v>4</v>
      </c>
      <c r="M1233" s="5" t="n">
        <v>4</v>
      </c>
      <c r="N1233" s="5" t="n">
        <v>5</v>
      </c>
      <c r="O1233" s="5" t="n">
        <v>7</v>
      </c>
      <c r="P1233" s="5" t="n">
        <v>-1</v>
      </c>
      <c r="Q1233" s="5" t="n">
        <v>0</v>
      </c>
      <c r="R1233" s="5" t="n">
        <v>5</v>
      </c>
      <c r="S1233" s="5" t="n">
        <v>4</v>
      </c>
      <c r="T1233" s="5" t="s">
        <v>3090</v>
      </c>
      <c r="U1233" s="6"/>
      <c r="V1233" s="6"/>
      <c r="W1233" s="6"/>
      <c r="X1233" s="6"/>
      <c r="Y1233" s="7" t="str">
        <f aca="false">IF(COUNT(U1233:X1233)=4,(W1233-X1233)/2,"")</f>
        <v/>
      </c>
      <c r="Z1233" s="7" t="str">
        <f aca="false">IF(COUNT(U1233:X1233)=4,(U1233-V1233)/2,"")</f>
        <v/>
      </c>
      <c r="AA1233" s="7" t="str">
        <f aca="false">IF(COUNT(U1233:X1233)=4,MAX(1,MIN(10,ROUNDUP(5-Z1233,0))),"")</f>
        <v/>
      </c>
      <c r="AB1233" s="7" t="str">
        <f aca="false">IF(COUNT(U1233:X1233)=4,MAX(1,MIN(10,ROUNDUP(Y1233+5,0))),"")</f>
        <v/>
      </c>
      <c r="AC1233" s="6"/>
      <c r="AD1233" s="6"/>
    </row>
    <row r="1234" customFormat="false" ht="15" hidden="false" customHeight="true" outlineLevel="0" collapsed="false">
      <c r="A1234" s="5" t="n">
        <v>1233</v>
      </c>
      <c r="B1234" s="5" t="s">
        <v>3091</v>
      </c>
      <c r="C1234" s="5" t="s">
        <v>171</v>
      </c>
      <c r="D1234" s="5" t="s">
        <v>172</v>
      </c>
      <c r="E1234" s="5" t="n">
        <v>88</v>
      </c>
      <c r="F1234" s="5" t="s">
        <v>3092</v>
      </c>
      <c r="G1234" s="5" t="n">
        <v>4</v>
      </c>
      <c r="H1234" s="5" t="s">
        <v>53</v>
      </c>
      <c r="I1234" s="5" t="s">
        <v>54</v>
      </c>
      <c r="J1234" s="5" t="s">
        <v>181</v>
      </c>
      <c r="K1234" s="5" t="s">
        <v>223</v>
      </c>
      <c r="L1234" s="5" t="n">
        <v>3</v>
      </c>
      <c r="M1234" s="5" t="n">
        <v>4</v>
      </c>
      <c r="N1234" s="5" t="n">
        <v>8</v>
      </c>
      <c r="O1234" s="5" t="n">
        <v>3</v>
      </c>
      <c r="P1234" s="5" t="n">
        <v>2.5</v>
      </c>
      <c r="Q1234" s="5" t="n">
        <v>-0.5</v>
      </c>
      <c r="R1234" s="5" t="n">
        <v>6</v>
      </c>
      <c r="S1234" s="5" t="n">
        <v>8</v>
      </c>
      <c r="T1234" s="5" t="s">
        <v>562</v>
      </c>
      <c r="U1234" s="6"/>
      <c r="V1234" s="6"/>
      <c r="W1234" s="6"/>
      <c r="X1234" s="6"/>
      <c r="Y1234" s="7" t="str">
        <f aca="false">IF(COUNT(U1234:X1234)=4,(W1234-X1234)/2,"")</f>
        <v/>
      </c>
      <c r="Z1234" s="7" t="str">
        <f aca="false">IF(COUNT(U1234:X1234)=4,(U1234-V1234)/2,"")</f>
        <v/>
      </c>
      <c r="AA1234" s="7" t="str">
        <f aca="false">IF(COUNT(U1234:X1234)=4,MAX(1,MIN(10,ROUNDUP(5-Z1234,0))),"")</f>
        <v/>
      </c>
      <c r="AB1234" s="7" t="str">
        <f aca="false">IF(COUNT(U1234:X1234)=4,MAX(1,MIN(10,ROUNDUP(Y1234+5,0))),"")</f>
        <v/>
      </c>
      <c r="AC1234" s="6"/>
      <c r="AD1234" s="6"/>
    </row>
    <row r="1235" customFormat="false" ht="15" hidden="false" customHeight="true" outlineLevel="0" collapsed="false">
      <c r="A1235" s="5" t="n">
        <v>1234</v>
      </c>
      <c r="B1235" s="5" t="s">
        <v>3093</v>
      </c>
      <c r="C1235" s="5" t="s">
        <v>171</v>
      </c>
      <c r="D1235" s="5" t="s">
        <v>172</v>
      </c>
      <c r="E1235" s="5" t="n">
        <v>88</v>
      </c>
      <c r="F1235" s="5" t="s">
        <v>3094</v>
      </c>
      <c r="G1235" s="5" t="n">
        <v>4</v>
      </c>
      <c r="H1235" s="5" t="s">
        <v>53</v>
      </c>
      <c r="I1235" s="5" t="s">
        <v>54</v>
      </c>
      <c r="J1235" s="5" t="s">
        <v>181</v>
      </c>
      <c r="K1235" s="5" t="s">
        <v>235</v>
      </c>
      <c r="L1235" s="5" t="n">
        <v>4</v>
      </c>
      <c r="M1235" s="5" t="n">
        <v>4</v>
      </c>
      <c r="N1235" s="5" t="n">
        <v>7</v>
      </c>
      <c r="O1235" s="5" t="n">
        <v>4</v>
      </c>
      <c r="P1235" s="5" t="n">
        <v>1.5</v>
      </c>
      <c r="Q1235" s="5" t="n">
        <v>0</v>
      </c>
      <c r="R1235" s="5" t="n">
        <v>5</v>
      </c>
      <c r="S1235" s="5" t="n">
        <v>7</v>
      </c>
      <c r="T1235" s="5" t="s">
        <v>3095</v>
      </c>
      <c r="U1235" s="6"/>
      <c r="V1235" s="6"/>
      <c r="W1235" s="6"/>
      <c r="X1235" s="6"/>
      <c r="Y1235" s="7" t="str">
        <f aca="false">IF(COUNT(U1235:X1235)=4,(W1235-X1235)/2,"")</f>
        <v/>
      </c>
      <c r="Z1235" s="7" t="str">
        <f aca="false">IF(COUNT(U1235:X1235)=4,(U1235-V1235)/2,"")</f>
        <v/>
      </c>
      <c r="AA1235" s="7" t="str">
        <f aca="false">IF(COUNT(U1235:X1235)=4,MAX(1,MIN(10,ROUNDUP(5-Z1235,0))),"")</f>
        <v/>
      </c>
      <c r="AB1235" s="7" t="str">
        <f aca="false">IF(COUNT(U1235:X1235)=4,MAX(1,MIN(10,ROUNDUP(Y1235+5,0))),"")</f>
        <v/>
      </c>
      <c r="AC1235" s="6"/>
      <c r="AD1235" s="6"/>
    </row>
    <row r="1236" customFormat="false" ht="15" hidden="false" customHeight="true" outlineLevel="0" collapsed="false">
      <c r="A1236" s="5" t="n">
        <v>1235</v>
      </c>
      <c r="B1236" s="5" t="s">
        <v>3096</v>
      </c>
      <c r="C1236" s="5" t="s">
        <v>108</v>
      </c>
      <c r="D1236" s="5" t="s">
        <v>109</v>
      </c>
      <c r="E1236" s="5" t="n">
        <v>88</v>
      </c>
      <c r="F1236" s="5" t="s">
        <v>3096</v>
      </c>
      <c r="G1236" s="5" t="n">
        <v>4</v>
      </c>
      <c r="H1236" s="5" t="s">
        <v>53</v>
      </c>
      <c r="I1236" s="5" t="s">
        <v>64</v>
      </c>
      <c r="J1236" s="5"/>
      <c r="K1236" s="5"/>
      <c r="L1236" s="5" t="n">
        <v>9</v>
      </c>
      <c r="M1236" s="5" t="n">
        <v>1</v>
      </c>
      <c r="N1236" s="5" t="n">
        <v>5</v>
      </c>
      <c r="O1236" s="5" t="n">
        <v>5</v>
      </c>
      <c r="P1236" s="5" t="n">
        <v>0</v>
      </c>
      <c r="Q1236" s="5" t="n">
        <v>4</v>
      </c>
      <c r="R1236" s="5" t="n">
        <v>1</v>
      </c>
      <c r="S1236" s="5" t="n">
        <v>5</v>
      </c>
      <c r="T1236" s="5" t="s">
        <v>3097</v>
      </c>
      <c r="U1236" s="6"/>
      <c r="V1236" s="6"/>
      <c r="W1236" s="6"/>
      <c r="X1236" s="6"/>
      <c r="Y1236" s="7" t="str">
        <f aca="false">IF(COUNT(U1236:X1236)=4,(W1236-X1236)/2,"")</f>
        <v/>
      </c>
      <c r="Z1236" s="7" t="str">
        <f aca="false">IF(COUNT(U1236:X1236)=4,(U1236-V1236)/2,"")</f>
        <v/>
      </c>
      <c r="AA1236" s="7" t="str">
        <f aca="false">IF(COUNT(U1236:X1236)=4,MAX(1,MIN(10,ROUNDUP(5-Z1236,0))),"")</f>
        <v/>
      </c>
      <c r="AB1236" s="7" t="str">
        <f aca="false">IF(COUNT(U1236:X1236)=4,MAX(1,MIN(10,ROUNDUP(Y1236+5,0))),"")</f>
        <v/>
      </c>
      <c r="AC1236" s="6"/>
      <c r="AD1236" s="6"/>
    </row>
    <row r="1237" customFormat="false" ht="15" hidden="false" customHeight="true" outlineLevel="0" collapsed="false">
      <c r="A1237" s="5" t="n">
        <v>1236</v>
      </c>
      <c r="B1237" s="5" t="s">
        <v>3098</v>
      </c>
      <c r="C1237" s="5" t="s">
        <v>203</v>
      </c>
      <c r="D1237" s="5" t="s">
        <v>204</v>
      </c>
      <c r="E1237" s="5" t="n">
        <v>88</v>
      </c>
      <c r="F1237" s="5" t="s">
        <v>3099</v>
      </c>
      <c r="G1237" s="5" t="n">
        <v>4</v>
      </c>
      <c r="H1237" s="5" t="s">
        <v>53</v>
      </c>
      <c r="I1237" s="5" t="s">
        <v>54</v>
      </c>
      <c r="J1237" s="5" t="s">
        <v>117</v>
      </c>
      <c r="K1237" s="5" t="s">
        <v>117</v>
      </c>
      <c r="L1237" s="5" t="n">
        <v>4</v>
      </c>
      <c r="M1237" s="5" t="n">
        <v>1</v>
      </c>
      <c r="N1237" s="5" t="n">
        <v>2</v>
      </c>
      <c r="O1237" s="5" t="n">
        <v>8</v>
      </c>
      <c r="P1237" s="5" t="n">
        <v>-3</v>
      </c>
      <c r="Q1237" s="5" t="n">
        <v>1.5</v>
      </c>
      <c r="R1237" s="5" t="n">
        <v>4</v>
      </c>
      <c r="S1237" s="5" t="n">
        <v>2</v>
      </c>
      <c r="T1237" s="5" t="s">
        <v>3100</v>
      </c>
      <c r="U1237" s="6"/>
      <c r="V1237" s="6"/>
      <c r="W1237" s="6"/>
      <c r="X1237" s="6"/>
      <c r="Y1237" s="7" t="str">
        <f aca="false">IF(COUNT(U1237:X1237)=4,(W1237-X1237)/2,"")</f>
        <v/>
      </c>
      <c r="Z1237" s="7" t="str">
        <f aca="false">IF(COUNT(U1237:X1237)=4,(U1237-V1237)/2,"")</f>
        <v/>
      </c>
      <c r="AA1237" s="7" t="str">
        <f aca="false">IF(COUNT(U1237:X1237)=4,MAX(1,MIN(10,ROUNDUP(5-Z1237,0))),"")</f>
        <v/>
      </c>
      <c r="AB1237" s="7" t="str">
        <f aca="false">IF(COUNT(U1237:X1237)=4,MAX(1,MIN(10,ROUNDUP(Y1237+5,0))),"")</f>
        <v/>
      </c>
      <c r="AC1237" s="6"/>
      <c r="AD1237" s="6"/>
    </row>
    <row r="1238" customFormat="false" ht="15" hidden="false" customHeight="true" outlineLevel="0" collapsed="false">
      <c r="A1238" s="5" t="n">
        <v>1237</v>
      </c>
      <c r="B1238" s="5" t="s">
        <v>3101</v>
      </c>
      <c r="C1238" s="5" t="s">
        <v>171</v>
      </c>
      <c r="D1238" s="5" t="s">
        <v>172</v>
      </c>
      <c r="E1238" s="5" t="n">
        <v>88</v>
      </c>
      <c r="F1238" s="5" t="s">
        <v>3102</v>
      </c>
      <c r="G1238" s="5" t="n">
        <v>4</v>
      </c>
      <c r="H1238" s="5" t="s">
        <v>53</v>
      </c>
      <c r="I1238" s="5" t="s">
        <v>54</v>
      </c>
      <c r="J1238" s="5" t="s">
        <v>181</v>
      </c>
      <c r="K1238" s="5" t="s">
        <v>413</v>
      </c>
      <c r="L1238" s="5" t="n">
        <v>5</v>
      </c>
      <c r="M1238" s="5" t="n">
        <v>3</v>
      </c>
      <c r="N1238" s="5" t="n">
        <v>3</v>
      </c>
      <c r="O1238" s="5" t="n">
        <v>8</v>
      </c>
      <c r="P1238" s="5" t="n">
        <v>-2.5</v>
      </c>
      <c r="Q1238" s="5" t="n">
        <v>1</v>
      </c>
      <c r="R1238" s="5" t="n">
        <v>4</v>
      </c>
      <c r="S1238" s="5" t="n">
        <v>3</v>
      </c>
      <c r="T1238" s="5" t="s">
        <v>2081</v>
      </c>
      <c r="U1238" s="6"/>
      <c r="V1238" s="6"/>
      <c r="W1238" s="6"/>
      <c r="X1238" s="6"/>
      <c r="Y1238" s="7" t="str">
        <f aca="false">IF(COUNT(U1238:X1238)=4,(W1238-X1238)/2,"")</f>
        <v/>
      </c>
      <c r="Z1238" s="7" t="str">
        <f aca="false">IF(COUNT(U1238:X1238)=4,(U1238-V1238)/2,"")</f>
        <v/>
      </c>
      <c r="AA1238" s="7" t="str">
        <f aca="false">IF(COUNT(U1238:X1238)=4,MAX(1,MIN(10,ROUNDUP(5-Z1238,0))),"")</f>
        <v/>
      </c>
      <c r="AB1238" s="7" t="str">
        <f aca="false">IF(COUNT(U1238:X1238)=4,MAX(1,MIN(10,ROUNDUP(Y1238+5,0))),"")</f>
        <v/>
      </c>
      <c r="AC1238" s="6"/>
      <c r="AD1238" s="6"/>
    </row>
    <row r="1239" customFormat="false" ht="15" hidden="false" customHeight="true" outlineLevel="0" collapsed="false">
      <c r="A1239" s="5" t="n">
        <v>1238</v>
      </c>
      <c r="B1239" s="5" t="s">
        <v>3103</v>
      </c>
      <c r="C1239" s="5" t="s">
        <v>171</v>
      </c>
      <c r="D1239" s="5" t="s">
        <v>172</v>
      </c>
      <c r="E1239" s="5" t="n">
        <v>88</v>
      </c>
      <c r="F1239" s="5" t="s">
        <v>3103</v>
      </c>
      <c r="G1239" s="5" t="n">
        <v>4</v>
      </c>
      <c r="H1239" s="5" t="s">
        <v>53</v>
      </c>
      <c r="I1239" s="5" t="s">
        <v>54</v>
      </c>
      <c r="J1239" s="5" t="s">
        <v>181</v>
      </c>
      <c r="K1239" s="5" t="s">
        <v>443</v>
      </c>
      <c r="L1239" s="5" t="n">
        <v>5</v>
      </c>
      <c r="M1239" s="5" t="n">
        <v>4</v>
      </c>
      <c r="N1239" s="5" t="n">
        <v>4</v>
      </c>
      <c r="O1239" s="5" t="n">
        <v>8</v>
      </c>
      <c r="P1239" s="5" t="n">
        <v>-2</v>
      </c>
      <c r="Q1239" s="5" t="n">
        <v>0.5</v>
      </c>
      <c r="R1239" s="5" t="n">
        <v>5</v>
      </c>
      <c r="S1239" s="5" t="n">
        <v>3</v>
      </c>
      <c r="T1239" s="5" t="s">
        <v>3104</v>
      </c>
      <c r="U1239" s="6"/>
      <c r="V1239" s="6"/>
      <c r="W1239" s="6"/>
      <c r="X1239" s="6"/>
      <c r="Y1239" s="7" t="str">
        <f aca="false">IF(COUNT(U1239:X1239)=4,(W1239-X1239)/2,"")</f>
        <v/>
      </c>
      <c r="Z1239" s="7" t="str">
        <f aca="false">IF(COUNT(U1239:X1239)=4,(U1239-V1239)/2,"")</f>
        <v/>
      </c>
      <c r="AA1239" s="7" t="str">
        <f aca="false">IF(COUNT(U1239:X1239)=4,MAX(1,MIN(10,ROUNDUP(5-Z1239,0))),"")</f>
        <v/>
      </c>
      <c r="AB1239" s="7" t="str">
        <f aca="false">IF(COUNT(U1239:X1239)=4,MAX(1,MIN(10,ROUNDUP(Y1239+5,0))),"")</f>
        <v/>
      </c>
      <c r="AC1239" s="6"/>
      <c r="AD1239" s="6"/>
    </row>
    <row r="1240" customFormat="false" ht="15" hidden="false" customHeight="true" outlineLevel="0" collapsed="false">
      <c r="A1240" s="5" t="n">
        <v>1239</v>
      </c>
      <c r="B1240" s="5" t="s">
        <v>3105</v>
      </c>
      <c r="C1240" s="5" t="s">
        <v>171</v>
      </c>
      <c r="D1240" s="5" t="s">
        <v>172</v>
      </c>
      <c r="E1240" s="5" t="n">
        <v>88</v>
      </c>
      <c r="F1240" s="5" t="s">
        <v>3106</v>
      </c>
      <c r="G1240" s="5" t="n">
        <v>4</v>
      </c>
      <c r="H1240" s="5" t="s">
        <v>53</v>
      </c>
      <c r="I1240" s="5" t="s">
        <v>81</v>
      </c>
      <c r="J1240" s="5" t="s">
        <v>174</v>
      </c>
      <c r="K1240" s="5" t="s">
        <v>175</v>
      </c>
      <c r="L1240" s="5" t="n">
        <v>8</v>
      </c>
      <c r="M1240" s="5" t="n">
        <v>1</v>
      </c>
      <c r="N1240" s="5" t="n">
        <v>2</v>
      </c>
      <c r="O1240" s="5" t="n">
        <v>10</v>
      </c>
      <c r="P1240" s="5" t="n">
        <v>-4</v>
      </c>
      <c r="Q1240" s="5" t="n">
        <v>3.5</v>
      </c>
      <c r="R1240" s="5" t="n">
        <v>2</v>
      </c>
      <c r="S1240" s="5" t="n">
        <v>1</v>
      </c>
      <c r="T1240" s="5" t="s">
        <v>3107</v>
      </c>
      <c r="U1240" s="6"/>
      <c r="V1240" s="6"/>
      <c r="W1240" s="6"/>
      <c r="X1240" s="6"/>
      <c r="Y1240" s="7" t="str">
        <f aca="false">IF(COUNT(U1240:X1240)=4,(W1240-X1240)/2,"")</f>
        <v/>
      </c>
      <c r="Z1240" s="7" t="str">
        <f aca="false">IF(COUNT(U1240:X1240)=4,(U1240-V1240)/2,"")</f>
        <v/>
      </c>
      <c r="AA1240" s="7" t="str">
        <f aca="false">IF(COUNT(U1240:X1240)=4,MAX(1,MIN(10,ROUNDUP(5-Z1240,0))),"")</f>
        <v/>
      </c>
      <c r="AB1240" s="7" t="str">
        <f aca="false">IF(COUNT(U1240:X1240)=4,MAX(1,MIN(10,ROUNDUP(Y1240+5,0))),"")</f>
        <v/>
      </c>
      <c r="AC1240" s="6"/>
      <c r="AD1240" s="6"/>
    </row>
    <row r="1241" customFormat="false" ht="15" hidden="false" customHeight="true" outlineLevel="0" collapsed="false">
      <c r="A1241" s="5" t="n">
        <v>1240</v>
      </c>
      <c r="B1241" s="5" t="s">
        <v>3108</v>
      </c>
      <c r="C1241" s="5" t="s">
        <v>171</v>
      </c>
      <c r="D1241" s="5" t="s">
        <v>172</v>
      </c>
      <c r="E1241" s="5" t="n">
        <v>88</v>
      </c>
      <c r="F1241" s="5" t="s">
        <v>3109</v>
      </c>
      <c r="G1241" s="5" t="n">
        <v>4</v>
      </c>
      <c r="H1241" s="5" t="s">
        <v>53</v>
      </c>
      <c r="I1241" s="5" t="s">
        <v>54</v>
      </c>
      <c r="J1241" s="5" t="s">
        <v>181</v>
      </c>
      <c r="K1241" s="5" t="s">
        <v>413</v>
      </c>
      <c r="L1241" s="5" t="n">
        <v>5</v>
      </c>
      <c r="M1241" s="5" t="n">
        <v>3</v>
      </c>
      <c r="N1241" s="5" t="n">
        <v>3</v>
      </c>
      <c r="O1241" s="5" t="n">
        <v>8</v>
      </c>
      <c r="P1241" s="5" t="n">
        <v>-2.5</v>
      </c>
      <c r="Q1241" s="5" t="n">
        <v>1</v>
      </c>
      <c r="R1241" s="5" t="n">
        <v>4</v>
      </c>
      <c r="S1241" s="5" t="n">
        <v>3</v>
      </c>
      <c r="T1241" s="5" t="s">
        <v>534</v>
      </c>
      <c r="U1241" s="6"/>
      <c r="V1241" s="6"/>
      <c r="W1241" s="6"/>
      <c r="X1241" s="6"/>
      <c r="Y1241" s="7" t="str">
        <f aca="false">IF(COUNT(U1241:X1241)=4,(W1241-X1241)/2,"")</f>
        <v/>
      </c>
      <c r="Z1241" s="7" t="str">
        <f aca="false">IF(COUNT(U1241:X1241)=4,(U1241-V1241)/2,"")</f>
        <v/>
      </c>
      <c r="AA1241" s="7" t="str">
        <f aca="false">IF(COUNT(U1241:X1241)=4,MAX(1,MIN(10,ROUNDUP(5-Z1241,0))),"")</f>
        <v/>
      </c>
      <c r="AB1241" s="7" t="str">
        <f aca="false">IF(COUNT(U1241:X1241)=4,MAX(1,MIN(10,ROUNDUP(Y1241+5,0))),"")</f>
        <v/>
      </c>
      <c r="AC1241" s="6"/>
      <c r="AD1241" s="6"/>
    </row>
    <row r="1242" customFormat="false" ht="15" hidden="false" customHeight="true" outlineLevel="0" collapsed="false">
      <c r="A1242" s="5" t="n">
        <v>1241</v>
      </c>
      <c r="B1242" s="5" t="s">
        <v>3110</v>
      </c>
      <c r="C1242" s="5" t="s">
        <v>171</v>
      </c>
      <c r="D1242" s="5" t="s">
        <v>172</v>
      </c>
      <c r="E1242" s="5" t="n">
        <v>88</v>
      </c>
      <c r="F1242" s="5" t="s">
        <v>3111</v>
      </c>
      <c r="G1242" s="5" t="n">
        <v>4</v>
      </c>
      <c r="H1242" s="5" t="s">
        <v>53</v>
      </c>
      <c r="I1242" s="5" t="s">
        <v>54</v>
      </c>
      <c r="J1242" s="5" t="s">
        <v>181</v>
      </c>
      <c r="K1242" s="5" t="s">
        <v>551</v>
      </c>
      <c r="L1242" s="5" t="n">
        <v>2</v>
      </c>
      <c r="M1242" s="5" t="n">
        <v>5</v>
      </c>
      <c r="N1242" s="5" t="n">
        <v>8</v>
      </c>
      <c r="O1242" s="5" t="n">
        <v>2</v>
      </c>
      <c r="P1242" s="5" t="n">
        <v>3</v>
      </c>
      <c r="Q1242" s="5" t="n">
        <v>-1.5</v>
      </c>
      <c r="R1242" s="5" t="n">
        <v>7</v>
      </c>
      <c r="S1242" s="5" t="n">
        <v>8</v>
      </c>
      <c r="T1242" s="5" t="s">
        <v>3112</v>
      </c>
      <c r="U1242" s="6"/>
      <c r="V1242" s="6"/>
      <c r="W1242" s="6"/>
      <c r="X1242" s="6"/>
      <c r="Y1242" s="7" t="str">
        <f aca="false">IF(COUNT(U1242:X1242)=4,(W1242-X1242)/2,"")</f>
        <v/>
      </c>
      <c r="Z1242" s="7" t="str">
        <f aca="false">IF(COUNT(U1242:X1242)=4,(U1242-V1242)/2,"")</f>
        <v/>
      </c>
      <c r="AA1242" s="7" t="str">
        <f aca="false">IF(COUNT(U1242:X1242)=4,MAX(1,MIN(10,ROUNDUP(5-Z1242,0))),"")</f>
        <v/>
      </c>
      <c r="AB1242" s="7" t="str">
        <f aca="false">IF(COUNT(U1242:X1242)=4,MAX(1,MIN(10,ROUNDUP(Y1242+5,0))),"")</f>
        <v/>
      </c>
      <c r="AC1242" s="6"/>
      <c r="AD1242" s="6"/>
    </row>
    <row r="1243" customFormat="false" ht="15" hidden="false" customHeight="true" outlineLevel="0" collapsed="false">
      <c r="A1243" s="5" t="n">
        <v>1242</v>
      </c>
      <c r="B1243" s="5" t="s">
        <v>3113</v>
      </c>
      <c r="C1243" s="5" t="s">
        <v>171</v>
      </c>
      <c r="D1243" s="5" t="s">
        <v>172</v>
      </c>
      <c r="E1243" s="5" t="n">
        <v>88</v>
      </c>
      <c r="F1243" s="5" t="s">
        <v>3114</v>
      </c>
      <c r="G1243" s="5" t="n">
        <v>4</v>
      </c>
      <c r="H1243" s="5" t="s">
        <v>53</v>
      </c>
      <c r="I1243" s="5" t="s">
        <v>54</v>
      </c>
      <c r="J1243" s="5" t="s">
        <v>181</v>
      </c>
      <c r="K1243" s="5" t="s">
        <v>333</v>
      </c>
      <c r="L1243" s="5" t="n">
        <v>2</v>
      </c>
      <c r="M1243" s="5" t="n">
        <v>4</v>
      </c>
      <c r="N1243" s="5" t="n">
        <v>9</v>
      </c>
      <c r="O1243" s="5" t="n">
        <v>2</v>
      </c>
      <c r="P1243" s="5" t="n">
        <v>3.5</v>
      </c>
      <c r="Q1243" s="5" t="n">
        <v>-1</v>
      </c>
      <c r="R1243" s="5" t="n">
        <v>6</v>
      </c>
      <c r="S1243" s="5" t="n">
        <v>9</v>
      </c>
      <c r="T1243" s="5" t="s">
        <v>2646</v>
      </c>
      <c r="U1243" s="6"/>
      <c r="V1243" s="6"/>
      <c r="W1243" s="6"/>
      <c r="X1243" s="6"/>
      <c r="Y1243" s="7" t="str">
        <f aca="false">IF(COUNT(U1243:X1243)=4,(W1243-X1243)/2,"")</f>
        <v/>
      </c>
      <c r="Z1243" s="7" t="str">
        <f aca="false">IF(COUNT(U1243:X1243)=4,(U1243-V1243)/2,"")</f>
        <v/>
      </c>
      <c r="AA1243" s="7" t="str">
        <f aca="false">IF(COUNT(U1243:X1243)=4,MAX(1,MIN(10,ROUNDUP(5-Z1243,0))),"")</f>
        <v/>
      </c>
      <c r="AB1243" s="7" t="str">
        <f aca="false">IF(COUNT(U1243:X1243)=4,MAX(1,MIN(10,ROUNDUP(Y1243+5,0))),"")</f>
        <v/>
      </c>
      <c r="AC1243" s="6"/>
      <c r="AD1243" s="6"/>
    </row>
    <row r="1244" customFormat="false" ht="15" hidden="false" customHeight="true" outlineLevel="0" collapsed="false">
      <c r="A1244" s="5" t="n">
        <v>1243</v>
      </c>
      <c r="B1244" s="5" t="s">
        <v>3115</v>
      </c>
      <c r="C1244" s="5" t="s">
        <v>171</v>
      </c>
      <c r="D1244" s="5" t="s">
        <v>172</v>
      </c>
      <c r="E1244" s="5" t="n">
        <v>88</v>
      </c>
      <c r="F1244" s="5" t="s">
        <v>3116</v>
      </c>
      <c r="G1244" s="5" t="n">
        <v>4</v>
      </c>
      <c r="H1244" s="5" t="s">
        <v>53</v>
      </c>
      <c r="I1244" s="5" t="s">
        <v>54</v>
      </c>
      <c r="J1244" s="5" t="s">
        <v>181</v>
      </c>
      <c r="K1244" s="5" t="s">
        <v>333</v>
      </c>
      <c r="L1244" s="5" t="n">
        <v>2</v>
      </c>
      <c r="M1244" s="5" t="n">
        <v>5</v>
      </c>
      <c r="N1244" s="5" t="n">
        <v>9</v>
      </c>
      <c r="O1244" s="5" t="n">
        <v>2</v>
      </c>
      <c r="P1244" s="5" t="n">
        <v>3.5</v>
      </c>
      <c r="Q1244" s="5" t="n">
        <v>-1.5</v>
      </c>
      <c r="R1244" s="5" t="n">
        <v>7</v>
      </c>
      <c r="S1244" s="5" t="n">
        <v>9</v>
      </c>
      <c r="T1244" s="5" t="s">
        <v>607</v>
      </c>
      <c r="U1244" s="6"/>
      <c r="V1244" s="6"/>
      <c r="W1244" s="6"/>
      <c r="X1244" s="6"/>
      <c r="Y1244" s="7" t="str">
        <f aca="false">IF(COUNT(U1244:X1244)=4,(W1244-X1244)/2,"")</f>
        <v/>
      </c>
      <c r="Z1244" s="7" t="str">
        <f aca="false">IF(COUNT(U1244:X1244)=4,(U1244-V1244)/2,"")</f>
        <v/>
      </c>
      <c r="AA1244" s="7" t="str">
        <f aca="false">IF(COUNT(U1244:X1244)=4,MAX(1,MIN(10,ROUNDUP(5-Z1244,0))),"")</f>
        <v/>
      </c>
      <c r="AB1244" s="7" t="str">
        <f aca="false">IF(COUNT(U1244:X1244)=4,MAX(1,MIN(10,ROUNDUP(Y1244+5,0))),"")</f>
        <v/>
      </c>
      <c r="AC1244" s="6"/>
      <c r="AD1244" s="6"/>
    </row>
    <row r="1245" customFormat="false" ht="15" hidden="false" customHeight="true" outlineLevel="0" collapsed="false">
      <c r="A1245" s="5" t="n">
        <v>1244</v>
      </c>
      <c r="B1245" s="5" t="s">
        <v>3117</v>
      </c>
      <c r="C1245" s="5" t="s">
        <v>171</v>
      </c>
      <c r="D1245" s="5" t="s">
        <v>172</v>
      </c>
      <c r="E1245" s="5" t="n">
        <v>88</v>
      </c>
      <c r="F1245" s="5" t="s">
        <v>3118</v>
      </c>
      <c r="G1245" s="5" t="n">
        <v>4</v>
      </c>
      <c r="H1245" s="5" t="s">
        <v>53</v>
      </c>
      <c r="I1245" s="5" t="s">
        <v>54</v>
      </c>
      <c r="J1245" s="5" t="s">
        <v>181</v>
      </c>
      <c r="K1245" s="5" t="s">
        <v>179</v>
      </c>
      <c r="L1245" s="5" t="n">
        <v>2</v>
      </c>
      <c r="M1245" s="5" t="n">
        <v>6</v>
      </c>
      <c r="N1245" s="5" t="n">
        <v>2</v>
      </c>
      <c r="O1245" s="5" t="n">
        <v>6</v>
      </c>
      <c r="P1245" s="5" t="n">
        <v>-2</v>
      </c>
      <c r="Q1245" s="5" t="n">
        <v>-2</v>
      </c>
      <c r="R1245" s="5" t="n">
        <v>7</v>
      </c>
      <c r="S1245" s="5" t="n">
        <v>3</v>
      </c>
      <c r="T1245" s="5" t="s">
        <v>3119</v>
      </c>
      <c r="U1245" s="6"/>
      <c r="V1245" s="6"/>
      <c r="W1245" s="6"/>
      <c r="X1245" s="6"/>
      <c r="Y1245" s="7" t="str">
        <f aca="false">IF(COUNT(U1245:X1245)=4,(W1245-X1245)/2,"")</f>
        <v/>
      </c>
      <c r="Z1245" s="7" t="str">
        <f aca="false">IF(COUNT(U1245:X1245)=4,(U1245-V1245)/2,"")</f>
        <v/>
      </c>
      <c r="AA1245" s="7" t="str">
        <f aca="false">IF(COUNT(U1245:X1245)=4,MAX(1,MIN(10,ROUNDUP(5-Z1245,0))),"")</f>
        <v/>
      </c>
      <c r="AB1245" s="7" t="str">
        <f aca="false">IF(COUNT(U1245:X1245)=4,MAX(1,MIN(10,ROUNDUP(Y1245+5,0))),"")</f>
        <v/>
      </c>
      <c r="AC1245" s="6"/>
      <c r="AD1245" s="6"/>
    </row>
    <row r="1246" customFormat="false" ht="15" hidden="false" customHeight="true" outlineLevel="0" collapsed="false">
      <c r="A1246" s="5" t="n">
        <v>1245</v>
      </c>
      <c r="B1246" s="5" t="s">
        <v>3120</v>
      </c>
      <c r="C1246" s="5" t="s">
        <v>171</v>
      </c>
      <c r="D1246" s="5" t="s">
        <v>172</v>
      </c>
      <c r="E1246" s="5" t="n">
        <v>87</v>
      </c>
      <c r="F1246" s="5" t="s">
        <v>3121</v>
      </c>
      <c r="G1246" s="5" t="n">
        <v>4</v>
      </c>
      <c r="H1246" s="5" t="s">
        <v>53</v>
      </c>
      <c r="I1246" s="5" t="s">
        <v>54</v>
      </c>
      <c r="J1246" s="5" t="s">
        <v>181</v>
      </c>
      <c r="K1246" s="5" t="s">
        <v>279</v>
      </c>
      <c r="L1246" s="5" t="n">
        <v>6</v>
      </c>
      <c r="M1246" s="5" t="n">
        <v>4</v>
      </c>
      <c r="N1246" s="5" t="n">
        <v>5</v>
      </c>
      <c r="O1246" s="5" t="n">
        <v>7</v>
      </c>
      <c r="P1246" s="5" t="n">
        <v>-1</v>
      </c>
      <c r="Q1246" s="5" t="n">
        <v>1</v>
      </c>
      <c r="R1246" s="5" t="n">
        <v>4</v>
      </c>
      <c r="S1246" s="5" t="n">
        <v>4</v>
      </c>
      <c r="T1246" s="5" t="s">
        <v>705</v>
      </c>
      <c r="U1246" s="6"/>
      <c r="V1246" s="6"/>
      <c r="W1246" s="6"/>
      <c r="X1246" s="6"/>
      <c r="Y1246" s="7" t="str">
        <f aca="false">IF(COUNT(U1246:X1246)=4,(W1246-X1246)/2,"")</f>
        <v/>
      </c>
      <c r="Z1246" s="7" t="str">
        <f aca="false">IF(COUNT(U1246:X1246)=4,(U1246-V1246)/2,"")</f>
        <v/>
      </c>
      <c r="AA1246" s="7" t="str">
        <f aca="false">IF(COUNT(U1246:X1246)=4,MAX(1,MIN(10,ROUNDUP(5-Z1246,0))),"")</f>
        <v/>
      </c>
      <c r="AB1246" s="7" t="str">
        <f aca="false">IF(COUNT(U1246:X1246)=4,MAX(1,MIN(10,ROUNDUP(Y1246+5,0))),"")</f>
        <v/>
      </c>
      <c r="AC1246" s="6"/>
      <c r="AD1246" s="6"/>
    </row>
    <row r="1247" customFormat="false" ht="15" hidden="false" customHeight="true" outlineLevel="0" collapsed="false">
      <c r="A1247" s="5" t="n">
        <v>1246</v>
      </c>
      <c r="B1247" s="5" t="s">
        <v>3122</v>
      </c>
      <c r="C1247" s="5" t="s">
        <v>171</v>
      </c>
      <c r="D1247" s="5" t="s">
        <v>172</v>
      </c>
      <c r="E1247" s="5" t="n">
        <v>87</v>
      </c>
      <c r="F1247" s="5" t="s">
        <v>3122</v>
      </c>
      <c r="G1247" s="5" t="n">
        <v>4</v>
      </c>
      <c r="H1247" s="5" t="s">
        <v>53</v>
      </c>
      <c r="I1247" s="5" t="s">
        <v>54</v>
      </c>
      <c r="J1247" s="5" t="s">
        <v>181</v>
      </c>
      <c r="K1247" s="5" t="s">
        <v>235</v>
      </c>
      <c r="L1247" s="5" t="n">
        <v>6</v>
      </c>
      <c r="M1247" s="5" t="n">
        <v>5</v>
      </c>
      <c r="N1247" s="5" t="n">
        <v>7</v>
      </c>
      <c r="O1247" s="5" t="n">
        <v>4</v>
      </c>
      <c r="P1247" s="5" t="n">
        <v>1.5</v>
      </c>
      <c r="Q1247" s="5" t="n">
        <v>0.5</v>
      </c>
      <c r="R1247" s="5" t="n">
        <v>5</v>
      </c>
      <c r="S1247" s="5" t="n">
        <v>7</v>
      </c>
      <c r="T1247" s="5" t="s">
        <v>3123</v>
      </c>
      <c r="U1247" s="6"/>
      <c r="V1247" s="6"/>
      <c r="W1247" s="6"/>
      <c r="X1247" s="6"/>
      <c r="Y1247" s="7" t="str">
        <f aca="false">IF(COUNT(U1247:X1247)=4,(W1247-X1247)/2,"")</f>
        <v/>
      </c>
      <c r="Z1247" s="7" t="str">
        <f aca="false">IF(COUNT(U1247:X1247)=4,(U1247-V1247)/2,"")</f>
        <v/>
      </c>
      <c r="AA1247" s="7" t="str">
        <f aca="false">IF(COUNT(U1247:X1247)=4,MAX(1,MIN(10,ROUNDUP(5-Z1247,0))),"")</f>
        <v/>
      </c>
      <c r="AB1247" s="7" t="str">
        <f aca="false">IF(COUNT(U1247:X1247)=4,MAX(1,MIN(10,ROUNDUP(Y1247+5,0))),"")</f>
        <v/>
      </c>
      <c r="AC1247" s="6"/>
      <c r="AD1247" s="6"/>
    </row>
    <row r="1248" customFormat="false" ht="15" hidden="false" customHeight="true" outlineLevel="0" collapsed="false">
      <c r="A1248" s="5" t="n">
        <v>1247</v>
      </c>
      <c r="B1248" s="5" t="s">
        <v>3124</v>
      </c>
      <c r="C1248" s="5" t="s">
        <v>171</v>
      </c>
      <c r="D1248" s="5" t="s">
        <v>172</v>
      </c>
      <c r="E1248" s="5" t="n">
        <v>87</v>
      </c>
      <c r="F1248" s="5" t="s">
        <v>3125</v>
      </c>
      <c r="G1248" s="5" t="n">
        <v>4</v>
      </c>
      <c r="H1248" s="5" t="s">
        <v>53</v>
      </c>
      <c r="I1248" s="5" t="s">
        <v>54</v>
      </c>
      <c r="J1248" s="5" t="s">
        <v>181</v>
      </c>
      <c r="K1248" s="5" t="s">
        <v>413</v>
      </c>
      <c r="L1248" s="5" t="n">
        <v>5</v>
      </c>
      <c r="M1248" s="5" t="n">
        <v>3</v>
      </c>
      <c r="N1248" s="5" t="n">
        <v>3</v>
      </c>
      <c r="O1248" s="5" t="n">
        <v>8</v>
      </c>
      <c r="P1248" s="5" t="n">
        <v>-2.5</v>
      </c>
      <c r="Q1248" s="5" t="n">
        <v>1</v>
      </c>
      <c r="R1248" s="5" t="n">
        <v>4</v>
      </c>
      <c r="S1248" s="5" t="n">
        <v>3</v>
      </c>
      <c r="T1248" s="5" t="s">
        <v>245</v>
      </c>
      <c r="U1248" s="6"/>
      <c r="V1248" s="6"/>
      <c r="W1248" s="6"/>
      <c r="X1248" s="6"/>
      <c r="Y1248" s="7" t="str">
        <f aca="false">IF(COUNT(U1248:X1248)=4,(W1248-X1248)/2,"")</f>
        <v/>
      </c>
      <c r="Z1248" s="7" t="str">
        <f aca="false">IF(COUNT(U1248:X1248)=4,(U1248-V1248)/2,"")</f>
        <v/>
      </c>
      <c r="AA1248" s="7" t="str">
        <f aca="false">IF(COUNT(U1248:X1248)=4,MAX(1,MIN(10,ROUNDUP(5-Z1248,0))),"")</f>
        <v/>
      </c>
      <c r="AB1248" s="7" t="str">
        <f aca="false">IF(COUNT(U1248:X1248)=4,MAX(1,MIN(10,ROUNDUP(Y1248+5,0))),"")</f>
        <v/>
      </c>
      <c r="AC1248" s="6"/>
      <c r="AD1248" s="6"/>
    </row>
    <row r="1249" customFormat="false" ht="15" hidden="false" customHeight="true" outlineLevel="0" collapsed="false">
      <c r="A1249" s="5" t="n">
        <v>1248</v>
      </c>
      <c r="B1249" s="5" t="s">
        <v>3126</v>
      </c>
      <c r="C1249" s="5" t="s">
        <v>108</v>
      </c>
      <c r="D1249" s="5" t="s">
        <v>109</v>
      </c>
      <c r="E1249" s="5" t="n">
        <v>87</v>
      </c>
      <c r="F1249" s="5" t="s">
        <v>3126</v>
      </c>
      <c r="G1249" s="5" t="n">
        <v>4</v>
      </c>
      <c r="H1249" s="5" t="s">
        <v>53</v>
      </c>
      <c r="I1249" s="5" t="s">
        <v>54</v>
      </c>
      <c r="J1249" s="5" t="s">
        <v>117</v>
      </c>
      <c r="K1249" s="5" t="s">
        <v>117</v>
      </c>
      <c r="L1249" s="5" t="n">
        <v>3</v>
      </c>
      <c r="M1249" s="5" t="n">
        <v>1</v>
      </c>
      <c r="N1249" s="5" t="n">
        <v>2</v>
      </c>
      <c r="O1249" s="5" t="n">
        <v>8</v>
      </c>
      <c r="P1249" s="5" t="n">
        <v>-3</v>
      </c>
      <c r="Q1249" s="5" t="n">
        <v>1</v>
      </c>
      <c r="R1249" s="5" t="n">
        <v>4</v>
      </c>
      <c r="S1249" s="5" t="n">
        <v>2</v>
      </c>
      <c r="T1249" s="5" t="s">
        <v>3127</v>
      </c>
      <c r="U1249" s="6"/>
      <c r="V1249" s="6"/>
      <c r="W1249" s="6"/>
      <c r="X1249" s="6"/>
      <c r="Y1249" s="7" t="str">
        <f aca="false">IF(COUNT(U1249:X1249)=4,(W1249-X1249)/2,"")</f>
        <v/>
      </c>
      <c r="Z1249" s="7" t="str">
        <f aca="false">IF(COUNT(U1249:X1249)=4,(U1249-V1249)/2,"")</f>
        <v/>
      </c>
      <c r="AA1249" s="7" t="str">
        <f aca="false">IF(COUNT(U1249:X1249)=4,MAX(1,MIN(10,ROUNDUP(5-Z1249,0))),"")</f>
        <v/>
      </c>
      <c r="AB1249" s="7" t="str">
        <f aca="false">IF(COUNT(U1249:X1249)=4,MAX(1,MIN(10,ROUNDUP(Y1249+5,0))),"")</f>
        <v/>
      </c>
      <c r="AC1249" s="6"/>
      <c r="AD1249" s="6"/>
    </row>
    <row r="1250" customFormat="false" ht="15" hidden="false" customHeight="true" outlineLevel="0" collapsed="false">
      <c r="A1250" s="5" t="n">
        <v>1249</v>
      </c>
      <c r="B1250" s="5" t="s">
        <v>3128</v>
      </c>
      <c r="C1250" s="5" t="s">
        <v>171</v>
      </c>
      <c r="D1250" s="5" t="s">
        <v>172</v>
      </c>
      <c r="E1250" s="5" t="n">
        <v>87</v>
      </c>
      <c r="F1250" s="5" t="s">
        <v>3129</v>
      </c>
      <c r="G1250" s="5" t="n">
        <v>4</v>
      </c>
      <c r="H1250" s="5" t="s">
        <v>53</v>
      </c>
      <c r="I1250" s="5" t="s">
        <v>81</v>
      </c>
      <c r="J1250" s="5" t="s">
        <v>174</v>
      </c>
      <c r="K1250" s="5" t="s">
        <v>347</v>
      </c>
      <c r="L1250" s="5" t="n">
        <v>5</v>
      </c>
      <c r="M1250" s="5" t="n">
        <v>2</v>
      </c>
      <c r="N1250" s="5" t="n">
        <v>9</v>
      </c>
      <c r="O1250" s="5" t="n">
        <v>2</v>
      </c>
      <c r="P1250" s="5" t="n">
        <v>3.5</v>
      </c>
      <c r="Q1250" s="5" t="n">
        <v>1.5</v>
      </c>
      <c r="R1250" s="5" t="n">
        <v>4</v>
      </c>
      <c r="S1250" s="5" t="n">
        <v>9</v>
      </c>
      <c r="T1250" s="5" t="s">
        <v>3130</v>
      </c>
      <c r="U1250" s="6"/>
      <c r="V1250" s="6"/>
      <c r="W1250" s="6"/>
      <c r="X1250" s="6"/>
      <c r="Y1250" s="7" t="str">
        <f aca="false">IF(COUNT(U1250:X1250)=4,(W1250-X1250)/2,"")</f>
        <v/>
      </c>
      <c r="Z1250" s="7" t="str">
        <f aca="false">IF(COUNT(U1250:X1250)=4,(U1250-V1250)/2,"")</f>
        <v/>
      </c>
      <c r="AA1250" s="7" t="str">
        <f aca="false">IF(COUNT(U1250:X1250)=4,MAX(1,MIN(10,ROUNDUP(5-Z1250,0))),"")</f>
        <v/>
      </c>
      <c r="AB1250" s="7" t="str">
        <f aca="false">IF(COUNT(U1250:X1250)=4,MAX(1,MIN(10,ROUNDUP(Y1250+5,0))),"")</f>
        <v/>
      </c>
      <c r="AC1250" s="6"/>
      <c r="AD1250" s="6"/>
    </row>
    <row r="1251" customFormat="false" ht="15" hidden="false" customHeight="true" outlineLevel="0" collapsed="false">
      <c r="A1251" s="5" t="n">
        <v>1250</v>
      </c>
      <c r="B1251" s="5" t="s">
        <v>3131</v>
      </c>
      <c r="C1251" s="5" t="s">
        <v>171</v>
      </c>
      <c r="D1251" s="5" t="s">
        <v>172</v>
      </c>
      <c r="E1251" s="5" t="n">
        <v>87</v>
      </c>
      <c r="F1251" s="5" t="s">
        <v>3132</v>
      </c>
      <c r="G1251" s="5" t="n">
        <v>4</v>
      </c>
      <c r="H1251" s="5" t="s">
        <v>53</v>
      </c>
      <c r="I1251" s="5" t="s">
        <v>54</v>
      </c>
      <c r="J1251" s="5" t="s">
        <v>181</v>
      </c>
      <c r="K1251" s="5" t="s">
        <v>443</v>
      </c>
      <c r="L1251" s="5" t="n">
        <v>5</v>
      </c>
      <c r="M1251" s="5" t="n">
        <v>3</v>
      </c>
      <c r="N1251" s="5" t="n">
        <v>4</v>
      </c>
      <c r="O1251" s="5" t="n">
        <v>8</v>
      </c>
      <c r="P1251" s="5" t="n">
        <v>-2</v>
      </c>
      <c r="Q1251" s="5" t="n">
        <v>1</v>
      </c>
      <c r="R1251" s="5" t="n">
        <v>4</v>
      </c>
      <c r="S1251" s="5" t="n">
        <v>3</v>
      </c>
      <c r="T1251" s="5" t="s">
        <v>3133</v>
      </c>
      <c r="U1251" s="6"/>
      <c r="V1251" s="6"/>
      <c r="W1251" s="6"/>
      <c r="X1251" s="6"/>
      <c r="Y1251" s="7" t="str">
        <f aca="false">IF(COUNT(U1251:X1251)=4,(W1251-X1251)/2,"")</f>
        <v/>
      </c>
      <c r="Z1251" s="7" t="str">
        <f aca="false">IF(COUNT(U1251:X1251)=4,(U1251-V1251)/2,"")</f>
        <v/>
      </c>
      <c r="AA1251" s="7" t="str">
        <f aca="false">IF(COUNT(U1251:X1251)=4,MAX(1,MIN(10,ROUNDUP(5-Z1251,0))),"")</f>
        <v/>
      </c>
      <c r="AB1251" s="7" t="str">
        <f aca="false">IF(COUNT(U1251:X1251)=4,MAX(1,MIN(10,ROUNDUP(Y1251+5,0))),"")</f>
        <v/>
      </c>
      <c r="AC1251" s="6"/>
      <c r="AD1251" s="6"/>
    </row>
    <row r="1252" customFormat="false" ht="15" hidden="false" customHeight="true" outlineLevel="0" collapsed="false">
      <c r="A1252" s="5" t="n">
        <v>1251</v>
      </c>
      <c r="B1252" s="5" t="s">
        <v>3134</v>
      </c>
      <c r="C1252" s="5" t="s">
        <v>145</v>
      </c>
      <c r="D1252" s="5" t="s">
        <v>51</v>
      </c>
      <c r="E1252" s="5" t="n">
        <v>87</v>
      </c>
      <c r="F1252" s="5" t="s">
        <v>3135</v>
      </c>
      <c r="G1252" s="5" t="n">
        <v>4</v>
      </c>
      <c r="H1252" s="5" t="s">
        <v>53</v>
      </c>
      <c r="I1252" s="5" t="s">
        <v>54</v>
      </c>
      <c r="J1252" s="5" t="s">
        <v>55</v>
      </c>
      <c r="K1252" s="5" t="s">
        <v>55</v>
      </c>
      <c r="L1252" s="5" t="n">
        <v>4</v>
      </c>
      <c r="M1252" s="5" t="n">
        <v>4</v>
      </c>
      <c r="N1252" s="5" t="n">
        <v>6</v>
      </c>
      <c r="O1252" s="5" t="n">
        <v>4</v>
      </c>
      <c r="P1252" s="5" t="n">
        <v>1</v>
      </c>
      <c r="Q1252" s="5" t="n">
        <v>0</v>
      </c>
      <c r="R1252" s="5" t="n">
        <v>5</v>
      </c>
      <c r="S1252" s="5" t="n">
        <v>6</v>
      </c>
      <c r="T1252" s="5" t="s">
        <v>2342</v>
      </c>
      <c r="U1252" s="6"/>
      <c r="V1252" s="6"/>
      <c r="W1252" s="6"/>
      <c r="X1252" s="6"/>
      <c r="Y1252" s="7" t="str">
        <f aca="false">IF(COUNT(U1252:X1252)=4,(W1252-X1252)/2,"")</f>
        <v/>
      </c>
      <c r="Z1252" s="7" t="str">
        <f aca="false">IF(COUNT(U1252:X1252)=4,(U1252-V1252)/2,"")</f>
        <v/>
      </c>
      <c r="AA1252" s="7" t="str">
        <f aca="false">IF(COUNT(U1252:X1252)=4,MAX(1,MIN(10,ROUNDUP(5-Z1252,0))),"")</f>
        <v/>
      </c>
      <c r="AB1252" s="7" t="str">
        <f aca="false">IF(COUNT(U1252:X1252)=4,MAX(1,MIN(10,ROUNDUP(Y1252+5,0))),"")</f>
        <v/>
      </c>
      <c r="AC1252" s="6"/>
      <c r="AD1252" s="6"/>
    </row>
    <row r="1253" customFormat="false" ht="15" hidden="false" customHeight="true" outlineLevel="0" collapsed="false">
      <c r="A1253" s="5" t="n">
        <v>1252</v>
      </c>
      <c r="B1253" s="5" t="s">
        <v>3136</v>
      </c>
      <c r="C1253" s="5" t="s">
        <v>171</v>
      </c>
      <c r="D1253" s="5" t="s">
        <v>172</v>
      </c>
      <c r="E1253" s="5" t="n">
        <v>87</v>
      </c>
      <c r="F1253" s="5" t="s">
        <v>3137</v>
      </c>
      <c r="G1253" s="5" t="n">
        <v>4</v>
      </c>
      <c r="H1253" s="5" t="s">
        <v>53</v>
      </c>
      <c r="I1253" s="5" t="s">
        <v>54</v>
      </c>
      <c r="J1253" s="5" t="s">
        <v>181</v>
      </c>
      <c r="K1253" s="5" t="s">
        <v>333</v>
      </c>
      <c r="L1253" s="5" t="n">
        <v>0</v>
      </c>
      <c r="M1253" s="5" t="n">
        <v>10</v>
      </c>
      <c r="N1253" s="5" t="n">
        <v>9</v>
      </c>
      <c r="O1253" s="5" t="n">
        <v>1</v>
      </c>
      <c r="P1253" s="5" t="n">
        <v>4</v>
      </c>
      <c r="Q1253" s="5" t="n">
        <v>-5</v>
      </c>
      <c r="R1253" s="5" t="n">
        <v>10</v>
      </c>
      <c r="S1253" s="5" t="n">
        <v>9</v>
      </c>
      <c r="T1253" s="5" t="s">
        <v>3138</v>
      </c>
      <c r="U1253" s="6"/>
      <c r="V1253" s="6"/>
      <c r="W1253" s="6"/>
      <c r="X1253" s="6"/>
      <c r="Y1253" s="7" t="str">
        <f aca="false">IF(COUNT(U1253:X1253)=4,(W1253-X1253)/2,"")</f>
        <v/>
      </c>
      <c r="Z1253" s="7" t="str">
        <f aca="false">IF(COUNT(U1253:X1253)=4,(U1253-V1253)/2,"")</f>
        <v/>
      </c>
      <c r="AA1253" s="7" t="str">
        <f aca="false">IF(COUNT(U1253:X1253)=4,MAX(1,MIN(10,ROUNDUP(5-Z1253,0))),"")</f>
        <v/>
      </c>
      <c r="AB1253" s="7" t="str">
        <f aca="false">IF(COUNT(U1253:X1253)=4,MAX(1,MIN(10,ROUNDUP(Y1253+5,0))),"")</f>
        <v/>
      </c>
      <c r="AC1253" s="6"/>
      <c r="AD1253" s="6"/>
    </row>
    <row r="1254" customFormat="false" ht="15" hidden="false" customHeight="true" outlineLevel="0" collapsed="false">
      <c r="A1254" s="5" t="n">
        <v>1253</v>
      </c>
      <c r="B1254" s="5" t="s">
        <v>3139</v>
      </c>
      <c r="C1254" s="5" t="s">
        <v>145</v>
      </c>
      <c r="D1254" s="5" t="s">
        <v>51</v>
      </c>
      <c r="E1254" s="5" t="n">
        <v>87</v>
      </c>
      <c r="F1254" s="5" t="s">
        <v>3140</v>
      </c>
      <c r="G1254" s="5" t="n">
        <v>4</v>
      </c>
      <c r="H1254" s="5" t="s">
        <v>53</v>
      </c>
      <c r="I1254" s="5" t="s">
        <v>54</v>
      </c>
      <c r="J1254" s="5" t="s">
        <v>181</v>
      </c>
      <c r="K1254" s="5" t="s">
        <v>182</v>
      </c>
      <c r="L1254" s="5" t="n">
        <v>2</v>
      </c>
      <c r="M1254" s="5" t="n">
        <v>6</v>
      </c>
      <c r="N1254" s="5" t="n">
        <v>7</v>
      </c>
      <c r="O1254" s="5" t="n">
        <v>3</v>
      </c>
      <c r="P1254" s="5" t="n">
        <v>2</v>
      </c>
      <c r="Q1254" s="5" t="n">
        <v>-2</v>
      </c>
      <c r="R1254" s="5" t="n">
        <v>7</v>
      </c>
      <c r="S1254" s="5" t="n">
        <v>7</v>
      </c>
      <c r="T1254" s="5" t="s">
        <v>3141</v>
      </c>
      <c r="U1254" s="6"/>
      <c r="V1254" s="6"/>
      <c r="W1254" s="6"/>
      <c r="X1254" s="6"/>
      <c r="Y1254" s="7" t="str">
        <f aca="false">IF(COUNT(U1254:X1254)=4,(W1254-X1254)/2,"")</f>
        <v/>
      </c>
      <c r="Z1254" s="7" t="str">
        <f aca="false">IF(COUNT(U1254:X1254)=4,(U1254-V1254)/2,"")</f>
        <v/>
      </c>
      <c r="AA1254" s="7" t="str">
        <f aca="false">IF(COUNT(U1254:X1254)=4,MAX(1,MIN(10,ROUNDUP(5-Z1254,0))),"")</f>
        <v/>
      </c>
      <c r="AB1254" s="7" t="str">
        <f aca="false">IF(COUNT(U1254:X1254)=4,MAX(1,MIN(10,ROUNDUP(Y1254+5,0))),"")</f>
        <v/>
      </c>
      <c r="AC1254" s="6"/>
      <c r="AD1254" s="6"/>
    </row>
    <row r="1255" customFormat="false" ht="15" hidden="false" customHeight="true" outlineLevel="0" collapsed="false">
      <c r="A1255" s="5" t="n">
        <v>1254</v>
      </c>
      <c r="B1255" s="5" t="s">
        <v>3142</v>
      </c>
      <c r="C1255" s="5" t="s">
        <v>203</v>
      </c>
      <c r="D1255" s="5" t="s">
        <v>204</v>
      </c>
      <c r="E1255" s="5" t="n">
        <v>87</v>
      </c>
      <c r="F1255" s="5" t="s">
        <v>3143</v>
      </c>
      <c r="G1255" s="5" t="n">
        <v>4</v>
      </c>
      <c r="H1255" s="5" t="s">
        <v>53</v>
      </c>
      <c r="I1255" s="5" t="s">
        <v>54</v>
      </c>
      <c r="J1255" s="5" t="s">
        <v>117</v>
      </c>
      <c r="K1255" s="5" t="s">
        <v>117</v>
      </c>
      <c r="L1255" s="5" t="n">
        <v>5</v>
      </c>
      <c r="M1255" s="5" t="n">
        <v>1</v>
      </c>
      <c r="N1255" s="5" t="n">
        <v>2</v>
      </c>
      <c r="O1255" s="5" t="n">
        <v>8</v>
      </c>
      <c r="P1255" s="5" t="n">
        <v>-3</v>
      </c>
      <c r="Q1255" s="5" t="n">
        <v>2</v>
      </c>
      <c r="R1255" s="5" t="n">
        <v>3</v>
      </c>
      <c r="S1255" s="5" t="n">
        <v>2</v>
      </c>
      <c r="T1255" s="5" t="s">
        <v>3144</v>
      </c>
      <c r="U1255" s="6"/>
      <c r="V1255" s="6"/>
      <c r="W1255" s="6"/>
      <c r="X1255" s="6"/>
      <c r="Y1255" s="7" t="str">
        <f aca="false">IF(COUNT(U1255:X1255)=4,(W1255-X1255)/2,"")</f>
        <v/>
      </c>
      <c r="Z1255" s="7" t="str">
        <f aca="false">IF(COUNT(U1255:X1255)=4,(U1255-V1255)/2,"")</f>
        <v/>
      </c>
      <c r="AA1255" s="7" t="str">
        <f aca="false">IF(COUNT(U1255:X1255)=4,MAX(1,MIN(10,ROUNDUP(5-Z1255,0))),"")</f>
        <v/>
      </c>
      <c r="AB1255" s="7" t="str">
        <f aca="false">IF(COUNT(U1255:X1255)=4,MAX(1,MIN(10,ROUNDUP(Y1255+5,0))),"")</f>
        <v/>
      </c>
      <c r="AC1255" s="6"/>
      <c r="AD1255" s="6"/>
    </row>
    <row r="1256" customFormat="false" ht="15" hidden="false" customHeight="true" outlineLevel="0" collapsed="false">
      <c r="A1256" s="5" t="n">
        <v>1255</v>
      </c>
      <c r="B1256" s="5" t="s">
        <v>3145</v>
      </c>
      <c r="C1256" s="5" t="s">
        <v>203</v>
      </c>
      <c r="D1256" s="5" t="s">
        <v>204</v>
      </c>
      <c r="E1256" s="5" t="n">
        <v>87</v>
      </c>
      <c r="F1256" s="5" t="s">
        <v>3146</v>
      </c>
      <c r="G1256" s="5" t="n">
        <v>4</v>
      </c>
      <c r="H1256" s="5" t="s">
        <v>53</v>
      </c>
      <c r="I1256" s="5" t="s">
        <v>54</v>
      </c>
      <c r="J1256" s="5" t="s">
        <v>117</v>
      </c>
      <c r="K1256" s="5" t="s">
        <v>117</v>
      </c>
      <c r="L1256" s="5" t="n">
        <v>4</v>
      </c>
      <c r="M1256" s="5" t="n">
        <v>2</v>
      </c>
      <c r="N1256" s="5" t="n">
        <v>1</v>
      </c>
      <c r="O1256" s="5" t="n">
        <v>9</v>
      </c>
      <c r="P1256" s="5" t="n">
        <v>-4</v>
      </c>
      <c r="Q1256" s="5" t="n">
        <v>1</v>
      </c>
      <c r="R1256" s="5" t="n">
        <v>4</v>
      </c>
      <c r="S1256" s="5" t="n">
        <v>1</v>
      </c>
      <c r="T1256" s="5" t="s">
        <v>3147</v>
      </c>
      <c r="U1256" s="6"/>
      <c r="V1256" s="6"/>
      <c r="W1256" s="6"/>
      <c r="X1256" s="6"/>
      <c r="Y1256" s="7" t="str">
        <f aca="false">IF(COUNT(U1256:X1256)=4,(W1256-X1256)/2,"")</f>
        <v/>
      </c>
      <c r="Z1256" s="7" t="str">
        <f aca="false">IF(COUNT(U1256:X1256)=4,(U1256-V1256)/2,"")</f>
        <v/>
      </c>
      <c r="AA1256" s="7" t="str">
        <f aca="false">IF(COUNT(U1256:X1256)=4,MAX(1,MIN(10,ROUNDUP(5-Z1256,0))),"")</f>
        <v/>
      </c>
      <c r="AB1256" s="7" t="str">
        <f aca="false">IF(COUNT(U1256:X1256)=4,MAX(1,MIN(10,ROUNDUP(Y1256+5,0))),"")</f>
        <v/>
      </c>
      <c r="AC1256" s="6"/>
      <c r="AD1256" s="6"/>
    </row>
    <row r="1257" customFormat="false" ht="15" hidden="false" customHeight="true" outlineLevel="0" collapsed="false">
      <c r="A1257" s="5" t="n">
        <v>1256</v>
      </c>
      <c r="B1257" s="5" t="s">
        <v>3148</v>
      </c>
      <c r="C1257" s="5" t="s">
        <v>171</v>
      </c>
      <c r="D1257" s="5" t="s">
        <v>172</v>
      </c>
      <c r="E1257" s="5" t="n">
        <v>86</v>
      </c>
      <c r="F1257" s="5" t="s">
        <v>3149</v>
      </c>
      <c r="G1257" s="5" t="n">
        <v>4</v>
      </c>
      <c r="H1257" s="5" t="s">
        <v>53</v>
      </c>
      <c r="I1257" s="5" t="s">
        <v>54</v>
      </c>
      <c r="J1257" s="5" t="s">
        <v>181</v>
      </c>
      <c r="K1257" s="5" t="s">
        <v>333</v>
      </c>
      <c r="L1257" s="5" t="n">
        <v>2</v>
      </c>
      <c r="M1257" s="5" t="n">
        <v>4</v>
      </c>
      <c r="N1257" s="5" t="n">
        <v>9</v>
      </c>
      <c r="O1257" s="5" t="n">
        <v>2</v>
      </c>
      <c r="P1257" s="5" t="n">
        <v>3.5</v>
      </c>
      <c r="Q1257" s="5" t="n">
        <v>-1</v>
      </c>
      <c r="R1257" s="5" t="n">
        <v>6</v>
      </c>
      <c r="S1257" s="5" t="n">
        <v>9</v>
      </c>
      <c r="T1257" s="5" t="s">
        <v>3150</v>
      </c>
      <c r="U1257" s="6"/>
      <c r="V1257" s="6"/>
      <c r="W1257" s="6"/>
      <c r="X1257" s="6"/>
      <c r="Y1257" s="7" t="str">
        <f aca="false">IF(COUNT(U1257:X1257)=4,(W1257-X1257)/2,"")</f>
        <v/>
      </c>
      <c r="Z1257" s="7" t="str">
        <f aca="false">IF(COUNT(U1257:X1257)=4,(U1257-V1257)/2,"")</f>
        <v/>
      </c>
      <c r="AA1257" s="7" t="str">
        <f aca="false">IF(COUNT(U1257:X1257)=4,MAX(1,MIN(10,ROUNDUP(5-Z1257,0))),"")</f>
        <v/>
      </c>
      <c r="AB1257" s="7" t="str">
        <f aca="false">IF(COUNT(U1257:X1257)=4,MAX(1,MIN(10,ROUNDUP(Y1257+5,0))),"")</f>
        <v/>
      </c>
      <c r="AC1257" s="6"/>
      <c r="AD1257" s="6"/>
    </row>
    <row r="1258" customFormat="false" ht="15" hidden="false" customHeight="true" outlineLevel="0" collapsed="false">
      <c r="A1258" s="5" t="n">
        <v>1257</v>
      </c>
      <c r="B1258" s="5" t="s">
        <v>3151</v>
      </c>
      <c r="C1258" s="5" t="s">
        <v>171</v>
      </c>
      <c r="D1258" s="5" t="s">
        <v>172</v>
      </c>
      <c r="E1258" s="5" t="n">
        <v>86</v>
      </c>
      <c r="F1258" s="5" t="s">
        <v>3152</v>
      </c>
      <c r="G1258" s="5" t="n">
        <v>4</v>
      </c>
      <c r="H1258" s="5" t="s">
        <v>53</v>
      </c>
      <c r="I1258" s="5" t="s">
        <v>81</v>
      </c>
      <c r="J1258" s="5" t="s">
        <v>174</v>
      </c>
      <c r="K1258" s="5" t="s">
        <v>175</v>
      </c>
      <c r="L1258" s="5" t="n">
        <v>8</v>
      </c>
      <c r="M1258" s="5" t="n">
        <v>1</v>
      </c>
      <c r="N1258" s="5" t="n">
        <v>6</v>
      </c>
      <c r="O1258" s="5" t="n">
        <v>5</v>
      </c>
      <c r="P1258" s="5" t="n">
        <v>0.5</v>
      </c>
      <c r="Q1258" s="5" t="n">
        <v>3.5</v>
      </c>
      <c r="R1258" s="5" t="n">
        <v>2</v>
      </c>
      <c r="S1258" s="5" t="n">
        <v>6</v>
      </c>
      <c r="T1258" s="5" t="s">
        <v>3153</v>
      </c>
      <c r="U1258" s="6"/>
      <c r="V1258" s="6"/>
      <c r="W1258" s="6"/>
      <c r="X1258" s="6"/>
      <c r="Y1258" s="7" t="str">
        <f aca="false">IF(COUNT(U1258:X1258)=4,(W1258-X1258)/2,"")</f>
        <v/>
      </c>
      <c r="Z1258" s="7" t="str">
        <f aca="false">IF(COUNT(U1258:X1258)=4,(U1258-V1258)/2,"")</f>
        <v/>
      </c>
      <c r="AA1258" s="7" t="str">
        <f aca="false">IF(COUNT(U1258:X1258)=4,MAX(1,MIN(10,ROUNDUP(5-Z1258,0))),"")</f>
        <v/>
      </c>
      <c r="AB1258" s="7" t="str">
        <f aca="false">IF(COUNT(U1258:X1258)=4,MAX(1,MIN(10,ROUNDUP(Y1258+5,0))),"")</f>
        <v/>
      </c>
      <c r="AC1258" s="6"/>
      <c r="AD1258" s="6"/>
    </row>
    <row r="1259" customFormat="false" ht="15" hidden="false" customHeight="true" outlineLevel="0" collapsed="false">
      <c r="A1259" s="5" t="n">
        <v>1258</v>
      </c>
      <c r="B1259" s="5" t="s">
        <v>3154</v>
      </c>
      <c r="C1259" s="5" t="s">
        <v>171</v>
      </c>
      <c r="D1259" s="5" t="s">
        <v>172</v>
      </c>
      <c r="E1259" s="5" t="n">
        <v>86</v>
      </c>
      <c r="F1259" s="5" t="s">
        <v>3155</v>
      </c>
      <c r="G1259" s="5" t="n">
        <v>4</v>
      </c>
      <c r="H1259" s="5" t="s">
        <v>53</v>
      </c>
      <c r="I1259" s="5" t="s">
        <v>54</v>
      </c>
      <c r="J1259" s="5" t="s">
        <v>181</v>
      </c>
      <c r="K1259" s="5" t="s">
        <v>221</v>
      </c>
      <c r="L1259" s="5" t="n">
        <v>1</v>
      </c>
      <c r="M1259" s="5" t="n">
        <v>10</v>
      </c>
      <c r="N1259" s="5" t="n">
        <v>8</v>
      </c>
      <c r="O1259" s="5" t="n">
        <v>4</v>
      </c>
      <c r="P1259" s="5" t="n">
        <v>2</v>
      </c>
      <c r="Q1259" s="5" t="n">
        <v>-4.5</v>
      </c>
      <c r="R1259" s="5" t="n">
        <v>10</v>
      </c>
      <c r="S1259" s="5" t="n">
        <v>7</v>
      </c>
      <c r="T1259" s="5" t="s">
        <v>3156</v>
      </c>
      <c r="U1259" s="6"/>
      <c r="V1259" s="6"/>
      <c r="W1259" s="6"/>
      <c r="X1259" s="6"/>
      <c r="Y1259" s="7" t="str">
        <f aca="false">IF(COUNT(U1259:X1259)=4,(W1259-X1259)/2,"")</f>
        <v/>
      </c>
      <c r="Z1259" s="7" t="str">
        <f aca="false">IF(COUNT(U1259:X1259)=4,(U1259-V1259)/2,"")</f>
        <v/>
      </c>
      <c r="AA1259" s="7" t="str">
        <f aca="false">IF(COUNT(U1259:X1259)=4,MAX(1,MIN(10,ROUNDUP(5-Z1259,0))),"")</f>
        <v/>
      </c>
      <c r="AB1259" s="7" t="str">
        <f aca="false">IF(COUNT(U1259:X1259)=4,MAX(1,MIN(10,ROUNDUP(Y1259+5,0))),"")</f>
        <v/>
      </c>
      <c r="AC1259" s="6"/>
      <c r="AD1259" s="6"/>
    </row>
    <row r="1260" customFormat="false" ht="15" hidden="false" customHeight="true" outlineLevel="0" collapsed="false">
      <c r="A1260" s="5" t="n">
        <v>1259</v>
      </c>
      <c r="B1260" s="5" t="s">
        <v>3157</v>
      </c>
      <c r="C1260" s="5" t="s">
        <v>171</v>
      </c>
      <c r="D1260" s="5" t="s">
        <v>172</v>
      </c>
      <c r="E1260" s="5" t="n">
        <v>86</v>
      </c>
      <c r="F1260" s="5" t="s">
        <v>3158</v>
      </c>
      <c r="G1260" s="5" t="n">
        <v>4</v>
      </c>
      <c r="H1260" s="5" t="s">
        <v>53</v>
      </c>
      <c r="I1260" s="5" t="s">
        <v>81</v>
      </c>
      <c r="J1260" s="5" t="s">
        <v>174</v>
      </c>
      <c r="K1260" s="5" t="s">
        <v>175</v>
      </c>
      <c r="L1260" s="5" t="n">
        <v>9</v>
      </c>
      <c r="M1260" s="5" t="n">
        <v>1</v>
      </c>
      <c r="N1260" s="5" t="n">
        <v>1</v>
      </c>
      <c r="O1260" s="5" t="n">
        <v>10</v>
      </c>
      <c r="P1260" s="5" t="n">
        <v>-4.5</v>
      </c>
      <c r="Q1260" s="5" t="n">
        <v>4</v>
      </c>
      <c r="R1260" s="5" t="n">
        <v>1</v>
      </c>
      <c r="S1260" s="5" t="n">
        <v>1</v>
      </c>
      <c r="T1260" s="5" t="s">
        <v>1251</v>
      </c>
      <c r="U1260" s="6"/>
      <c r="V1260" s="6"/>
      <c r="W1260" s="6"/>
      <c r="X1260" s="6"/>
      <c r="Y1260" s="7" t="str">
        <f aca="false">IF(COUNT(U1260:X1260)=4,(W1260-X1260)/2,"")</f>
        <v/>
      </c>
      <c r="Z1260" s="7" t="str">
        <f aca="false">IF(COUNT(U1260:X1260)=4,(U1260-V1260)/2,"")</f>
        <v/>
      </c>
      <c r="AA1260" s="7" t="str">
        <f aca="false">IF(COUNT(U1260:X1260)=4,MAX(1,MIN(10,ROUNDUP(5-Z1260,0))),"")</f>
        <v/>
      </c>
      <c r="AB1260" s="7" t="str">
        <f aca="false">IF(COUNT(U1260:X1260)=4,MAX(1,MIN(10,ROUNDUP(Y1260+5,0))),"")</f>
        <v/>
      </c>
      <c r="AC1260" s="6"/>
      <c r="AD1260" s="6"/>
    </row>
    <row r="1261" customFormat="false" ht="15" hidden="false" customHeight="true" outlineLevel="0" collapsed="false">
      <c r="A1261" s="5" t="n">
        <v>1260</v>
      </c>
      <c r="B1261" s="5" t="s">
        <v>3159</v>
      </c>
      <c r="C1261" s="5" t="s">
        <v>171</v>
      </c>
      <c r="D1261" s="5" t="s">
        <v>172</v>
      </c>
      <c r="E1261" s="5" t="n">
        <v>86</v>
      </c>
      <c r="F1261" s="5" t="s">
        <v>3160</v>
      </c>
      <c r="G1261" s="5" t="n">
        <v>4</v>
      </c>
      <c r="H1261" s="5" t="s">
        <v>53</v>
      </c>
      <c r="I1261" s="5" t="s">
        <v>54</v>
      </c>
      <c r="J1261" s="5" t="s">
        <v>181</v>
      </c>
      <c r="K1261" s="5" t="s">
        <v>309</v>
      </c>
      <c r="L1261" s="5" t="n">
        <v>2</v>
      </c>
      <c r="M1261" s="5" t="n">
        <v>5</v>
      </c>
      <c r="N1261" s="5" t="n">
        <v>5</v>
      </c>
      <c r="O1261" s="5" t="n">
        <v>4</v>
      </c>
      <c r="P1261" s="5" t="n">
        <v>0.5</v>
      </c>
      <c r="Q1261" s="5" t="n">
        <v>-1.5</v>
      </c>
      <c r="R1261" s="5" t="n">
        <v>7</v>
      </c>
      <c r="S1261" s="5" t="n">
        <v>6</v>
      </c>
      <c r="T1261" s="5" t="s">
        <v>667</v>
      </c>
      <c r="U1261" s="6"/>
      <c r="V1261" s="6"/>
      <c r="W1261" s="6"/>
      <c r="X1261" s="6"/>
      <c r="Y1261" s="7" t="str">
        <f aca="false">IF(COUNT(U1261:X1261)=4,(W1261-X1261)/2,"")</f>
        <v/>
      </c>
      <c r="Z1261" s="7" t="str">
        <f aca="false">IF(COUNT(U1261:X1261)=4,(U1261-V1261)/2,"")</f>
        <v/>
      </c>
      <c r="AA1261" s="7" t="str">
        <f aca="false">IF(COUNT(U1261:X1261)=4,MAX(1,MIN(10,ROUNDUP(5-Z1261,0))),"")</f>
        <v/>
      </c>
      <c r="AB1261" s="7" t="str">
        <f aca="false">IF(COUNT(U1261:X1261)=4,MAX(1,MIN(10,ROUNDUP(Y1261+5,0))),"")</f>
        <v/>
      </c>
      <c r="AC1261" s="6"/>
      <c r="AD1261" s="6"/>
    </row>
    <row r="1262" customFormat="false" ht="15" hidden="false" customHeight="true" outlineLevel="0" collapsed="false">
      <c r="A1262" s="5" t="n">
        <v>1261</v>
      </c>
      <c r="B1262" s="5" t="s">
        <v>3161</v>
      </c>
      <c r="C1262" s="5" t="s">
        <v>203</v>
      </c>
      <c r="D1262" s="5" t="s">
        <v>204</v>
      </c>
      <c r="E1262" s="5" t="n">
        <v>86</v>
      </c>
      <c r="F1262" s="5" t="s">
        <v>3161</v>
      </c>
      <c r="G1262" s="5" t="n">
        <v>4</v>
      </c>
      <c r="H1262" s="5" t="s">
        <v>53</v>
      </c>
      <c r="I1262" s="5" t="s">
        <v>54</v>
      </c>
      <c r="J1262" s="5" t="s">
        <v>117</v>
      </c>
      <c r="K1262" s="5" t="s">
        <v>117</v>
      </c>
      <c r="L1262" s="5" t="n">
        <v>5</v>
      </c>
      <c r="M1262" s="5" t="n">
        <v>1</v>
      </c>
      <c r="N1262" s="5" t="n">
        <v>2</v>
      </c>
      <c r="O1262" s="5" t="n">
        <v>8</v>
      </c>
      <c r="P1262" s="5" t="n">
        <v>-3</v>
      </c>
      <c r="Q1262" s="5" t="n">
        <v>2</v>
      </c>
      <c r="R1262" s="5" t="n">
        <v>3</v>
      </c>
      <c r="S1262" s="5" t="n">
        <v>2</v>
      </c>
      <c r="T1262" s="5" t="s">
        <v>3162</v>
      </c>
      <c r="U1262" s="6"/>
      <c r="V1262" s="6"/>
      <c r="W1262" s="6"/>
      <c r="X1262" s="6"/>
      <c r="Y1262" s="7" t="str">
        <f aca="false">IF(COUNT(U1262:X1262)=4,(W1262-X1262)/2,"")</f>
        <v/>
      </c>
      <c r="Z1262" s="7" t="str">
        <f aca="false">IF(COUNT(U1262:X1262)=4,(U1262-V1262)/2,"")</f>
        <v/>
      </c>
      <c r="AA1262" s="7" t="str">
        <f aca="false">IF(COUNT(U1262:X1262)=4,MAX(1,MIN(10,ROUNDUP(5-Z1262,0))),"")</f>
        <v/>
      </c>
      <c r="AB1262" s="7" t="str">
        <f aca="false">IF(COUNT(U1262:X1262)=4,MAX(1,MIN(10,ROUNDUP(Y1262+5,0))),"")</f>
        <v/>
      </c>
      <c r="AC1262" s="6"/>
      <c r="AD1262" s="6"/>
    </row>
    <row r="1263" customFormat="false" ht="15" hidden="false" customHeight="true" outlineLevel="0" collapsed="false">
      <c r="A1263" s="5" t="n">
        <v>1262</v>
      </c>
      <c r="B1263" s="5" t="s">
        <v>3163</v>
      </c>
      <c r="C1263" s="5" t="s">
        <v>171</v>
      </c>
      <c r="D1263" s="5" t="s">
        <v>172</v>
      </c>
      <c r="E1263" s="5" t="n">
        <v>86</v>
      </c>
      <c r="F1263" s="5" t="s">
        <v>3164</v>
      </c>
      <c r="G1263" s="5" t="n">
        <v>4</v>
      </c>
      <c r="H1263" s="5" t="s">
        <v>53</v>
      </c>
      <c r="I1263" s="5" t="s">
        <v>54</v>
      </c>
      <c r="J1263" s="5" t="s">
        <v>181</v>
      </c>
      <c r="K1263" s="5" t="s">
        <v>443</v>
      </c>
      <c r="L1263" s="5" t="n">
        <v>5</v>
      </c>
      <c r="M1263" s="5" t="n">
        <v>3</v>
      </c>
      <c r="N1263" s="5" t="n">
        <v>4</v>
      </c>
      <c r="O1263" s="5" t="n">
        <v>8</v>
      </c>
      <c r="P1263" s="5" t="n">
        <v>-2</v>
      </c>
      <c r="Q1263" s="5" t="n">
        <v>1</v>
      </c>
      <c r="R1263" s="5" t="n">
        <v>4</v>
      </c>
      <c r="S1263" s="5" t="n">
        <v>3</v>
      </c>
      <c r="T1263" s="5" t="s">
        <v>485</v>
      </c>
      <c r="U1263" s="6"/>
      <c r="V1263" s="6"/>
      <c r="W1263" s="6"/>
      <c r="X1263" s="6"/>
      <c r="Y1263" s="7" t="str">
        <f aca="false">IF(COUNT(U1263:X1263)=4,(W1263-X1263)/2,"")</f>
        <v/>
      </c>
      <c r="Z1263" s="7" t="str">
        <f aca="false">IF(COUNT(U1263:X1263)=4,(U1263-V1263)/2,"")</f>
        <v/>
      </c>
      <c r="AA1263" s="7" t="str">
        <f aca="false">IF(COUNT(U1263:X1263)=4,MAX(1,MIN(10,ROUNDUP(5-Z1263,0))),"")</f>
        <v/>
      </c>
      <c r="AB1263" s="7" t="str">
        <f aca="false">IF(COUNT(U1263:X1263)=4,MAX(1,MIN(10,ROUNDUP(Y1263+5,0))),"")</f>
        <v/>
      </c>
      <c r="AC1263" s="6"/>
      <c r="AD1263" s="6"/>
    </row>
    <row r="1264" customFormat="false" ht="15" hidden="false" customHeight="true" outlineLevel="0" collapsed="false">
      <c r="A1264" s="5" t="n">
        <v>1263</v>
      </c>
      <c r="B1264" s="5" t="s">
        <v>3165</v>
      </c>
      <c r="C1264" s="5" t="s">
        <v>203</v>
      </c>
      <c r="D1264" s="5" t="s">
        <v>204</v>
      </c>
      <c r="E1264" s="5" t="n">
        <v>86</v>
      </c>
      <c r="F1264" s="5" t="s">
        <v>3166</v>
      </c>
      <c r="G1264" s="5" t="n">
        <v>4</v>
      </c>
      <c r="H1264" s="5" t="s">
        <v>53</v>
      </c>
      <c r="I1264" s="5" t="s">
        <v>54</v>
      </c>
      <c r="J1264" s="5" t="s">
        <v>117</v>
      </c>
      <c r="K1264" s="5" t="s">
        <v>117</v>
      </c>
      <c r="L1264" s="5" t="n">
        <v>4</v>
      </c>
      <c r="M1264" s="5" t="n">
        <v>1</v>
      </c>
      <c r="N1264" s="5" t="n">
        <v>8</v>
      </c>
      <c r="O1264" s="5" t="n">
        <v>2</v>
      </c>
      <c r="P1264" s="5" t="n">
        <v>3</v>
      </c>
      <c r="Q1264" s="5" t="n">
        <v>1.5</v>
      </c>
      <c r="R1264" s="5" t="n">
        <v>4</v>
      </c>
      <c r="S1264" s="5" t="n">
        <v>8</v>
      </c>
      <c r="T1264" s="5" t="s">
        <v>3167</v>
      </c>
      <c r="U1264" s="6"/>
      <c r="V1264" s="6"/>
      <c r="W1264" s="6"/>
      <c r="X1264" s="6"/>
      <c r="Y1264" s="7" t="str">
        <f aca="false">IF(COUNT(U1264:X1264)=4,(W1264-X1264)/2,"")</f>
        <v/>
      </c>
      <c r="Z1264" s="7" t="str">
        <f aca="false">IF(COUNT(U1264:X1264)=4,(U1264-V1264)/2,"")</f>
        <v/>
      </c>
      <c r="AA1264" s="7" t="str">
        <f aca="false">IF(COUNT(U1264:X1264)=4,MAX(1,MIN(10,ROUNDUP(5-Z1264,0))),"")</f>
        <v/>
      </c>
      <c r="AB1264" s="7" t="str">
        <f aca="false">IF(COUNT(U1264:X1264)=4,MAX(1,MIN(10,ROUNDUP(Y1264+5,0))),"")</f>
        <v/>
      </c>
      <c r="AC1264" s="6"/>
      <c r="AD1264" s="6"/>
    </row>
    <row r="1265" customFormat="false" ht="15" hidden="false" customHeight="true" outlineLevel="0" collapsed="false">
      <c r="A1265" s="5" t="n">
        <v>1264</v>
      </c>
      <c r="B1265" s="5" t="s">
        <v>3168</v>
      </c>
      <c r="C1265" s="5" t="s">
        <v>145</v>
      </c>
      <c r="D1265" s="5" t="s">
        <v>51</v>
      </c>
      <c r="E1265" s="5" t="n">
        <v>86</v>
      </c>
      <c r="F1265" s="5" t="s">
        <v>3169</v>
      </c>
      <c r="G1265" s="5" t="n">
        <v>4</v>
      </c>
      <c r="H1265" s="5" t="s">
        <v>53</v>
      </c>
      <c r="I1265" s="5" t="s">
        <v>54</v>
      </c>
      <c r="J1265" s="5" t="s">
        <v>55</v>
      </c>
      <c r="K1265" s="5" t="s">
        <v>55</v>
      </c>
      <c r="L1265" s="5" t="n">
        <v>5</v>
      </c>
      <c r="M1265" s="5" t="n">
        <v>2</v>
      </c>
      <c r="N1265" s="5" t="n">
        <v>4</v>
      </c>
      <c r="O1265" s="5" t="n">
        <v>8</v>
      </c>
      <c r="P1265" s="5" t="n">
        <v>-2</v>
      </c>
      <c r="Q1265" s="5" t="n">
        <v>1.5</v>
      </c>
      <c r="R1265" s="5" t="n">
        <v>4</v>
      </c>
      <c r="S1265" s="5" t="n">
        <v>3</v>
      </c>
      <c r="T1265" s="5" t="s">
        <v>3170</v>
      </c>
      <c r="U1265" s="6"/>
      <c r="V1265" s="6"/>
      <c r="W1265" s="6"/>
      <c r="X1265" s="6"/>
      <c r="Y1265" s="7" t="str">
        <f aca="false">IF(COUNT(U1265:X1265)=4,(W1265-X1265)/2,"")</f>
        <v/>
      </c>
      <c r="Z1265" s="7" t="str">
        <f aca="false">IF(COUNT(U1265:X1265)=4,(U1265-V1265)/2,"")</f>
        <v/>
      </c>
      <c r="AA1265" s="7" t="str">
        <f aca="false">IF(COUNT(U1265:X1265)=4,MAX(1,MIN(10,ROUNDUP(5-Z1265,0))),"")</f>
        <v/>
      </c>
      <c r="AB1265" s="7" t="str">
        <f aca="false">IF(COUNT(U1265:X1265)=4,MAX(1,MIN(10,ROUNDUP(Y1265+5,0))),"")</f>
        <v/>
      </c>
      <c r="AC1265" s="6"/>
      <c r="AD1265" s="6"/>
    </row>
    <row r="1266" customFormat="false" ht="15" hidden="false" customHeight="true" outlineLevel="0" collapsed="false">
      <c r="A1266" s="5" t="n">
        <v>1265</v>
      </c>
      <c r="B1266" s="5" t="s">
        <v>3171</v>
      </c>
      <c r="C1266" s="5" t="s">
        <v>171</v>
      </c>
      <c r="D1266" s="5" t="s">
        <v>172</v>
      </c>
      <c r="E1266" s="5" t="n">
        <v>86</v>
      </c>
      <c r="F1266" s="5" t="s">
        <v>3172</v>
      </c>
      <c r="G1266" s="5" t="n">
        <v>4</v>
      </c>
      <c r="H1266" s="5" t="s">
        <v>53</v>
      </c>
      <c r="I1266" s="5" t="s">
        <v>54</v>
      </c>
      <c r="J1266" s="5" t="s">
        <v>181</v>
      </c>
      <c r="K1266" s="5" t="s">
        <v>413</v>
      </c>
      <c r="L1266" s="5" t="n">
        <v>5</v>
      </c>
      <c r="M1266" s="5" t="n">
        <v>3</v>
      </c>
      <c r="N1266" s="5" t="n">
        <v>3</v>
      </c>
      <c r="O1266" s="5" t="n">
        <v>8</v>
      </c>
      <c r="P1266" s="5" t="n">
        <v>-2.5</v>
      </c>
      <c r="Q1266" s="5" t="n">
        <v>1</v>
      </c>
      <c r="R1266" s="5" t="n">
        <v>4</v>
      </c>
      <c r="S1266" s="5" t="n">
        <v>3</v>
      </c>
      <c r="T1266" s="5" t="s">
        <v>3173</v>
      </c>
      <c r="U1266" s="6"/>
      <c r="V1266" s="6"/>
      <c r="W1266" s="6"/>
      <c r="X1266" s="6"/>
      <c r="Y1266" s="7" t="str">
        <f aca="false">IF(COUNT(U1266:X1266)=4,(W1266-X1266)/2,"")</f>
        <v/>
      </c>
      <c r="Z1266" s="7" t="str">
        <f aca="false">IF(COUNT(U1266:X1266)=4,(U1266-V1266)/2,"")</f>
        <v/>
      </c>
      <c r="AA1266" s="7" t="str">
        <f aca="false">IF(COUNT(U1266:X1266)=4,MAX(1,MIN(10,ROUNDUP(5-Z1266,0))),"")</f>
        <v/>
      </c>
      <c r="AB1266" s="7" t="str">
        <f aca="false">IF(COUNT(U1266:X1266)=4,MAX(1,MIN(10,ROUNDUP(Y1266+5,0))),"")</f>
        <v/>
      </c>
      <c r="AC1266" s="6"/>
      <c r="AD1266" s="6"/>
    </row>
    <row r="1267" customFormat="false" ht="15" hidden="false" customHeight="true" outlineLevel="0" collapsed="false">
      <c r="A1267" s="5" t="n">
        <v>1266</v>
      </c>
      <c r="B1267" s="5" t="s">
        <v>3174</v>
      </c>
      <c r="C1267" s="5" t="s">
        <v>108</v>
      </c>
      <c r="D1267" s="5" t="s">
        <v>109</v>
      </c>
      <c r="E1267" s="5" t="n">
        <v>86</v>
      </c>
      <c r="F1267" s="5" t="s">
        <v>3174</v>
      </c>
      <c r="G1267" s="5" t="n">
        <v>4</v>
      </c>
      <c r="H1267" s="5" t="s">
        <v>53</v>
      </c>
      <c r="I1267" s="5" t="s">
        <v>54</v>
      </c>
      <c r="J1267" s="5" t="s">
        <v>117</v>
      </c>
      <c r="K1267" s="5" t="s">
        <v>117</v>
      </c>
      <c r="L1267" s="5" t="n">
        <v>3</v>
      </c>
      <c r="M1267" s="5" t="n">
        <v>3</v>
      </c>
      <c r="N1267" s="5" t="n">
        <v>1</v>
      </c>
      <c r="O1267" s="5" t="n">
        <v>9</v>
      </c>
      <c r="P1267" s="5" t="n">
        <v>-4</v>
      </c>
      <c r="Q1267" s="5" t="n">
        <v>0</v>
      </c>
      <c r="R1267" s="5" t="n">
        <v>5</v>
      </c>
      <c r="S1267" s="5" t="n">
        <v>1</v>
      </c>
      <c r="T1267" s="5" t="s">
        <v>3175</v>
      </c>
      <c r="U1267" s="6"/>
      <c r="V1267" s="6"/>
      <c r="W1267" s="6"/>
      <c r="X1267" s="6"/>
      <c r="Y1267" s="7" t="str">
        <f aca="false">IF(COUNT(U1267:X1267)=4,(W1267-X1267)/2,"")</f>
        <v/>
      </c>
      <c r="Z1267" s="7" t="str">
        <f aca="false">IF(COUNT(U1267:X1267)=4,(U1267-V1267)/2,"")</f>
        <v/>
      </c>
      <c r="AA1267" s="7" t="str">
        <f aca="false">IF(COUNT(U1267:X1267)=4,MAX(1,MIN(10,ROUNDUP(5-Z1267,0))),"")</f>
        <v/>
      </c>
      <c r="AB1267" s="7" t="str">
        <f aca="false">IF(COUNT(U1267:X1267)=4,MAX(1,MIN(10,ROUNDUP(Y1267+5,0))),"")</f>
        <v/>
      </c>
      <c r="AC1267" s="6"/>
      <c r="AD1267" s="6"/>
    </row>
    <row r="1268" customFormat="false" ht="15" hidden="false" customHeight="true" outlineLevel="0" collapsed="false">
      <c r="A1268" s="5" t="n">
        <v>1267</v>
      </c>
      <c r="B1268" s="5" t="s">
        <v>3176</v>
      </c>
      <c r="C1268" s="5" t="s">
        <v>171</v>
      </c>
      <c r="D1268" s="5" t="s">
        <v>172</v>
      </c>
      <c r="E1268" s="5" t="n">
        <v>86</v>
      </c>
      <c r="F1268" s="5" t="s">
        <v>3177</v>
      </c>
      <c r="G1268" s="5" t="n">
        <v>4</v>
      </c>
      <c r="H1268" s="5" t="s">
        <v>53</v>
      </c>
      <c r="I1268" s="5" t="s">
        <v>54</v>
      </c>
      <c r="J1268" s="5" t="s">
        <v>181</v>
      </c>
      <c r="K1268" s="5" t="s">
        <v>593</v>
      </c>
      <c r="L1268" s="5" t="n">
        <v>2</v>
      </c>
      <c r="M1268" s="5" t="n">
        <v>6</v>
      </c>
      <c r="N1268" s="5" t="n">
        <v>7</v>
      </c>
      <c r="O1268" s="5" t="n">
        <v>3</v>
      </c>
      <c r="P1268" s="5" t="n">
        <v>2</v>
      </c>
      <c r="Q1268" s="5" t="n">
        <v>-2</v>
      </c>
      <c r="R1268" s="5" t="n">
        <v>7</v>
      </c>
      <c r="S1268" s="5" t="n">
        <v>7</v>
      </c>
      <c r="T1268" s="5" t="s">
        <v>3178</v>
      </c>
      <c r="U1268" s="6"/>
      <c r="V1268" s="6"/>
      <c r="W1268" s="6"/>
      <c r="X1268" s="6"/>
      <c r="Y1268" s="7" t="str">
        <f aca="false">IF(COUNT(U1268:X1268)=4,(W1268-X1268)/2,"")</f>
        <v/>
      </c>
      <c r="Z1268" s="7" t="str">
        <f aca="false">IF(COUNT(U1268:X1268)=4,(U1268-V1268)/2,"")</f>
        <v/>
      </c>
      <c r="AA1268" s="7" t="str">
        <f aca="false">IF(COUNT(U1268:X1268)=4,MAX(1,MIN(10,ROUNDUP(5-Z1268,0))),"")</f>
        <v/>
      </c>
      <c r="AB1268" s="7" t="str">
        <f aca="false">IF(COUNT(U1268:X1268)=4,MAX(1,MIN(10,ROUNDUP(Y1268+5,0))),"")</f>
        <v/>
      </c>
      <c r="AC1268" s="6"/>
      <c r="AD1268" s="6"/>
    </row>
    <row r="1269" customFormat="false" ht="15" hidden="false" customHeight="true" outlineLevel="0" collapsed="false">
      <c r="A1269" s="5" t="n">
        <v>1268</v>
      </c>
      <c r="B1269" s="5" t="s">
        <v>3179</v>
      </c>
      <c r="C1269" s="5" t="s">
        <v>203</v>
      </c>
      <c r="D1269" s="5" t="s">
        <v>204</v>
      </c>
      <c r="E1269" s="5" t="n">
        <v>86</v>
      </c>
      <c r="F1269" s="5" t="s">
        <v>3179</v>
      </c>
      <c r="G1269" s="5" t="n">
        <v>4</v>
      </c>
      <c r="H1269" s="5" t="s">
        <v>53</v>
      </c>
      <c r="I1269" s="5" t="s">
        <v>54</v>
      </c>
      <c r="J1269" s="5" t="s">
        <v>117</v>
      </c>
      <c r="K1269" s="5" t="s">
        <v>117</v>
      </c>
      <c r="L1269" s="5" t="n">
        <v>4</v>
      </c>
      <c r="M1269" s="5" t="n">
        <v>1</v>
      </c>
      <c r="N1269" s="5" t="n">
        <v>2</v>
      </c>
      <c r="O1269" s="5" t="n">
        <v>8</v>
      </c>
      <c r="P1269" s="5" t="n">
        <v>-3</v>
      </c>
      <c r="Q1269" s="5" t="n">
        <v>1.5</v>
      </c>
      <c r="R1269" s="5" t="n">
        <v>4</v>
      </c>
      <c r="S1269" s="5" t="n">
        <v>2</v>
      </c>
      <c r="T1269" s="5" t="s">
        <v>3180</v>
      </c>
      <c r="U1269" s="6"/>
      <c r="V1269" s="6"/>
      <c r="W1269" s="6"/>
      <c r="X1269" s="6"/>
      <c r="Y1269" s="7" t="str">
        <f aca="false">IF(COUNT(U1269:X1269)=4,(W1269-X1269)/2,"")</f>
        <v/>
      </c>
      <c r="Z1269" s="7" t="str">
        <f aca="false">IF(COUNT(U1269:X1269)=4,(U1269-V1269)/2,"")</f>
        <v/>
      </c>
      <c r="AA1269" s="7" t="str">
        <f aca="false">IF(COUNT(U1269:X1269)=4,MAX(1,MIN(10,ROUNDUP(5-Z1269,0))),"")</f>
        <v/>
      </c>
      <c r="AB1269" s="7" t="str">
        <f aca="false">IF(COUNT(U1269:X1269)=4,MAX(1,MIN(10,ROUNDUP(Y1269+5,0))),"")</f>
        <v/>
      </c>
      <c r="AC1269" s="6"/>
      <c r="AD1269" s="6"/>
    </row>
    <row r="1270" customFormat="false" ht="15" hidden="false" customHeight="true" outlineLevel="0" collapsed="false">
      <c r="A1270" s="5" t="n">
        <v>1269</v>
      </c>
      <c r="B1270" s="5" t="s">
        <v>3181</v>
      </c>
      <c r="C1270" s="5" t="s">
        <v>171</v>
      </c>
      <c r="D1270" s="5" t="s">
        <v>172</v>
      </c>
      <c r="E1270" s="5" t="n">
        <v>85</v>
      </c>
      <c r="F1270" s="5" t="s">
        <v>3182</v>
      </c>
      <c r="G1270" s="5" t="n">
        <v>4</v>
      </c>
      <c r="H1270" s="5" t="s">
        <v>53</v>
      </c>
      <c r="I1270" s="5" t="s">
        <v>54</v>
      </c>
      <c r="J1270" s="5" t="s">
        <v>181</v>
      </c>
      <c r="K1270" s="5" t="s">
        <v>593</v>
      </c>
      <c r="L1270" s="5" t="n">
        <v>2</v>
      </c>
      <c r="M1270" s="5" t="n">
        <v>7</v>
      </c>
      <c r="N1270" s="5" t="n">
        <v>7</v>
      </c>
      <c r="O1270" s="5" t="n">
        <v>3</v>
      </c>
      <c r="P1270" s="5" t="n">
        <v>2</v>
      </c>
      <c r="Q1270" s="5" t="n">
        <v>-2.5</v>
      </c>
      <c r="R1270" s="5" t="n">
        <v>8</v>
      </c>
      <c r="S1270" s="5" t="n">
        <v>7</v>
      </c>
      <c r="T1270" s="5" t="s">
        <v>3183</v>
      </c>
      <c r="U1270" s="6"/>
      <c r="V1270" s="6"/>
      <c r="W1270" s="6"/>
      <c r="X1270" s="6"/>
      <c r="Y1270" s="7" t="str">
        <f aca="false">IF(COUNT(U1270:X1270)=4,(W1270-X1270)/2,"")</f>
        <v/>
      </c>
      <c r="Z1270" s="7" t="str">
        <f aca="false">IF(COUNT(U1270:X1270)=4,(U1270-V1270)/2,"")</f>
        <v/>
      </c>
      <c r="AA1270" s="7" t="str">
        <f aca="false">IF(COUNT(U1270:X1270)=4,MAX(1,MIN(10,ROUNDUP(5-Z1270,0))),"")</f>
        <v/>
      </c>
      <c r="AB1270" s="7" t="str">
        <f aca="false">IF(COUNT(U1270:X1270)=4,MAX(1,MIN(10,ROUNDUP(Y1270+5,0))),"")</f>
        <v/>
      </c>
      <c r="AC1270" s="6"/>
      <c r="AD1270" s="6"/>
    </row>
    <row r="1271" customFormat="false" ht="15" hidden="false" customHeight="true" outlineLevel="0" collapsed="false">
      <c r="A1271" s="5" t="n">
        <v>1270</v>
      </c>
      <c r="B1271" s="5" t="s">
        <v>3184</v>
      </c>
      <c r="C1271" s="5" t="s">
        <v>171</v>
      </c>
      <c r="D1271" s="5" t="s">
        <v>172</v>
      </c>
      <c r="E1271" s="5" t="n">
        <v>85</v>
      </c>
      <c r="F1271" s="5" t="s">
        <v>3185</v>
      </c>
      <c r="G1271" s="5" t="n">
        <v>4</v>
      </c>
      <c r="H1271" s="5" t="s">
        <v>53</v>
      </c>
      <c r="I1271" s="5" t="s">
        <v>81</v>
      </c>
      <c r="J1271" s="5" t="s">
        <v>174</v>
      </c>
      <c r="K1271" s="5" t="s">
        <v>1416</v>
      </c>
      <c r="L1271" s="5" t="n">
        <v>7</v>
      </c>
      <c r="M1271" s="5" t="n">
        <v>1</v>
      </c>
      <c r="N1271" s="5" t="n">
        <v>5</v>
      </c>
      <c r="O1271" s="5" t="n">
        <v>5</v>
      </c>
      <c r="P1271" s="5" t="n">
        <v>0</v>
      </c>
      <c r="Q1271" s="5" t="n">
        <v>3</v>
      </c>
      <c r="R1271" s="5" t="n">
        <v>2</v>
      </c>
      <c r="S1271" s="5" t="n">
        <v>5</v>
      </c>
      <c r="T1271" s="5" t="s">
        <v>3186</v>
      </c>
      <c r="U1271" s="6"/>
      <c r="V1271" s="6"/>
      <c r="W1271" s="6"/>
      <c r="X1271" s="6"/>
      <c r="Y1271" s="7" t="str">
        <f aca="false">IF(COUNT(U1271:X1271)=4,(W1271-X1271)/2,"")</f>
        <v/>
      </c>
      <c r="Z1271" s="7" t="str">
        <f aca="false">IF(COUNT(U1271:X1271)=4,(U1271-V1271)/2,"")</f>
        <v/>
      </c>
      <c r="AA1271" s="7" t="str">
        <f aca="false">IF(COUNT(U1271:X1271)=4,MAX(1,MIN(10,ROUNDUP(5-Z1271,0))),"")</f>
        <v/>
      </c>
      <c r="AB1271" s="7" t="str">
        <f aca="false">IF(COUNT(U1271:X1271)=4,MAX(1,MIN(10,ROUNDUP(Y1271+5,0))),"")</f>
        <v/>
      </c>
      <c r="AC1271" s="6"/>
      <c r="AD1271" s="6"/>
    </row>
    <row r="1272" customFormat="false" ht="15" hidden="false" customHeight="true" outlineLevel="0" collapsed="false">
      <c r="A1272" s="5" t="n">
        <v>1271</v>
      </c>
      <c r="B1272" s="5" t="s">
        <v>3187</v>
      </c>
      <c r="C1272" s="5" t="s">
        <v>203</v>
      </c>
      <c r="D1272" s="5" t="s">
        <v>204</v>
      </c>
      <c r="E1272" s="5" t="n">
        <v>85</v>
      </c>
      <c r="F1272" s="5" t="s">
        <v>3188</v>
      </c>
      <c r="G1272" s="5" t="n">
        <v>4</v>
      </c>
      <c r="H1272" s="5" t="s">
        <v>53</v>
      </c>
      <c r="I1272" s="5" t="s">
        <v>54</v>
      </c>
      <c r="J1272" s="5" t="s">
        <v>117</v>
      </c>
      <c r="K1272" s="5" t="s">
        <v>117</v>
      </c>
      <c r="L1272" s="5" t="n">
        <v>4</v>
      </c>
      <c r="M1272" s="5" t="n">
        <v>2</v>
      </c>
      <c r="N1272" s="5" t="n">
        <v>8</v>
      </c>
      <c r="O1272" s="5" t="n">
        <v>2</v>
      </c>
      <c r="P1272" s="5" t="n">
        <v>3</v>
      </c>
      <c r="Q1272" s="5" t="n">
        <v>1</v>
      </c>
      <c r="R1272" s="5" t="n">
        <v>4</v>
      </c>
      <c r="S1272" s="5" t="n">
        <v>8</v>
      </c>
      <c r="T1272" s="5" t="s">
        <v>3189</v>
      </c>
      <c r="U1272" s="6"/>
      <c r="V1272" s="6"/>
      <c r="W1272" s="6"/>
      <c r="X1272" s="6"/>
      <c r="Y1272" s="7" t="str">
        <f aca="false">IF(COUNT(U1272:X1272)=4,(W1272-X1272)/2,"")</f>
        <v/>
      </c>
      <c r="Z1272" s="7" t="str">
        <f aca="false">IF(COUNT(U1272:X1272)=4,(U1272-V1272)/2,"")</f>
        <v/>
      </c>
      <c r="AA1272" s="7" t="str">
        <f aca="false">IF(COUNT(U1272:X1272)=4,MAX(1,MIN(10,ROUNDUP(5-Z1272,0))),"")</f>
        <v/>
      </c>
      <c r="AB1272" s="7" t="str">
        <f aca="false">IF(COUNT(U1272:X1272)=4,MAX(1,MIN(10,ROUNDUP(Y1272+5,0))),"")</f>
        <v/>
      </c>
      <c r="AC1272" s="6"/>
      <c r="AD1272" s="6"/>
    </row>
    <row r="1273" customFormat="false" ht="15" hidden="false" customHeight="true" outlineLevel="0" collapsed="false">
      <c r="A1273" s="5" t="n">
        <v>1272</v>
      </c>
      <c r="B1273" s="5" t="s">
        <v>3190</v>
      </c>
      <c r="C1273" s="5" t="s">
        <v>171</v>
      </c>
      <c r="D1273" s="5" t="s">
        <v>172</v>
      </c>
      <c r="E1273" s="5" t="n">
        <v>85</v>
      </c>
      <c r="F1273" s="5" t="s">
        <v>3191</v>
      </c>
      <c r="G1273" s="5" t="n">
        <v>4</v>
      </c>
      <c r="H1273" s="5" t="s">
        <v>53</v>
      </c>
      <c r="I1273" s="5" t="s">
        <v>54</v>
      </c>
      <c r="J1273" s="5" t="s">
        <v>181</v>
      </c>
      <c r="K1273" s="5" t="s">
        <v>182</v>
      </c>
      <c r="L1273" s="5" t="n">
        <v>2</v>
      </c>
      <c r="M1273" s="5" t="n">
        <v>6</v>
      </c>
      <c r="N1273" s="5" t="n">
        <v>7</v>
      </c>
      <c r="O1273" s="5" t="n">
        <v>3</v>
      </c>
      <c r="P1273" s="5" t="n">
        <v>2</v>
      </c>
      <c r="Q1273" s="5" t="n">
        <v>-2</v>
      </c>
      <c r="R1273" s="5" t="n">
        <v>7</v>
      </c>
      <c r="S1273" s="5" t="n">
        <v>7</v>
      </c>
      <c r="T1273" s="5" t="s">
        <v>3192</v>
      </c>
      <c r="U1273" s="6"/>
      <c r="V1273" s="6"/>
      <c r="W1273" s="6"/>
      <c r="X1273" s="6"/>
      <c r="Y1273" s="7" t="str">
        <f aca="false">IF(COUNT(U1273:X1273)=4,(W1273-X1273)/2,"")</f>
        <v/>
      </c>
      <c r="Z1273" s="7" t="str">
        <f aca="false">IF(COUNT(U1273:X1273)=4,(U1273-V1273)/2,"")</f>
        <v/>
      </c>
      <c r="AA1273" s="7" t="str">
        <f aca="false">IF(COUNT(U1273:X1273)=4,MAX(1,MIN(10,ROUNDUP(5-Z1273,0))),"")</f>
        <v/>
      </c>
      <c r="AB1273" s="7" t="str">
        <f aca="false">IF(COUNT(U1273:X1273)=4,MAX(1,MIN(10,ROUNDUP(Y1273+5,0))),"")</f>
        <v/>
      </c>
      <c r="AC1273" s="6"/>
      <c r="AD1273" s="6"/>
    </row>
    <row r="1274" customFormat="false" ht="15" hidden="false" customHeight="true" outlineLevel="0" collapsed="false">
      <c r="A1274" s="5" t="n">
        <v>1273</v>
      </c>
      <c r="B1274" s="5" t="s">
        <v>3193</v>
      </c>
      <c r="C1274" s="5" t="s">
        <v>145</v>
      </c>
      <c r="D1274" s="5" t="s">
        <v>51</v>
      </c>
      <c r="E1274" s="5" t="n">
        <v>85</v>
      </c>
      <c r="F1274" s="5" t="s">
        <v>3194</v>
      </c>
      <c r="G1274" s="5" t="n">
        <v>4</v>
      </c>
      <c r="H1274" s="5" t="s">
        <v>53</v>
      </c>
      <c r="I1274" s="5" t="s">
        <v>54</v>
      </c>
      <c r="J1274" s="5" t="s">
        <v>55</v>
      </c>
      <c r="K1274" s="5" t="s">
        <v>55</v>
      </c>
      <c r="L1274" s="5" t="n">
        <v>6</v>
      </c>
      <c r="M1274" s="5" t="n">
        <v>1</v>
      </c>
      <c r="N1274" s="5" t="n">
        <v>6</v>
      </c>
      <c r="O1274" s="5" t="n">
        <v>5</v>
      </c>
      <c r="P1274" s="5" t="n">
        <v>0.5</v>
      </c>
      <c r="Q1274" s="5" t="n">
        <v>2.5</v>
      </c>
      <c r="R1274" s="5" t="n">
        <v>3</v>
      </c>
      <c r="S1274" s="5" t="n">
        <v>6</v>
      </c>
      <c r="T1274" s="5" t="s">
        <v>3195</v>
      </c>
      <c r="U1274" s="6"/>
      <c r="V1274" s="6"/>
      <c r="W1274" s="6"/>
      <c r="X1274" s="6"/>
      <c r="Y1274" s="7" t="str">
        <f aca="false">IF(COUNT(U1274:X1274)=4,(W1274-X1274)/2,"")</f>
        <v/>
      </c>
      <c r="Z1274" s="7" t="str">
        <f aca="false">IF(COUNT(U1274:X1274)=4,(U1274-V1274)/2,"")</f>
        <v/>
      </c>
      <c r="AA1274" s="7" t="str">
        <f aca="false">IF(COUNT(U1274:X1274)=4,MAX(1,MIN(10,ROUNDUP(5-Z1274,0))),"")</f>
        <v/>
      </c>
      <c r="AB1274" s="7" t="str">
        <f aca="false">IF(COUNT(U1274:X1274)=4,MAX(1,MIN(10,ROUNDUP(Y1274+5,0))),"")</f>
        <v/>
      </c>
      <c r="AC1274" s="6"/>
      <c r="AD1274" s="6"/>
    </row>
    <row r="1275" customFormat="false" ht="15" hidden="false" customHeight="true" outlineLevel="0" collapsed="false">
      <c r="A1275" s="5" t="n">
        <v>1274</v>
      </c>
      <c r="B1275" s="5" t="s">
        <v>3196</v>
      </c>
      <c r="C1275" s="5" t="s">
        <v>203</v>
      </c>
      <c r="D1275" s="5" t="s">
        <v>204</v>
      </c>
      <c r="E1275" s="5" t="n">
        <v>85</v>
      </c>
      <c r="F1275" s="5" t="s">
        <v>3197</v>
      </c>
      <c r="G1275" s="5" t="n">
        <v>4</v>
      </c>
      <c r="H1275" s="5" t="s">
        <v>53</v>
      </c>
      <c r="I1275" s="5" t="s">
        <v>54</v>
      </c>
      <c r="J1275" s="5" t="s">
        <v>181</v>
      </c>
      <c r="K1275" s="5" t="s">
        <v>221</v>
      </c>
      <c r="L1275" s="5" t="n">
        <v>3</v>
      </c>
      <c r="M1275" s="5" t="n">
        <v>8</v>
      </c>
      <c r="N1275" s="5" t="n">
        <v>8</v>
      </c>
      <c r="O1275" s="5" t="n">
        <v>5</v>
      </c>
      <c r="P1275" s="5" t="n">
        <v>1.5</v>
      </c>
      <c r="Q1275" s="5" t="n">
        <v>-2.5</v>
      </c>
      <c r="R1275" s="5" t="n">
        <v>8</v>
      </c>
      <c r="S1275" s="5" t="n">
        <v>7</v>
      </c>
      <c r="T1275" s="5" t="s">
        <v>3198</v>
      </c>
      <c r="U1275" s="6"/>
      <c r="V1275" s="6"/>
      <c r="W1275" s="6"/>
      <c r="X1275" s="6"/>
      <c r="Y1275" s="7" t="str">
        <f aca="false">IF(COUNT(U1275:X1275)=4,(W1275-X1275)/2,"")</f>
        <v/>
      </c>
      <c r="Z1275" s="7" t="str">
        <f aca="false">IF(COUNT(U1275:X1275)=4,(U1275-V1275)/2,"")</f>
        <v/>
      </c>
      <c r="AA1275" s="7" t="str">
        <f aca="false">IF(COUNT(U1275:X1275)=4,MAX(1,MIN(10,ROUNDUP(5-Z1275,0))),"")</f>
        <v/>
      </c>
      <c r="AB1275" s="7" t="str">
        <f aca="false">IF(COUNT(U1275:X1275)=4,MAX(1,MIN(10,ROUNDUP(Y1275+5,0))),"")</f>
        <v/>
      </c>
      <c r="AC1275" s="6"/>
      <c r="AD1275" s="6"/>
    </row>
    <row r="1276" customFormat="false" ht="15" hidden="false" customHeight="true" outlineLevel="0" collapsed="false">
      <c r="A1276" s="5" t="n">
        <v>1275</v>
      </c>
      <c r="B1276" s="5" t="s">
        <v>3199</v>
      </c>
      <c r="C1276" s="5" t="s">
        <v>108</v>
      </c>
      <c r="D1276" s="5" t="s">
        <v>109</v>
      </c>
      <c r="E1276" s="5" t="n">
        <v>85</v>
      </c>
      <c r="F1276" s="5" t="s">
        <v>3199</v>
      </c>
      <c r="G1276" s="5" t="n">
        <v>4</v>
      </c>
      <c r="H1276" s="5" t="s">
        <v>53</v>
      </c>
      <c r="I1276" s="5" t="s">
        <v>54</v>
      </c>
      <c r="J1276" s="5" t="s">
        <v>117</v>
      </c>
      <c r="K1276" s="5" t="s">
        <v>117</v>
      </c>
      <c r="L1276" s="5" t="n">
        <v>3</v>
      </c>
      <c r="M1276" s="5" t="n">
        <v>1</v>
      </c>
      <c r="N1276" s="5" t="n">
        <v>1</v>
      </c>
      <c r="O1276" s="5" t="n">
        <v>9</v>
      </c>
      <c r="P1276" s="5" t="n">
        <v>-4</v>
      </c>
      <c r="Q1276" s="5" t="n">
        <v>1</v>
      </c>
      <c r="R1276" s="5" t="n">
        <v>4</v>
      </c>
      <c r="S1276" s="5" t="n">
        <v>1</v>
      </c>
      <c r="T1276" s="5" t="s">
        <v>747</v>
      </c>
      <c r="U1276" s="6"/>
      <c r="V1276" s="6"/>
      <c r="W1276" s="6"/>
      <c r="X1276" s="6"/>
      <c r="Y1276" s="7" t="str">
        <f aca="false">IF(COUNT(U1276:X1276)=4,(W1276-X1276)/2,"")</f>
        <v/>
      </c>
      <c r="Z1276" s="7" t="str">
        <f aca="false">IF(COUNT(U1276:X1276)=4,(U1276-V1276)/2,"")</f>
        <v/>
      </c>
      <c r="AA1276" s="7" t="str">
        <f aca="false">IF(COUNT(U1276:X1276)=4,MAX(1,MIN(10,ROUNDUP(5-Z1276,0))),"")</f>
        <v/>
      </c>
      <c r="AB1276" s="7" t="str">
        <f aca="false">IF(COUNT(U1276:X1276)=4,MAX(1,MIN(10,ROUNDUP(Y1276+5,0))),"")</f>
        <v/>
      </c>
      <c r="AC1276" s="6"/>
      <c r="AD1276" s="6"/>
    </row>
    <row r="1277" customFormat="false" ht="15" hidden="false" customHeight="true" outlineLevel="0" collapsed="false">
      <c r="A1277" s="5" t="n">
        <v>1276</v>
      </c>
      <c r="B1277" s="5" t="s">
        <v>3200</v>
      </c>
      <c r="C1277" s="5" t="s">
        <v>171</v>
      </c>
      <c r="D1277" s="5" t="s">
        <v>172</v>
      </c>
      <c r="E1277" s="5" t="n">
        <v>85</v>
      </c>
      <c r="F1277" s="5" t="s">
        <v>3201</v>
      </c>
      <c r="G1277" s="5" t="n">
        <v>4</v>
      </c>
      <c r="H1277" s="5" t="s">
        <v>53</v>
      </c>
      <c r="I1277" s="5" t="s">
        <v>54</v>
      </c>
      <c r="J1277" s="5" t="s">
        <v>181</v>
      </c>
      <c r="K1277" s="5" t="s">
        <v>413</v>
      </c>
      <c r="L1277" s="5" t="n">
        <v>5</v>
      </c>
      <c r="M1277" s="5" t="n">
        <v>3</v>
      </c>
      <c r="N1277" s="5" t="n">
        <v>3</v>
      </c>
      <c r="O1277" s="5" t="n">
        <v>8</v>
      </c>
      <c r="P1277" s="5" t="n">
        <v>-2.5</v>
      </c>
      <c r="Q1277" s="5" t="n">
        <v>1</v>
      </c>
      <c r="R1277" s="5" t="n">
        <v>4</v>
      </c>
      <c r="S1277" s="5" t="n">
        <v>3</v>
      </c>
      <c r="T1277" s="5" t="s">
        <v>2020</v>
      </c>
      <c r="U1277" s="6"/>
      <c r="V1277" s="6"/>
      <c r="W1277" s="6"/>
      <c r="X1277" s="6"/>
      <c r="Y1277" s="7" t="str">
        <f aca="false">IF(COUNT(U1277:X1277)=4,(W1277-X1277)/2,"")</f>
        <v/>
      </c>
      <c r="Z1277" s="7" t="str">
        <f aca="false">IF(COUNT(U1277:X1277)=4,(U1277-V1277)/2,"")</f>
        <v/>
      </c>
      <c r="AA1277" s="7" t="str">
        <f aca="false">IF(COUNT(U1277:X1277)=4,MAX(1,MIN(10,ROUNDUP(5-Z1277,0))),"")</f>
        <v/>
      </c>
      <c r="AB1277" s="7" t="str">
        <f aca="false">IF(COUNT(U1277:X1277)=4,MAX(1,MIN(10,ROUNDUP(Y1277+5,0))),"")</f>
        <v/>
      </c>
      <c r="AC1277" s="6"/>
      <c r="AD1277" s="6"/>
    </row>
    <row r="1278" customFormat="false" ht="15" hidden="false" customHeight="true" outlineLevel="0" collapsed="false">
      <c r="A1278" s="5" t="n">
        <v>1277</v>
      </c>
      <c r="B1278" s="5" t="s">
        <v>3202</v>
      </c>
      <c r="C1278" s="5" t="s">
        <v>145</v>
      </c>
      <c r="D1278" s="5" t="s">
        <v>51</v>
      </c>
      <c r="E1278" s="5" t="n">
        <v>85</v>
      </c>
      <c r="F1278" s="5" t="s">
        <v>3203</v>
      </c>
      <c r="G1278" s="5" t="n">
        <v>4</v>
      </c>
      <c r="H1278" s="5" t="s">
        <v>53</v>
      </c>
      <c r="I1278" s="5" t="s">
        <v>54</v>
      </c>
      <c r="J1278" s="5" t="s">
        <v>181</v>
      </c>
      <c r="K1278" s="5" t="s">
        <v>333</v>
      </c>
      <c r="L1278" s="5" t="n">
        <v>2</v>
      </c>
      <c r="M1278" s="5" t="n">
        <v>4</v>
      </c>
      <c r="N1278" s="5" t="n">
        <v>8</v>
      </c>
      <c r="O1278" s="5" t="n">
        <v>2</v>
      </c>
      <c r="P1278" s="5" t="n">
        <v>3</v>
      </c>
      <c r="Q1278" s="5" t="n">
        <v>-1</v>
      </c>
      <c r="R1278" s="5" t="n">
        <v>6</v>
      </c>
      <c r="S1278" s="5" t="n">
        <v>8</v>
      </c>
      <c r="T1278" s="5" t="s">
        <v>3204</v>
      </c>
      <c r="U1278" s="6"/>
      <c r="V1278" s="6"/>
      <c r="W1278" s="6"/>
      <c r="X1278" s="6"/>
      <c r="Y1278" s="7" t="str">
        <f aca="false">IF(COUNT(U1278:X1278)=4,(W1278-X1278)/2,"")</f>
        <v/>
      </c>
      <c r="Z1278" s="7" t="str">
        <f aca="false">IF(COUNT(U1278:X1278)=4,(U1278-V1278)/2,"")</f>
        <v/>
      </c>
      <c r="AA1278" s="7" t="str">
        <f aca="false">IF(COUNT(U1278:X1278)=4,MAX(1,MIN(10,ROUNDUP(5-Z1278,0))),"")</f>
        <v/>
      </c>
      <c r="AB1278" s="7" t="str">
        <f aca="false">IF(COUNT(U1278:X1278)=4,MAX(1,MIN(10,ROUNDUP(Y1278+5,0))),"")</f>
        <v/>
      </c>
      <c r="AC1278" s="6"/>
      <c r="AD1278" s="6"/>
    </row>
    <row r="1279" customFormat="false" ht="15" hidden="false" customHeight="true" outlineLevel="0" collapsed="false">
      <c r="A1279" s="5" t="n">
        <v>1278</v>
      </c>
      <c r="B1279" s="5" t="s">
        <v>3205</v>
      </c>
      <c r="C1279" s="5" t="s">
        <v>171</v>
      </c>
      <c r="D1279" s="5" t="s">
        <v>172</v>
      </c>
      <c r="E1279" s="5" t="n">
        <v>84</v>
      </c>
      <c r="F1279" s="5" t="s">
        <v>3206</v>
      </c>
      <c r="G1279" s="5" t="n">
        <v>4</v>
      </c>
      <c r="H1279" s="5" t="s">
        <v>53</v>
      </c>
      <c r="I1279" s="5" t="s">
        <v>54</v>
      </c>
      <c r="J1279" s="5" t="s">
        <v>181</v>
      </c>
      <c r="K1279" s="5" t="s">
        <v>235</v>
      </c>
      <c r="L1279" s="5" t="n">
        <v>4</v>
      </c>
      <c r="M1279" s="5" t="n">
        <v>4</v>
      </c>
      <c r="N1279" s="5" t="n">
        <v>7</v>
      </c>
      <c r="O1279" s="5" t="n">
        <v>4</v>
      </c>
      <c r="P1279" s="5" t="n">
        <v>1.5</v>
      </c>
      <c r="Q1279" s="5" t="n">
        <v>0</v>
      </c>
      <c r="R1279" s="5" t="n">
        <v>5</v>
      </c>
      <c r="S1279" s="5" t="n">
        <v>7</v>
      </c>
      <c r="T1279" s="5" t="s">
        <v>3207</v>
      </c>
      <c r="U1279" s="6"/>
      <c r="V1279" s="6"/>
      <c r="W1279" s="6"/>
      <c r="X1279" s="6"/>
      <c r="Y1279" s="7" t="str">
        <f aca="false">IF(COUNT(U1279:X1279)=4,(W1279-X1279)/2,"")</f>
        <v/>
      </c>
      <c r="Z1279" s="7" t="str">
        <f aca="false">IF(COUNT(U1279:X1279)=4,(U1279-V1279)/2,"")</f>
        <v/>
      </c>
      <c r="AA1279" s="7" t="str">
        <f aca="false">IF(COUNT(U1279:X1279)=4,MAX(1,MIN(10,ROUNDUP(5-Z1279,0))),"")</f>
        <v/>
      </c>
      <c r="AB1279" s="7" t="str">
        <f aca="false">IF(COUNT(U1279:X1279)=4,MAX(1,MIN(10,ROUNDUP(Y1279+5,0))),"")</f>
        <v/>
      </c>
      <c r="AC1279" s="6"/>
      <c r="AD1279" s="6"/>
    </row>
    <row r="1280" customFormat="false" ht="15" hidden="false" customHeight="true" outlineLevel="0" collapsed="false">
      <c r="A1280" s="5" t="n">
        <v>1279</v>
      </c>
      <c r="B1280" s="5" t="s">
        <v>3208</v>
      </c>
      <c r="C1280" s="5" t="s">
        <v>145</v>
      </c>
      <c r="D1280" s="5" t="s">
        <v>51</v>
      </c>
      <c r="E1280" s="5" t="n">
        <v>84</v>
      </c>
      <c r="F1280" s="5" t="s">
        <v>3209</v>
      </c>
      <c r="G1280" s="5" t="n">
        <v>2</v>
      </c>
      <c r="H1280" s="5" t="s">
        <v>47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 t="s">
        <v>3210</v>
      </c>
      <c r="U1280" s="6"/>
      <c r="V1280" s="6"/>
      <c r="W1280" s="6"/>
      <c r="X1280" s="6"/>
      <c r="Y1280" s="7" t="str">
        <f aca="false">IF(COUNT(U1280:X1280)=4,(W1280-X1280)/2,"")</f>
        <v/>
      </c>
      <c r="Z1280" s="7" t="str">
        <f aca="false">IF(COUNT(U1280:X1280)=4,(U1280-V1280)/2,"")</f>
        <v/>
      </c>
      <c r="AA1280" s="7" t="str">
        <f aca="false">IF(COUNT(U1280:X1280)=4,MAX(1,MIN(10,ROUNDUP(5-Z1280,0))),"")</f>
        <v/>
      </c>
      <c r="AB1280" s="7" t="str">
        <f aca="false">IF(COUNT(U1280:X1280)=4,MAX(1,MIN(10,ROUNDUP(Y1280+5,0))),"")</f>
        <v/>
      </c>
      <c r="AC1280" s="6"/>
      <c r="AD1280" s="6"/>
    </row>
    <row r="1281" customFormat="false" ht="15" hidden="false" customHeight="true" outlineLevel="0" collapsed="false">
      <c r="A1281" s="5" t="n">
        <v>1280</v>
      </c>
      <c r="B1281" s="5" t="s">
        <v>3211</v>
      </c>
      <c r="C1281" s="5" t="s">
        <v>171</v>
      </c>
      <c r="D1281" s="5" t="s">
        <v>172</v>
      </c>
      <c r="E1281" s="5" t="n">
        <v>84</v>
      </c>
      <c r="F1281" s="5" t="s">
        <v>3212</v>
      </c>
      <c r="G1281" s="5" t="n">
        <v>4</v>
      </c>
      <c r="H1281" s="5" t="s">
        <v>53</v>
      </c>
      <c r="I1281" s="5" t="s">
        <v>54</v>
      </c>
      <c r="J1281" s="5" t="s">
        <v>181</v>
      </c>
      <c r="K1281" s="5" t="s">
        <v>221</v>
      </c>
      <c r="L1281" s="5" t="n">
        <v>2</v>
      </c>
      <c r="M1281" s="5" t="n">
        <v>5</v>
      </c>
      <c r="N1281" s="5" t="n">
        <v>6</v>
      </c>
      <c r="O1281" s="5" t="n">
        <v>5</v>
      </c>
      <c r="P1281" s="5" t="n">
        <v>0.5</v>
      </c>
      <c r="Q1281" s="5" t="n">
        <v>-1.5</v>
      </c>
      <c r="R1281" s="5" t="n">
        <v>7</v>
      </c>
      <c r="S1281" s="5" t="n">
        <v>6</v>
      </c>
      <c r="T1281" s="5" t="s">
        <v>3213</v>
      </c>
      <c r="U1281" s="6"/>
      <c r="V1281" s="6"/>
      <c r="W1281" s="6"/>
      <c r="X1281" s="6"/>
      <c r="Y1281" s="7" t="str">
        <f aca="false">IF(COUNT(U1281:X1281)=4,(W1281-X1281)/2,"")</f>
        <v/>
      </c>
      <c r="Z1281" s="7" t="str">
        <f aca="false">IF(COUNT(U1281:X1281)=4,(U1281-V1281)/2,"")</f>
        <v/>
      </c>
      <c r="AA1281" s="7" t="str">
        <f aca="false">IF(COUNT(U1281:X1281)=4,MAX(1,MIN(10,ROUNDUP(5-Z1281,0))),"")</f>
        <v/>
      </c>
      <c r="AB1281" s="7" t="str">
        <f aca="false">IF(COUNT(U1281:X1281)=4,MAX(1,MIN(10,ROUNDUP(Y1281+5,0))),"")</f>
        <v/>
      </c>
      <c r="AC1281" s="6"/>
      <c r="AD1281" s="6"/>
    </row>
    <row r="1282" customFormat="false" ht="15" hidden="false" customHeight="true" outlineLevel="0" collapsed="false">
      <c r="A1282" s="5" t="n">
        <v>1281</v>
      </c>
      <c r="B1282" s="5" t="s">
        <v>3214</v>
      </c>
      <c r="C1282" s="5" t="s">
        <v>203</v>
      </c>
      <c r="D1282" s="5" t="s">
        <v>204</v>
      </c>
      <c r="E1282" s="5" t="n">
        <v>84</v>
      </c>
      <c r="F1282" s="5" t="s">
        <v>3214</v>
      </c>
      <c r="G1282" s="5" t="n">
        <v>4</v>
      </c>
      <c r="H1282" s="5" t="s">
        <v>53</v>
      </c>
      <c r="I1282" s="5" t="s">
        <v>54</v>
      </c>
      <c r="J1282" s="5" t="s">
        <v>117</v>
      </c>
      <c r="K1282" s="5" t="s">
        <v>117</v>
      </c>
      <c r="L1282" s="5" t="n">
        <v>6</v>
      </c>
      <c r="M1282" s="5" t="n">
        <v>1</v>
      </c>
      <c r="N1282" s="5" t="n">
        <v>5</v>
      </c>
      <c r="O1282" s="5" t="n">
        <v>5</v>
      </c>
      <c r="P1282" s="5" t="n">
        <v>0</v>
      </c>
      <c r="Q1282" s="5" t="n">
        <v>2.5</v>
      </c>
      <c r="R1282" s="5" t="n">
        <v>3</v>
      </c>
      <c r="S1282" s="5" t="n">
        <v>5</v>
      </c>
      <c r="T1282" s="5" t="s">
        <v>3215</v>
      </c>
      <c r="U1282" s="6"/>
      <c r="V1282" s="6"/>
      <c r="W1282" s="6"/>
      <c r="X1282" s="6"/>
      <c r="Y1282" s="7" t="str">
        <f aca="false">IF(COUNT(U1282:X1282)=4,(W1282-X1282)/2,"")</f>
        <v/>
      </c>
      <c r="Z1282" s="7" t="str">
        <f aca="false">IF(COUNT(U1282:X1282)=4,(U1282-V1282)/2,"")</f>
        <v/>
      </c>
      <c r="AA1282" s="7" t="str">
        <f aca="false">IF(COUNT(U1282:X1282)=4,MAX(1,MIN(10,ROUNDUP(5-Z1282,0))),"")</f>
        <v/>
      </c>
      <c r="AB1282" s="7" t="str">
        <f aca="false">IF(COUNT(U1282:X1282)=4,MAX(1,MIN(10,ROUNDUP(Y1282+5,0))),"")</f>
        <v/>
      </c>
      <c r="AC1282" s="6"/>
      <c r="AD1282" s="6"/>
    </row>
    <row r="1283" customFormat="false" ht="15" hidden="false" customHeight="true" outlineLevel="0" collapsed="false">
      <c r="A1283" s="5" t="n">
        <v>1282</v>
      </c>
      <c r="B1283" s="5" t="s">
        <v>3216</v>
      </c>
      <c r="C1283" s="5" t="s">
        <v>171</v>
      </c>
      <c r="D1283" s="5" t="s">
        <v>172</v>
      </c>
      <c r="E1283" s="5" t="n">
        <v>84</v>
      </c>
      <c r="F1283" s="5" t="s">
        <v>3217</v>
      </c>
      <c r="G1283" s="5" t="n">
        <v>4</v>
      </c>
      <c r="H1283" s="5" t="s">
        <v>53</v>
      </c>
      <c r="I1283" s="5" t="s">
        <v>54</v>
      </c>
      <c r="J1283" s="5" t="s">
        <v>181</v>
      </c>
      <c r="K1283" s="5" t="s">
        <v>427</v>
      </c>
      <c r="L1283" s="5" t="n">
        <v>4</v>
      </c>
      <c r="M1283" s="5" t="n">
        <v>4</v>
      </c>
      <c r="N1283" s="5" t="n">
        <v>3</v>
      </c>
      <c r="O1283" s="5" t="n">
        <v>8</v>
      </c>
      <c r="P1283" s="5" t="n">
        <v>-2.5</v>
      </c>
      <c r="Q1283" s="5" t="n">
        <v>0</v>
      </c>
      <c r="R1283" s="5" t="n">
        <v>5</v>
      </c>
      <c r="S1283" s="5" t="n">
        <v>3</v>
      </c>
      <c r="T1283" s="5" t="s">
        <v>3218</v>
      </c>
      <c r="U1283" s="6"/>
      <c r="V1283" s="6"/>
      <c r="W1283" s="6"/>
      <c r="X1283" s="6"/>
      <c r="Y1283" s="7" t="str">
        <f aca="false">IF(COUNT(U1283:X1283)=4,(W1283-X1283)/2,"")</f>
        <v/>
      </c>
      <c r="Z1283" s="7" t="str">
        <f aca="false">IF(COUNT(U1283:X1283)=4,(U1283-V1283)/2,"")</f>
        <v/>
      </c>
      <c r="AA1283" s="7" t="str">
        <f aca="false">IF(COUNT(U1283:X1283)=4,MAX(1,MIN(10,ROUNDUP(5-Z1283,0))),"")</f>
        <v/>
      </c>
      <c r="AB1283" s="7" t="str">
        <f aca="false">IF(COUNT(U1283:X1283)=4,MAX(1,MIN(10,ROUNDUP(Y1283+5,0))),"")</f>
        <v/>
      </c>
      <c r="AC1283" s="6"/>
      <c r="AD1283" s="6"/>
    </row>
    <row r="1284" customFormat="false" ht="15" hidden="false" customHeight="true" outlineLevel="0" collapsed="false">
      <c r="A1284" s="5" t="n">
        <v>1283</v>
      </c>
      <c r="B1284" s="5" t="s">
        <v>3219</v>
      </c>
      <c r="C1284" s="5" t="s">
        <v>203</v>
      </c>
      <c r="D1284" s="5" t="s">
        <v>204</v>
      </c>
      <c r="E1284" s="5" t="n">
        <v>84</v>
      </c>
      <c r="F1284" s="5" t="s">
        <v>3219</v>
      </c>
      <c r="G1284" s="5" t="n">
        <v>4</v>
      </c>
      <c r="H1284" s="5" t="s">
        <v>53</v>
      </c>
      <c r="I1284" s="5" t="s">
        <v>54</v>
      </c>
      <c r="J1284" s="5" t="s">
        <v>117</v>
      </c>
      <c r="K1284" s="5" t="s">
        <v>117</v>
      </c>
      <c r="L1284" s="5" t="n">
        <v>5</v>
      </c>
      <c r="M1284" s="5" t="n">
        <v>3</v>
      </c>
      <c r="N1284" s="5" t="n">
        <v>1</v>
      </c>
      <c r="O1284" s="5" t="n">
        <v>8</v>
      </c>
      <c r="P1284" s="5" t="n">
        <v>-3.5</v>
      </c>
      <c r="Q1284" s="5" t="n">
        <v>1</v>
      </c>
      <c r="R1284" s="5" t="n">
        <v>4</v>
      </c>
      <c r="S1284" s="5" t="n">
        <v>2</v>
      </c>
      <c r="T1284" s="5" t="s">
        <v>3220</v>
      </c>
      <c r="U1284" s="6"/>
      <c r="V1284" s="6"/>
      <c r="W1284" s="6"/>
      <c r="X1284" s="6"/>
      <c r="Y1284" s="7" t="str">
        <f aca="false">IF(COUNT(U1284:X1284)=4,(W1284-X1284)/2,"")</f>
        <v/>
      </c>
      <c r="Z1284" s="7" t="str">
        <f aca="false">IF(COUNT(U1284:X1284)=4,(U1284-V1284)/2,"")</f>
        <v/>
      </c>
      <c r="AA1284" s="7" t="str">
        <f aca="false">IF(COUNT(U1284:X1284)=4,MAX(1,MIN(10,ROUNDUP(5-Z1284,0))),"")</f>
        <v/>
      </c>
      <c r="AB1284" s="7" t="str">
        <f aca="false">IF(COUNT(U1284:X1284)=4,MAX(1,MIN(10,ROUNDUP(Y1284+5,0))),"")</f>
        <v/>
      </c>
      <c r="AC1284" s="6"/>
      <c r="AD1284" s="6"/>
    </row>
    <row r="1285" customFormat="false" ht="15" hidden="false" customHeight="true" outlineLevel="0" collapsed="false">
      <c r="A1285" s="5" t="n">
        <v>1284</v>
      </c>
      <c r="B1285" s="5" t="s">
        <v>3221</v>
      </c>
      <c r="C1285" s="5" t="s">
        <v>171</v>
      </c>
      <c r="D1285" s="5" t="s">
        <v>172</v>
      </c>
      <c r="E1285" s="5" t="n">
        <v>84</v>
      </c>
      <c r="F1285" s="5" t="s">
        <v>3222</v>
      </c>
      <c r="G1285" s="5" t="n">
        <v>4</v>
      </c>
      <c r="H1285" s="5" t="s">
        <v>53</v>
      </c>
      <c r="I1285" s="5" t="s">
        <v>54</v>
      </c>
      <c r="J1285" s="5" t="s">
        <v>117</v>
      </c>
      <c r="K1285" s="5" t="s">
        <v>117</v>
      </c>
      <c r="L1285" s="5" t="n">
        <v>3</v>
      </c>
      <c r="M1285" s="5" t="n">
        <v>1</v>
      </c>
      <c r="N1285" s="5" t="n">
        <v>2</v>
      </c>
      <c r="O1285" s="5" t="n">
        <v>8</v>
      </c>
      <c r="P1285" s="5" t="n">
        <v>-3</v>
      </c>
      <c r="Q1285" s="5" t="n">
        <v>1</v>
      </c>
      <c r="R1285" s="5" t="n">
        <v>4</v>
      </c>
      <c r="S1285" s="5" t="n">
        <v>2</v>
      </c>
      <c r="T1285" s="5" t="s">
        <v>3223</v>
      </c>
      <c r="U1285" s="6"/>
      <c r="V1285" s="6"/>
      <c r="W1285" s="6"/>
      <c r="X1285" s="6"/>
      <c r="Y1285" s="7" t="str">
        <f aca="false">IF(COUNT(U1285:X1285)=4,(W1285-X1285)/2,"")</f>
        <v/>
      </c>
      <c r="Z1285" s="7" t="str">
        <f aca="false">IF(COUNT(U1285:X1285)=4,(U1285-V1285)/2,"")</f>
        <v/>
      </c>
      <c r="AA1285" s="7" t="str">
        <f aca="false">IF(COUNT(U1285:X1285)=4,MAX(1,MIN(10,ROUNDUP(5-Z1285,0))),"")</f>
        <v/>
      </c>
      <c r="AB1285" s="7" t="str">
        <f aca="false">IF(COUNT(U1285:X1285)=4,MAX(1,MIN(10,ROUNDUP(Y1285+5,0))),"")</f>
        <v/>
      </c>
      <c r="AC1285" s="6"/>
      <c r="AD1285" s="6"/>
    </row>
    <row r="1286" customFormat="false" ht="15" hidden="false" customHeight="true" outlineLevel="0" collapsed="false">
      <c r="A1286" s="5" t="n">
        <v>1285</v>
      </c>
      <c r="B1286" s="5" t="s">
        <v>3224</v>
      </c>
      <c r="C1286" s="5" t="s">
        <v>171</v>
      </c>
      <c r="D1286" s="5" t="s">
        <v>172</v>
      </c>
      <c r="E1286" s="5" t="n">
        <v>84</v>
      </c>
      <c r="F1286" s="5" t="s">
        <v>3225</v>
      </c>
      <c r="G1286" s="5" t="n">
        <v>4</v>
      </c>
      <c r="H1286" s="5" t="s">
        <v>53</v>
      </c>
      <c r="I1286" s="5" t="s">
        <v>81</v>
      </c>
      <c r="J1286" s="5" t="s">
        <v>174</v>
      </c>
      <c r="K1286" s="5" t="s">
        <v>347</v>
      </c>
      <c r="L1286" s="5" t="n">
        <v>5</v>
      </c>
      <c r="M1286" s="5" t="n">
        <v>2</v>
      </c>
      <c r="N1286" s="5" t="n">
        <v>9</v>
      </c>
      <c r="O1286" s="5" t="n">
        <v>2</v>
      </c>
      <c r="P1286" s="5" t="n">
        <v>3.5</v>
      </c>
      <c r="Q1286" s="5" t="n">
        <v>1.5</v>
      </c>
      <c r="R1286" s="5" t="n">
        <v>4</v>
      </c>
      <c r="S1286" s="5" t="n">
        <v>9</v>
      </c>
      <c r="T1286" s="5" t="s">
        <v>2577</v>
      </c>
      <c r="U1286" s="6"/>
      <c r="V1286" s="6"/>
      <c r="W1286" s="6"/>
      <c r="X1286" s="6"/>
      <c r="Y1286" s="7" t="str">
        <f aca="false">IF(COUNT(U1286:X1286)=4,(W1286-X1286)/2,"")</f>
        <v/>
      </c>
      <c r="Z1286" s="7" t="str">
        <f aca="false">IF(COUNT(U1286:X1286)=4,(U1286-V1286)/2,"")</f>
        <v/>
      </c>
      <c r="AA1286" s="7" t="str">
        <f aca="false">IF(COUNT(U1286:X1286)=4,MAX(1,MIN(10,ROUNDUP(5-Z1286,0))),"")</f>
        <v/>
      </c>
      <c r="AB1286" s="7" t="str">
        <f aca="false">IF(COUNT(U1286:X1286)=4,MAX(1,MIN(10,ROUNDUP(Y1286+5,0))),"")</f>
        <v/>
      </c>
      <c r="AC1286" s="6"/>
      <c r="AD1286" s="6"/>
    </row>
    <row r="1287" customFormat="false" ht="15" hidden="false" customHeight="true" outlineLevel="0" collapsed="false">
      <c r="A1287" s="5" t="n">
        <v>1286</v>
      </c>
      <c r="B1287" s="5" t="s">
        <v>3226</v>
      </c>
      <c r="C1287" s="5" t="s">
        <v>203</v>
      </c>
      <c r="D1287" s="5" t="s">
        <v>204</v>
      </c>
      <c r="E1287" s="5" t="n">
        <v>84</v>
      </c>
      <c r="F1287" s="5" t="s">
        <v>3226</v>
      </c>
      <c r="G1287" s="5" t="n">
        <v>4</v>
      </c>
      <c r="H1287" s="5" t="s">
        <v>53</v>
      </c>
      <c r="I1287" s="5" t="s">
        <v>54</v>
      </c>
      <c r="J1287" s="5" t="s">
        <v>117</v>
      </c>
      <c r="K1287" s="5" t="s">
        <v>117</v>
      </c>
      <c r="L1287" s="5" t="n">
        <v>3</v>
      </c>
      <c r="M1287" s="5" t="n">
        <v>3</v>
      </c>
      <c r="N1287" s="5" t="n">
        <v>2</v>
      </c>
      <c r="O1287" s="5" t="n">
        <v>8</v>
      </c>
      <c r="P1287" s="5" t="n">
        <v>-3</v>
      </c>
      <c r="Q1287" s="5" t="n">
        <v>0</v>
      </c>
      <c r="R1287" s="5" t="n">
        <v>5</v>
      </c>
      <c r="S1287" s="5" t="n">
        <v>2</v>
      </c>
      <c r="T1287" s="5" t="s">
        <v>1739</v>
      </c>
      <c r="U1287" s="6"/>
      <c r="V1287" s="6"/>
      <c r="W1287" s="6"/>
      <c r="X1287" s="6"/>
      <c r="Y1287" s="7" t="str">
        <f aca="false">IF(COUNT(U1287:X1287)=4,(W1287-X1287)/2,"")</f>
        <v/>
      </c>
      <c r="Z1287" s="7" t="str">
        <f aca="false">IF(COUNT(U1287:X1287)=4,(U1287-V1287)/2,"")</f>
        <v/>
      </c>
      <c r="AA1287" s="7" t="str">
        <f aca="false">IF(COUNT(U1287:X1287)=4,MAX(1,MIN(10,ROUNDUP(5-Z1287,0))),"")</f>
        <v/>
      </c>
      <c r="AB1287" s="7" t="str">
        <f aca="false">IF(COUNT(U1287:X1287)=4,MAX(1,MIN(10,ROUNDUP(Y1287+5,0))),"")</f>
        <v/>
      </c>
      <c r="AC1287" s="6"/>
      <c r="AD1287" s="6"/>
    </row>
    <row r="1288" customFormat="false" ht="15" hidden="false" customHeight="true" outlineLevel="0" collapsed="false">
      <c r="A1288" s="5" t="n">
        <v>1287</v>
      </c>
      <c r="B1288" s="5" t="s">
        <v>3227</v>
      </c>
      <c r="C1288" s="5" t="s">
        <v>203</v>
      </c>
      <c r="D1288" s="5" t="s">
        <v>204</v>
      </c>
      <c r="E1288" s="5" t="n">
        <v>84</v>
      </c>
      <c r="F1288" s="5" t="s">
        <v>3228</v>
      </c>
      <c r="G1288" s="5" t="n">
        <v>4</v>
      </c>
      <c r="H1288" s="5" t="s">
        <v>53</v>
      </c>
      <c r="I1288" s="5" t="s">
        <v>54</v>
      </c>
      <c r="J1288" s="5" t="s">
        <v>117</v>
      </c>
      <c r="K1288" s="5" t="s">
        <v>117</v>
      </c>
      <c r="L1288" s="5" t="n">
        <v>5</v>
      </c>
      <c r="M1288" s="5" t="n">
        <v>1</v>
      </c>
      <c r="N1288" s="5" t="n">
        <v>2</v>
      </c>
      <c r="O1288" s="5" t="n">
        <v>8</v>
      </c>
      <c r="P1288" s="5" t="n">
        <v>-3</v>
      </c>
      <c r="Q1288" s="5" t="n">
        <v>2</v>
      </c>
      <c r="R1288" s="5" t="n">
        <v>3</v>
      </c>
      <c r="S1288" s="5" t="n">
        <v>2</v>
      </c>
      <c r="T1288" s="5" t="s">
        <v>1837</v>
      </c>
      <c r="U1288" s="6"/>
      <c r="V1288" s="6"/>
      <c r="W1288" s="6"/>
      <c r="X1288" s="6"/>
      <c r="Y1288" s="7" t="str">
        <f aca="false">IF(COUNT(U1288:X1288)=4,(W1288-X1288)/2,"")</f>
        <v/>
      </c>
      <c r="Z1288" s="7" t="str">
        <f aca="false">IF(COUNT(U1288:X1288)=4,(U1288-V1288)/2,"")</f>
        <v/>
      </c>
      <c r="AA1288" s="7" t="str">
        <f aca="false">IF(COUNT(U1288:X1288)=4,MAX(1,MIN(10,ROUNDUP(5-Z1288,0))),"")</f>
        <v/>
      </c>
      <c r="AB1288" s="7" t="str">
        <f aca="false">IF(COUNT(U1288:X1288)=4,MAX(1,MIN(10,ROUNDUP(Y1288+5,0))),"")</f>
        <v/>
      </c>
      <c r="AC1288" s="6"/>
      <c r="AD1288" s="6"/>
    </row>
    <row r="1289" customFormat="false" ht="15" hidden="false" customHeight="true" outlineLevel="0" collapsed="false">
      <c r="A1289" s="5" t="n">
        <v>1288</v>
      </c>
      <c r="B1289" s="5" t="s">
        <v>3229</v>
      </c>
      <c r="C1289" s="5" t="s">
        <v>171</v>
      </c>
      <c r="D1289" s="5" t="s">
        <v>172</v>
      </c>
      <c r="E1289" s="5" t="n">
        <v>84</v>
      </c>
      <c r="F1289" s="5" t="s">
        <v>3230</v>
      </c>
      <c r="G1289" s="5" t="n">
        <v>4</v>
      </c>
      <c r="H1289" s="5" t="s">
        <v>53</v>
      </c>
      <c r="I1289" s="5" t="s">
        <v>81</v>
      </c>
      <c r="J1289" s="5" t="s">
        <v>174</v>
      </c>
      <c r="K1289" s="5" t="s">
        <v>309</v>
      </c>
      <c r="L1289" s="5" t="n">
        <v>6</v>
      </c>
      <c r="M1289" s="5" t="n">
        <v>2</v>
      </c>
      <c r="N1289" s="5" t="n">
        <v>3</v>
      </c>
      <c r="O1289" s="5" t="n">
        <v>8</v>
      </c>
      <c r="P1289" s="5" t="n">
        <v>-2.5</v>
      </c>
      <c r="Q1289" s="5" t="n">
        <v>2</v>
      </c>
      <c r="R1289" s="5" t="n">
        <v>3</v>
      </c>
      <c r="S1289" s="5" t="n">
        <v>3</v>
      </c>
      <c r="T1289" s="5" t="s">
        <v>3231</v>
      </c>
      <c r="U1289" s="6"/>
      <c r="V1289" s="6"/>
      <c r="W1289" s="6"/>
      <c r="X1289" s="6"/>
      <c r="Y1289" s="7" t="str">
        <f aca="false">IF(COUNT(U1289:X1289)=4,(W1289-X1289)/2,"")</f>
        <v/>
      </c>
      <c r="Z1289" s="7" t="str">
        <f aca="false">IF(COUNT(U1289:X1289)=4,(U1289-V1289)/2,"")</f>
        <v/>
      </c>
      <c r="AA1289" s="7" t="str">
        <f aca="false">IF(COUNT(U1289:X1289)=4,MAX(1,MIN(10,ROUNDUP(5-Z1289,0))),"")</f>
        <v/>
      </c>
      <c r="AB1289" s="7" t="str">
        <f aca="false">IF(COUNT(U1289:X1289)=4,MAX(1,MIN(10,ROUNDUP(Y1289+5,0))),"")</f>
        <v/>
      </c>
      <c r="AC1289" s="6"/>
      <c r="AD1289" s="6"/>
    </row>
    <row r="1290" customFormat="false" ht="15" hidden="false" customHeight="true" outlineLevel="0" collapsed="false">
      <c r="A1290" s="5" t="n">
        <v>1289</v>
      </c>
      <c r="B1290" s="5" t="s">
        <v>3232</v>
      </c>
      <c r="C1290" s="5" t="s">
        <v>171</v>
      </c>
      <c r="D1290" s="5" t="s">
        <v>172</v>
      </c>
      <c r="E1290" s="5" t="n">
        <v>83</v>
      </c>
      <c r="F1290" s="5" t="s">
        <v>3233</v>
      </c>
      <c r="G1290" s="5" t="n">
        <v>4</v>
      </c>
      <c r="H1290" s="5" t="s">
        <v>53</v>
      </c>
      <c r="I1290" s="5" t="s">
        <v>54</v>
      </c>
      <c r="J1290" s="5" t="s">
        <v>181</v>
      </c>
      <c r="K1290" s="5" t="s">
        <v>333</v>
      </c>
      <c r="L1290" s="5" t="n">
        <v>3</v>
      </c>
      <c r="M1290" s="5" t="n">
        <v>4</v>
      </c>
      <c r="N1290" s="5" t="n">
        <v>8</v>
      </c>
      <c r="O1290" s="5" t="n">
        <v>2</v>
      </c>
      <c r="P1290" s="5" t="n">
        <v>3</v>
      </c>
      <c r="Q1290" s="5" t="n">
        <v>-0.5</v>
      </c>
      <c r="R1290" s="5" t="n">
        <v>6</v>
      </c>
      <c r="S1290" s="5" t="n">
        <v>8</v>
      </c>
      <c r="T1290" s="5" t="s">
        <v>3234</v>
      </c>
      <c r="U1290" s="6"/>
      <c r="V1290" s="6"/>
      <c r="W1290" s="6"/>
      <c r="X1290" s="6"/>
      <c r="Y1290" s="7" t="str">
        <f aca="false">IF(COUNT(U1290:X1290)=4,(W1290-X1290)/2,"")</f>
        <v/>
      </c>
      <c r="Z1290" s="7" t="str">
        <f aca="false">IF(COUNT(U1290:X1290)=4,(U1290-V1290)/2,"")</f>
        <v/>
      </c>
      <c r="AA1290" s="7" t="str">
        <f aca="false">IF(COUNT(U1290:X1290)=4,MAX(1,MIN(10,ROUNDUP(5-Z1290,0))),"")</f>
        <v/>
      </c>
      <c r="AB1290" s="7" t="str">
        <f aca="false">IF(COUNT(U1290:X1290)=4,MAX(1,MIN(10,ROUNDUP(Y1290+5,0))),"")</f>
        <v/>
      </c>
      <c r="AC1290" s="6"/>
      <c r="AD1290" s="6"/>
    </row>
    <row r="1291" customFormat="false" ht="15" hidden="false" customHeight="true" outlineLevel="0" collapsed="false">
      <c r="A1291" s="5" t="n">
        <v>1290</v>
      </c>
      <c r="B1291" s="5" t="s">
        <v>3235</v>
      </c>
      <c r="C1291" s="5" t="s">
        <v>171</v>
      </c>
      <c r="D1291" s="5" t="s">
        <v>172</v>
      </c>
      <c r="E1291" s="5" t="n">
        <v>83</v>
      </c>
      <c r="F1291" s="5" t="s">
        <v>3236</v>
      </c>
      <c r="G1291" s="5" t="n">
        <v>4</v>
      </c>
      <c r="H1291" s="5" t="s">
        <v>53</v>
      </c>
      <c r="I1291" s="5" t="s">
        <v>54</v>
      </c>
      <c r="J1291" s="5" t="s">
        <v>181</v>
      </c>
      <c r="K1291" s="5" t="s">
        <v>443</v>
      </c>
      <c r="L1291" s="5" t="n">
        <v>6</v>
      </c>
      <c r="M1291" s="5" t="n">
        <v>3</v>
      </c>
      <c r="N1291" s="5" t="n">
        <v>4</v>
      </c>
      <c r="O1291" s="5" t="n">
        <v>8</v>
      </c>
      <c r="P1291" s="5" t="n">
        <v>-2</v>
      </c>
      <c r="Q1291" s="5" t="n">
        <v>1.5</v>
      </c>
      <c r="R1291" s="5" t="n">
        <v>4</v>
      </c>
      <c r="S1291" s="5" t="n">
        <v>3</v>
      </c>
      <c r="T1291" s="5" t="s">
        <v>344</v>
      </c>
      <c r="U1291" s="6"/>
      <c r="V1291" s="6"/>
      <c r="W1291" s="6"/>
      <c r="X1291" s="6"/>
      <c r="Y1291" s="7" t="str">
        <f aca="false">IF(COUNT(U1291:X1291)=4,(W1291-X1291)/2,"")</f>
        <v/>
      </c>
      <c r="Z1291" s="7" t="str">
        <f aca="false">IF(COUNT(U1291:X1291)=4,(U1291-V1291)/2,"")</f>
        <v/>
      </c>
      <c r="AA1291" s="7" t="str">
        <f aca="false">IF(COUNT(U1291:X1291)=4,MAX(1,MIN(10,ROUNDUP(5-Z1291,0))),"")</f>
        <v/>
      </c>
      <c r="AB1291" s="7" t="str">
        <f aca="false">IF(COUNT(U1291:X1291)=4,MAX(1,MIN(10,ROUNDUP(Y1291+5,0))),"")</f>
        <v/>
      </c>
      <c r="AC1291" s="6"/>
      <c r="AD1291" s="6"/>
    </row>
    <row r="1292" customFormat="false" ht="15" hidden="false" customHeight="true" outlineLevel="0" collapsed="false">
      <c r="A1292" s="5" t="n">
        <v>1291</v>
      </c>
      <c r="B1292" s="5" t="s">
        <v>3237</v>
      </c>
      <c r="C1292" s="5" t="s">
        <v>203</v>
      </c>
      <c r="D1292" s="5" t="s">
        <v>204</v>
      </c>
      <c r="E1292" s="5" t="n">
        <v>83</v>
      </c>
      <c r="F1292" s="5" t="s">
        <v>3238</v>
      </c>
      <c r="G1292" s="5" t="n">
        <v>4</v>
      </c>
      <c r="H1292" s="5" t="s">
        <v>53</v>
      </c>
      <c r="I1292" s="5" t="s">
        <v>54</v>
      </c>
      <c r="J1292" s="5" t="s">
        <v>117</v>
      </c>
      <c r="K1292" s="5" t="s">
        <v>117</v>
      </c>
      <c r="L1292" s="5" t="n">
        <v>6</v>
      </c>
      <c r="M1292" s="5" t="n">
        <v>1</v>
      </c>
      <c r="N1292" s="5" t="n">
        <v>2</v>
      </c>
      <c r="O1292" s="5" t="n">
        <v>7</v>
      </c>
      <c r="P1292" s="5" t="n">
        <v>-2.5</v>
      </c>
      <c r="Q1292" s="5" t="n">
        <v>2.5</v>
      </c>
      <c r="R1292" s="5" t="n">
        <v>3</v>
      </c>
      <c r="S1292" s="5" t="n">
        <v>3</v>
      </c>
      <c r="T1292" s="5" t="s">
        <v>1672</v>
      </c>
      <c r="U1292" s="6"/>
      <c r="V1292" s="6"/>
      <c r="W1292" s="6"/>
      <c r="X1292" s="6"/>
      <c r="Y1292" s="7" t="str">
        <f aca="false">IF(COUNT(U1292:X1292)=4,(W1292-X1292)/2,"")</f>
        <v/>
      </c>
      <c r="Z1292" s="7" t="str">
        <f aca="false">IF(COUNT(U1292:X1292)=4,(U1292-V1292)/2,"")</f>
        <v/>
      </c>
      <c r="AA1292" s="7" t="str">
        <f aca="false">IF(COUNT(U1292:X1292)=4,MAX(1,MIN(10,ROUNDUP(5-Z1292,0))),"")</f>
        <v/>
      </c>
      <c r="AB1292" s="7" t="str">
        <f aca="false">IF(COUNT(U1292:X1292)=4,MAX(1,MIN(10,ROUNDUP(Y1292+5,0))),"")</f>
        <v/>
      </c>
      <c r="AC1292" s="6"/>
      <c r="AD1292" s="6"/>
    </row>
    <row r="1293" customFormat="false" ht="15" hidden="false" customHeight="true" outlineLevel="0" collapsed="false">
      <c r="A1293" s="5" t="n">
        <v>1292</v>
      </c>
      <c r="B1293" s="5" t="s">
        <v>3239</v>
      </c>
      <c r="C1293" s="5" t="s">
        <v>171</v>
      </c>
      <c r="D1293" s="5" t="s">
        <v>172</v>
      </c>
      <c r="E1293" s="5" t="n">
        <v>83</v>
      </c>
      <c r="F1293" s="5" t="s">
        <v>3240</v>
      </c>
      <c r="G1293" s="5" t="n">
        <v>4</v>
      </c>
      <c r="H1293" s="5" t="s">
        <v>53</v>
      </c>
      <c r="I1293" s="5" t="s">
        <v>54</v>
      </c>
      <c r="J1293" s="5" t="s">
        <v>181</v>
      </c>
      <c r="K1293" s="5" t="s">
        <v>279</v>
      </c>
      <c r="L1293" s="5" t="n">
        <v>5</v>
      </c>
      <c r="M1293" s="5" t="n">
        <v>4</v>
      </c>
      <c r="N1293" s="5" t="n">
        <v>5</v>
      </c>
      <c r="O1293" s="5" t="n">
        <v>7</v>
      </c>
      <c r="P1293" s="5" t="n">
        <v>-1</v>
      </c>
      <c r="Q1293" s="5" t="n">
        <v>0.5</v>
      </c>
      <c r="R1293" s="5" t="n">
        <v>5</v>
      </c>
      <c r="S1293" s="5" t="n">
        <v>4</v>
      </c>
      <c r="T1293" s="5" t="s">
        <v>2589</v>
      </c>
      <c r="U1293" s="6"/>
      <c r="V1293" s="6"/>
      <c r="W1293" s="6"/>
      <c r="X1293" s="6"/>
      <c r="Y1293" s="7" t="str">
        <f aca="false">IF(COUNT(U1293:X1293)=4,(W1293-X1293)/2,"")</f>
        <v/>
      </c>
      <c r="Z1293" s="7" t="str">
        <f aca="false">IF(COUNT(U1293:X1293)=4,(U1293-V1293)/2,"")</f>
        <v/>
      </c>
      <c r="AA1293" s="7" t="str">
        <f aca="false">IF(COUNT(U1293:X1293)=4,MAX(1,MIN(10,ROUNDUP(5-Z1293,0))),"")</f>
        <v/>
      </c>
      <c r="AB1293" s="7" t="str">
        <f aca="false">IF(COUNT(U1293:X1293)=4,MAX(1,MIN(10,ROUNDUP(Y1293+5,0))),"")</f>
        <v/>
      </c>
      <c r="AC1293" s="6"/>
      <c r="AD1293" s="6"/>
    </row>
    <row r="1294" customFormat="false" ht="15" hidden="false" customHeight="true" outlineLevel="0" collapsed="false">
      <c r="A1294" s="5" t="n">
        <v>1293</v>
      </c>
      <c r="B1294" s="5" t="s">
        <v>3241</v>
      </c>
      <c r="C1294" s="5" t="s">
        <v>171</v>
      </c>
      <c r="D1294" s="5" t="s">
        <v>172</v>
      </c>
      <c r="E1294" s="5" t="n">
        <v>83</v>
      </c>
      <c r="F1294" s="5" t="s">
        <v>3241</v>
      </c>
      <c r="G1294" s="5" t="n">
        <v>4</v>
      </c>
      <c r="H1294" s="5" t="s">
        <v>53</v>
      </c>
      <c r="I1294" s="5" t="s">
        <v>54</v>
      </c>
      <c r="J1294" s="5" t="s">
        <v>181</v>
      </c>
      <c r="K1294" s="5" t="s">
        <v>574</v>
      </c>
      <c r="L1294" s="5" t="n">
        <v>3</v>
      </c>
      <c r="M1294" s="5" t="n">
        <v>5</v>
      </c>
      <c r="N1294" s="5" t="n">
        <v>4</v>
      </c>
      <c r="O1294" s="5" t="n">
        <v>7</v>
      </c>
      <c r="P1294" s="5" t="n">
        <v>-1.5</v>
      </c>
      <c r="Q1294" s="5" t="n">
        <v>-1</v>
      </c>
      <c r="R1294" s="5" t="n">
        <v>6</v>
      </c>
      <c r="S1294" s="5" t="n">
        <v>4</v>
      </c>
      <c r="T1294" s="5" t="s">
        <v>3242</v>
      </c>
      <c r="U1294" s="6"/>
      <c r="V1294" s="6"/>
      <c r="W1294" s="6"/>
      <c r="X1294" s="6"/>
      <c r="Y1294" s="7" t="str">
        <f aca="false">IF(COUNT(U1294:X1294)=4,(W1294-X1294)/2,"")</f>
        <v/>
      </c>
      <c r="Z1294" s="7" t="str">
        <f aca="false">IF(COUNT(U1294:X1294)=4,(U1294-V1294)/2,"")</f>
        <v/>
      </c>
      <c r="AA1294" s="7" t="str">
        <f aca="false">IF(COUNT(U1294:X1294)=4,MAX(1,MIN(10,ROUNDUP(5-Z1294,0))),"")</f>
        <v/>
      </c>
      <c r="AB1294" s="7" t="str">
        <f aca="false">IF(COUNT(U1294:X1294)=4,MAX(1,MIN(10,ROUNDUP(Y1294+5,0))),"")</f>
        <v/>
      </c>
      <c r="AC1294" s="6"/>
      <c r="AD1294" s="6"/>
    </row>
    <row r="1295" customFormat="false" ht="15" hidden="false" customHeight="true" outlineLevel="0" collapsed="false">
      <c r="A1295" s="5" t="n">
        <v>1294</v>
      </c>
      <c r="B1295" s="5" t="s">
        <v>3243</v>
      </c>
      <c r="C1295" s="5" t="s">
        <v>171</v>
      </c>
      <c r="D1295" s="5" t="s">
        <v>172</v>
      </c>
      <c r="E1295" s="5" t="n">
        <v>83</v>
      </c>
      <c r="F1295" s="5" t="s">
        <v>3244</v>
      </c>
      <c r="G1295" s="5" t="n">
        <v>4</v>
      </c>
      <c r="H1295" s="5" t="s">
        <v>53</v>
      </c>
      <c r="I1295" s="5" t="s">
        <v>54</v>
      </c>
      <c r="J1295" s="5" t="s">
        <v>181</v>
      </c>
      <c r="K1295" s="5" t="s">
        <v>333</v>
      </c>
      <c r="L1295" s="5" t="n">
        <v>0</v>
      </c>
      <c r="M1295" s="5" t="n">
        <v>8</v>
      </c>
      <c r="N1295" s="5" t="n">
        <v>8</v>
      </c>
      <c r="O1295" s="5" t="n">
        <v>2</v>
      </c>
      <c r="P1295" s="5" t="n">
        <v>3</v>
      </c>
      <c r="Q1295" s="5" t="n">
        <v>-4</v>
      </c>
      <c r="R1295" s="5" t="n">
        <v>9</v>
      </c>
      <c r="S1295" s="5" t="n">
        <v>8</v>
      </c>
      <c r="T1295" s="5" t="s">
        <v>3245</v>
      </c>
      <c r="U1295" s="6"/>
      <c r="V1295" s="6"/>
      <c r="W1295" s="6"/>
      <c r="X1295" s="6"/>
      <c r="Y1295" s="7" t="str">
        <f aca="false">IF(COUNT(U1295:X1295)=4,(W1295-X1295)/2,"")</f>
        <v/>
      </c>
      <c r="Z1295" s="7" t="str">
        <f aca="false">IF(COUNT(U1295:X1295)=4,(U1295-V1295)/2,"")</f>
        <v/>
      </c>
      <c r="AA1295" s="7" t="str">
        <f aca="false">IF(COUNT(U1295:X1295)=4,MAX(1,MIN(10,ROUNDUP(5-Z1295,0))),"")</f>
        <v/>
      </c>
      <c r="AB1295" s="7" t="str">
        <f aca="false">IF(COUNT(U1295:X1295)=4,MAX(1,MIN(10,ROUNDUP(Y1295+5,0))),"")</f>
        <v/>
      </c>
      <c r="AC1295" s="6"/>
      <c r="AD1295" s="6"/>
    </row>
    <row r="1296" customFormat="false" ht="15" hidden="false" customHeight="true" outlineLevel="0" collapsed="false">
      <c r="A1296" s="5" t="n">
        <v>1295</v>
      </c>
      <c r="B1296" s="5" t="s">
        <v>3246</v>
      </c>
      <c r="C1296" s="5" t="s">
        <v>171</v>
      </c>
      <c r="D1296" s="5" t="s">
        <v>172</v>
      </c>
      <c r="E1296" s="5" t="n">
        <v>83</v>
      </c>
      <c r="F1296" s="5" t="s">
        <v>3247</v>
      </c>
      <c r="G1296" s="5" t="n">
        <v>4</v>
      </c>
      <c r="H1296" s="5" t="s">
        <v>53</v>
      </c>
      <c r="I1296" s="5" t="s">
        <v>54</v>
      </c>
      <c r="J1296" s="5" t="s">
        <v>181</v>
      </c>
      <c r="K1296" s="5" t="s">
        <v>443</v>
      </c>
      <c r="L1296" s="5" t="n">
        <v>5</v>
      </c>
      <c r="M1296" s="5" t="n">
        <v>3</v>
      </c>
      <c r="N1296" s="5" t="n">
        <v>4</v>
      </c>
      <c r="O1296" s="5" t="n">
        <v>8</v>
      </c>
      <c r="P1296" s="5" t="n">
        <v>-2</v>
      </c>
      <c r="Q1296" s="5" t="n">
        <v>1</v>
      </c>
      <c r="R1296" s="5" t="n">
        <v>4</v>
      </c>
      <c r="S1296" s="5" t="n">
        <v>3</v>
      </c>
      <c r="T1296" s="5" t="s">
        <v>3248</v>
      </c>
      <c r="U1296" s="6"/>
      <c r="V1296" s="6"/>
      <c r="W1296" s="6"/>
      <c r="X1296" s="6"/>
      <c r="Y1296" s="7" t="str">
        <f aca="false">IF(COUNT(U1296:X1296)=4,(W1296-X1296)/2,"")</f>
        <v/>
      </c>
      <c r="Z1296" s="7" t="str">
        <f aca="false">IF(COUNT(U1296:X1296)=4,(U1296-V1296)/2,"")</f>
        <v/>
      </c>
      <c r="AA1296" s="7" t="str">
        <f aca="false">IF(COUNT(U1296:X1296)=4,MAX(1,MIN(10,ROUNDUP(5-Z1296,0))),"")</f>
        <v/>
      </c>
      <c r="AB1296" s="7" t="str">
        <f aca="false">IF(COUNT(U1296:X1296)=4,MAX(1,MIN(10,ROUNDUP(Y1296+5,0))),"")</f>
        <v/>
      </c>
      <c r="AC1296" s="6"/>
      <c r="AD1296" s="6"/>
    </row>
    <row r="1297" customFormat="false" ht="15" hidden="false" customHeight="true" outlineLevel="0" collapsed="false">
      <c r="A1297" s="5" t="n">
        <v>1296</v>
      </c>
      <c r="B1297" s="5" t="s">
        <v>3249</v>
      </c>
      <c r="C1297" s="5" t="s">
        <v>171</v>
      </c>
      <c r="D1297" s="5" t="s">
        <v>172</v>
      </c>
      <c r="E1297" s="5" t="n">
        <v>83</v>
      </c>
      <c r="F1297" s="5" t="s">
        <v>3250</v>
      </c>
      <c r="G1297" s="5" t="n">
        <v>4</v>
      </c>
      <c r="H1297" s="5" t="s">
        <v>53</v>
      </c>
      <c r="I1297" s="5" t="s">
        <v>81</v>
      </c>
      <c r="J1297" s="5" t="s">
        <v>174</v>
      </c>
      <c r="K1297" s="5" t="s">
        <v>175</v>
      </c>
      <c r="L1297" s="5" t="n">
        <v>7</v>
      </c>
      <c r="M1297" s="5" t="n">
        <v>1</v>
      </c>
      <c r="N1297" s="5" t="n">
        <v>6</v>
      </c>
      <c r="O1297" s="5" t="n">
        <v>5</v>
      </c>
      <c r="P1297" s="5" t="n">
        <v>0.5</v>
      </c>
      <c r="Q1297" s="5" t="n">
        <v>3</v>
      </c>
      <c r="R1297" s="5" t="n">
        <v>2</v>
      </c>
      <c r="S1297" s="5" t="n">
        <v>6</v>
      </c>
      <c r="T1297" s="5" t="s">
        <v>88</v>
      </c>
      <c r="U1297" s="6"/>
      <c r="V1297" s="6"/>
      <c r="W1297" s="6"/>
      <c r="X1297" s="6"/>
      <c r="Y1297" s="7" t="str">
        <f aca="false">IF(COUNT(U1297:X1297)=4,(W1297-X1297)/2,"")</f>
        <v/>
      </c>
      <c r="Z1297" s="7" t="str">
        <f aca="false">IF(COUNT(U1297:X1297)=4,(U1297-V1297)/2,"")</f>
        <v/>
      </c>
      <c r="AA1297" s="7" t="str">
        <f aca="false">IF(COUNT(U1297:X1297)=4,MAX(1,MIN(10,ROUNDUP(5-Z1297,0))),"")</f>
        <v/>
      </c>
      <c r="AB1297" s="7" t="str">
        <f aca="false">IF(COUNT(U1297:X1297)=4,MAX(1,MIN(10,ROUNDUP(Y1297+5,0))),"")</f>
        <v/>
      </c>
      <c r="AC1297" s="6"/>
      <c r="AD1297" s="6"/>
    </row>
    <row r="1298" customFormat="false" ht="15" hidden="false" customHeight="true" outlineLevel="0" collapsed="false">
      <c r="A1298" s="5" t="n">
        <v>1297</v>
      </c>
      <c r="B1298" s="5" t="s">
        <v>3251</v>
      </c>
      <c r="C1298" s="5" t="s">
        <v>171</v>
      </c>
      <c r="D1298" s="5" t="s">
        <v>172</v>
      </c>
      <c r="E1298" s="5" t="n">
        <v>83</v>
      </c>
      <c r="F1298" s="5" t="s">
        <v>3252</v>
      </c>
      <c r="G1298" s="5" t="n">
        <v>4</v>
      </c>
      <c r="H1298" s="5" t="s">
        <v>53</v>
      </c>
      <c r="I1298" s="5" t="s">
        <v>54</v>
      </c>
      <c r="J1298" s="5" t="s">
        <v>181</v>
      </c>
      <c r="K1298" s="5" t="s">
        <v>443</v>
      </c>
      <c r="L1298" s="5" t="n">
        <v>5</v>
      </c>
      <c r="M1298" s="5" t="n">
        <v>3</v>
      </c>
      <c r="N1298" s="5" t="n">
        <v>4</v>
      </c>
      <c r="O1298" s="5" t="n">
        <v>8</v>
      </c>
      <c r="P1298" s="5" t="n">
        <v>-2</v>
      </c>
      <c r="Q1298" s="5" t="n">
        <v>1</v>
      </c>
      <c r="R1298" s="5" t="n">
        <v>4</v>
      </c>
      <c r="S1298" s="5" t="n">
        <v>3</v>
      </c>
      <c r="T1298" s="5" t="s">
        <v>3253</v>
      </c>
      <c r="U1298" s="6"/>
      <c r="V1298" s="6"/>
      <c r="W1298" s="6"/>
      <c r="X1298" s="6"/>
      <c r="Y1298" s="7" t="str">
        <f aca="false">IF(COUNT(U1298:X1298)=4,(W1298-X1298)/2,"")</f>
        <v/>
      </c>
      <c r="Z1298" s="7" t="str">
        <f aca="false">IF(COUNT(U1298:X1298)=4,(U1298-V1298)/2,"")</f>
        <v/>
      </c>
      <c r="AA1298" s="7" t="str">
        <f aca="false">IF(COUNT(U1298:X1298)=4,MAX(1,MIN(10,ROUNDUP(5-Z1298,0))),"")</f>
        <v/>
      </c>
      <c r="AB1298" s="7" t="str">
        <f aca="false">IF(COUNT(U1298:X1298)=4,MAX(1,MIN(10,ROUNDUP(Y1298+5,0))),"")</f>
        <v/>
      </c>
      <c r="AC1298" s="6"/>
      <c r="AD1298" s="6"/>
    </row>
    <row r="1299" customFormat="false" ht="15" hidden="false" customHeight="true" outlineLevel="0" collapsed="false">
      <c r="A1299" s="5" t="n">
        <v>1298</v>
      </c>
      <c r="B1299" s="5" t="s">
        <v>3254</v>
      </c>
      <c r="C1299" s="5" t="s">
        <v>171</v>
      </c>
      <c r="D1299" s="5" t="s">
        <v>172</v>
      </c>
      <c r="E1299" s="5" t="n">
        <v>83</v>
      </c>
      <c r="F1299" s="5" t="s">
        <v>3255</v>
      </c>
      <c r="G1299" s="5" t="n">
        <v>4</v>
      </c>
      <c r="H1299" s="5" t="s">
        <v>53</v>
      </c>
      <c r="I1299" s="5" t="s">
        <v>81</v>
      </c>
      <c r="J1299" s="5" t="s">
        <v>174</v>
      </c>
      <c r="K1299" s="5" t="s">
        <v>1416</v>
      </c>
      <c r="L1299" s="5" t="n">
        <v>6</v>
      </c>
      <c r="M1299" s="5" t="n">
        <v>1</v>
      </c>
      <c r="N1299" s="5" t="n">
        <v>5</v>
      </c>
      <c r="O1299" s="5" t="n">
        <v>5</v>
      </c>
      <c r="P1299" s="5" t="n">
        <v>0</v>
      </c>
      <c r="Q1299" s="5" t="n">
        <v>2.5</v>
      </c>
      <c r="R1299" s="5" t="n">
        <v>3</v>
      </c>
      <c r="S1299" s="5" t="n">
        <v>5</v>
      </c>
      <c r="T1299" s="5" t="s">
        <v>1418</v>
      </c>
      <c r="U1299" s="6"/>
      <c r="V1299" s="6"/>
      <c r="W1299" s="6"/>
      <c r="X1299" s="6"/>
      <c r="Y1299" s="7" t="str">
        <f aca="false">IF(COUNT(U1299:X1299)=4,(W1299-X1299)/2,"")</f>
        <v/>
      </c>
      <c r="Z1299" s="7" t="str">
        <f aca="false">IF(COUNT(U1299:X1299)=4,(U1299-V1299)/2,"")</f>
        <v/>
      </c>
      <c r="AA1299" s="7" t="str">
        <f aca="false">IF(COUNT(U1299:X1299)=4,MAX(1,MIN(10,ROUNDUP(5-Z1299,0))),"")</f>
        <v/>
      </c>
      <c r="AB1299" s="7" t="str">
        <f aca="false">IF(COUNT(U1299:X1299)=4,MAX(1,MIN(10,ROUNDUP(Y1299+5,0))),"")</f>
        <v/>
      </c>
      <c r="AC1299" s="6"/>
      <c r="AD1299" s="6"/>
    </row>
    <row r="1300" customFormat="false" ht="15" hidden="false" customHeight="true" outlineLevel="0" collapsed="false">
      <c r="A1300" s="5" t="n">
        <v>1299</v>
      </c>
      <c r="B1300" s="5" t="s">
        <v>3256</v>
      </c>
      <c r="C1300" s="5" t="s">
        <v>108</v>
      </c>
      <c r="D1300" s="5" t="s">
        <v>109</v>
      </c>
      <c r="E1300" s="5" t="n">
        <v>83</v>
      </c>
      <c r="F1300" s="5" t="s">
        <v>3256</v>
      </c>
      <c r="G1300" s="5" t="n">
        <v>4</v>
      </c>
      <c r="H1300" s="5" t="s">
        <v>53</v>
      </c>
      <c r="I1300" s="5" t="s">
        <v>54</v>
      </c>
      <c r="J1300" s="5" t="s">
        <v>117</v>
      </c>
      <c r="K1300" s="5" t="s">
        <v>117</v>
      </c>
      <c r="L1300" s="5" t="n">
        <v>3</v>
      </c>
      <c r="M1300" s="5" t="n">
        <v>1</v>
      </c>
      <c r="N1300" s="5" t="n">
        <v>7</v>
      </c>
      <c r="O1300" s="5" t="n">
        <v>3</v>
      </c>
      <c r="P1300" s="5" t="n">
        <v>2</v>
      </c>
      <c r="Q1300" s="5" t="n">
        <v>1</v>
      </c>
      <c r="R1300" s="5" t="n">
        <v>4</v>
      </c>
      <c r="S1300" s="5" t="n">
        <v>7</v>
      </c>
      <c r="T1300" s="5" t="s">
        <v>3257</v>
      </c>
      <c r="U1300" s="6"/>
      <c r="V1300" s="6"/>
      <c r="W1300" s="6"/>
      <c r="X1300" s="6"/>
      <c r="Y1300" s="7" t="str">
        <f aca="false">IF(COUNT(U1300:X1300)=4,(W1300-X1300)/2,"")</f>
        <v/>
      </c>
      <c r="Z1300" s="7" t="str">
        <f aca="false">IF(COUNT(U1300:X1300)=4,(U1300-V1300)/2,"")</f>
        <v/>
      </c>
      <c r="AA1300" s="7" t="str">
        <f aca="false">IF(COUNT(U1300:X1300)=4,MAX(1,MIN(10,ROUNDUP(5-Z1300,0))),"")</f>
        <v/>
      </c>
      <c r="AB1300" s="7" t="str">
        <f aca="false">IF(COUNT(U1300:X1300)=4,MAX(1,MIN(10,ROUNDUP(Y1300+5,0))),"")</f>
        <v/>
      </c>
      <c r="AC1300" s="6"/>
      <c r="AD1300" s="6"/>
    </row>
    <row r="1301" customFormat="false" ht="15" hidden="false" customHeight="true" outlineLevel="0" collapsed="false">
      <c r="A1301" s="5" t="n">
        <v>1300</v>
      </c>
      <c r="B1301" s="5" t="s">
        <v>3258</v>
      </c>
      <c r="C1301" s="5" t="s">
        <v>171</v>
      </c>
      <c r="D1301" s="5" t="s">
        <v>172</v>
      </c>
      <c r="E1301" s="5" t="n">
        <v>83</v>
      </c>
      <c r="F1301" s="5" t="s">
        <v>3259</v>
      </c>
      <c r="G1301" s="5" t="n">
        <v>4</v>
      </c>
      <c r="H1301" s="5" t="s">
        <v>53</v>
      </c>
      <c r="I1301" s="5" t="s">
        <v>54</v>
      </c>
      <c r="J1301" s="5" t="s">
        <v>181</v>
      </c>
      <c r="K1301" s="5" t="s">
        <v>413</v>
      </c>
      <c r="L1301" s="5" t="n">
        <v>5</v>
      </c>
      <c r="M1301" s="5" t="n">
        <v>3</v>
      </c>
      <c r="N1301" s="5" t="n">
        <v>3</v>
      </c>
      <c r="O1301" s="5" t="n">
        <v>8</v>
      </c>
      <c r="P1301" s="5" t="n">
        <v>-2.5</v>
      </c>
      <c r="Q1301" s="5" t="n">
        <v>1</v>
      </c>
      <c r="R1301" s="5" t="n">
        <v>4</v>
      </c>
      <c r="S1301" s="5" t="n">
        <v>3</v>
      </c>
      <c r="T1301" s="5" t="s">
        <v>578</v>
      </c>
      <c r="U1301" s="6"/>
      <c r="V1301" s="6"/>
      <c r="W1301" s="6"/>
      <c r="X1301" s="6"/>
      <c r="Y1301" s="7" t="str">
        <f aca="false">IF(COUNT(U1301:X1301)=4,(W1301-X1301)/2,"")</f>
        <v/>
      </c>
      <c r="Z1301" s="7" t="str">
        <f aca="false">IF(COUNT(U1301:X1301)=4,(U1301-V1301)/2,"")</f>
        <v/>
      </c>
      <c r="AA1301" s="7" t="str">
        <f aca="false">IF(COUNT(U1301:X1301)=4,MAX(1,MIN(10,ROUNDUP(5-Z1301,0))),"")</f>
        <v/>
      </c>
      <c r="AB1301" s="7" t="str">
        <f aca="false">IF(COUNT(U1301:X1301)=4,MAX(1,MIN(10,ROUNDUP(Y1301+5,0))),"")</f>
        <v/>
      </c>
      <c r="AC1301" s="6"/>
      <c r="AD1301" s="6"/>
    </row>
    <row r="1302" customFormat="false" ht="15" hidden="false" customHeight="true" outlineLevel="0" collapsed="false">
      <c r="A1302" s="5" t="n">
        <v>1301</v>
      </c>
      <c r="B1302" s="5" t="s">
        <v>3260</v>
      </c>
      <c r="C1302" s="5" t="s">
        <v>171</v>
      </c>
      <c r="D1302" s="5" t="s">
        <v>172</v>
      </c>
      <c r="E1302" s="5" t="n">
        <v>83</v>
      </c>
      <c r="F1302" s="5" t="s">
        <v>3260</v>
      </c>
      <c r="G1302" s="5" t="n">
        <v>4</v>
      </c>
      <c r="H1302" s="5" t="s">
        <v>53</v>
      </c>
      <c r="I1302" s="5" t="s">
        <v>54</v>
      </c>
      <c r="J1302" s="5" t="s">
        <v>181</v>
      </c>
      <c r="K1302" s="5" t="s">
        <v>179</v>
      </c>
      <c r="L1302" s="5" t="n">
        <v>2</v>
      </c>
      <c r="M1302" s="5" t="n">
        <v>6</v>
      </c>
      <c r="N1302" s="5" t="n">
        <v>2</v>
      </c>
      <c r="O1302" s="5" t="n">
        <v>6</v>
      </c>
      <c r="P1302" s="5" t="n">
        <v>-2</v>
      </c>
      <c r="Q1302" s="5" t="n">
        <v>-2</v>
      </c>
      <c r="R1302" s="5" t="n">
        <v>7</v>
      </c>
      <c r="S1302" s="5" t="n">
        <v>3</v>
      </c>
      <c r="T1302" s="5" t="s">
        <v>294</v>
      </c>
      <c r="U1302" s="6"/>
      <c r="V1302" s="6"/>
      <c r="W1302" s="6"/>
      <c r="X1302" s="6"/>
      <c r="Y1302" s="7" t="str">
        <f aca="false">IF(COUNT(U1302:X1302)=4,(W1302-X1302)/2,"")</f>
        <v/>
      </c>
      <c r="Z1302" s="7" t="str">
        <f aca="false">IF(COUNT(U1302:X1302)=4,(U1302-V1302)/2,"")</f>
        <v/>
      </c>
      <c r="AA1302" s="7" t="str">
        <f aca="false">IF(COUNT(U1302:X1302)=4,MAX(1,MIN(10,ROUNDUP(5-Z1302,0))),"")</f>
        <v/>
      </c>
      <c r="AB1302" s="7" t="str">
        <f aca="false">IF(COUNT(U1302:X1302)=4,MAX(1,MIN(10,ROUNDUP(Y1302+5,0))),"")</f>
        <v/>
      </c>
      <c r="AC1302" s="6"/>
      <c r="AD1302" s="6"/>
    </row>
    <row r="1303" customFormat="false" ht="15" hidden="false" customHeight="true" outlineLevel="0" collapsed="false">
      <c r="A1303" s="5" t="n">
        <v>1302</v>
      </c>
      <c r="B1303" s="5" t="s">
        <v>3261</v>
      </c>
      <c r="C1303" s="5" t="s">
        <v>145</v>
      </c>
      <c r="D1303" s="5" t="s">
        <v>51</v>
      </c>
      <c r="E1303" s="5" t="n">
        <v>82</v>
      </c>
      <c r="F1303" s="5" t="s">
        <v>3262</v>
      </c>
      <c r="G1303" s="5" t="n">
        <v>4</v>
      </c>
      <c r="H1303" s="5" t="s">
        <v>53</v>
      </c>
      <c r="I1303" s="5" t="s">
        <v>54</v>
      </c>
      <c r="J1303" s="5" t="s">
        <v>181</v>
      </c>
      <c r="K1303" s="5" t="s">
        <v>413</v>
      </c>
      <c r="L1303" s="5" t="n">
        <v>5</v>
      </c>
      <c r="M1303" s="5" t="n">
        <v>3</v>
      </c>
      <c r="N1303" s="5" t="n">
        <v>3</v>
      </c>
      <c r="O1303" s="5" t="n">
        <v>8</v>
      </c>
      <c r="P1303" s="5" t="n">
        <v>-2.5</v>
      </c>
      <c r="Q1303" s="5" t="n">
        <v>1</v>
      </c>
      <c r="R1303" s="5" t="n">
        <v>4</v>
      </c>
      <c r="S1303" s="5" t="n">
        <v>3</v>
      </c>
      <c r="T1303" s="5" t="s">
        <v>685</v>
      </c>
      <c r="U1303" s="6"/>
      <c r="V1303" s="6"/>
      <c r="W1303" s="6"/>
      <c r="X1303" s="6"/>
      <c r="Y1303" s="7" t="str">
        <f aca="false">IF(COUNT(U1303:X1303)=4,(W1303-X1303)/2,"")</f>
        <v/>
      </c>
      <c r="Z1303" s="7" t="str">
        <f aca="false">IF(COUNT(U1303:X1303)=4,(U1303-V1303)/2,"")</f>
        <v/>
      </c>
      <c r="AA1303" s="7" t="str">
        <f aca="false">IF(COUNT(U1303:X1303)=4,MAX(1,MIN(10,ROUNDUP(5-Z1303,0))),"")</f>
        <v/>
      </c>
      <c r="AB1303" s="7" t="str">
        <f aca="false">IF(COUNT(U1303:X1303)=4,MAX(1,MIN(10,ROUNDUP(Y1303+5,0))),"")</f>
        <v/>
      </c>
      <c r="AC1303" s="6"/>
      <c r="AD1303" s="6"/>
    </row>
    <row r="1304" customFormat="false" ht="15" hidden="false" customHeight="true" outlineLevel="0" collapsed="false">
      <c r="A1304" s="5" t="n">
        <v>1303</v>
      </c>
      <c r="B1304" s="5" t="s">
        <v>3263</v>
      </c>
      <c r="C1304" s="5" t="s">
        <v>203</v>
      </c>
      <c r="D1304" s="5" t="s">
        <v>204</v>
      </c>
      <c r="E1304" s="5" t="n">
        <v>82</v>
      </c>
      <c r="F1304" s="5" t="s">
        <v>3264</v>
      </c>
      <c r="G1304" s="5" t="n">
        <v>4</v>
      </c>
      <c r="H1304" s="5" t="s">
        <v>53</v>
      </c>
      <c r="I1304" s="5" t="s">
        <v>54</v>
      </c>
      <c r="J1304" s="5" t="s">
        <v>117</v>
      </c>
      <c r="K1304" s="5" t="s">
        <v>117</v>
      </c>
      <c r="L1304" s="5" t="n">
        <v>3</v>
      </c>
      <c r="M1304" s="5" t="n">
        <v>1</v>
      </c>
      <c r="N1304" s="5" t="n">
        <v>1</v>
      </c>
      <c r="O1304" s="5" t="n">
        <v>9</v>
      </c>
      <c r="P1304" s="5" t="n">
        <v>-4</v>
      </c>
      <c r="Q1304" s="5" t="n">
        <v>1</v>
      </c>
      <c r="R1304" s="5" t="n">
        <v>4</v>
      </c>
      <c r="S1304" s="5" t="n">
        <v>1</v>
      </c>
      <c r="T1304" s="5" t="s">
        <v>3265</v>
      </c>
      <c r="U1304" s="6"/>
      <c r="V1304" s="6"/>
      <c r="W1304" s="6"/>
      <c r="X1304" s="6"/>
      <c r="Y1304" s="7" t="str">
        <f aca="false">IF(COUNT(U1304:X1304)=4,(W1304-X1304)/2,"")</f>
        <v/>
      </c>
      <c r="Z1304" s="7" t="str">
        <f aca="false">IF(COUNT(U1304:X1304)=4,(U1304-V1304)/2,"")</f>
        <v/>
      </c>
      <c r="AA1304" s="7" t="str">
        <f aca="false">IF(COUNT(U1304:X1304)=4,MAX(1,MIN(10,ROUNDUP(5-Z1304,0))),"")</f>
        <v/>
      </c>
      <c r="AB1304" s="7" t="str">
        <f aca="false">IF(COUNT(U1304:X1304)=4,MAX(1,MIN(10,ROUNDUP(Y1304+5,0))),"")</f>
        <v/>
      </c>
      <c r="AC1304" s="6"/>
      <c r="AD1304" s="6"/>
    </row>
    <row r="1305" customFormat="false" ht="15" hidden="false" customHeight="true" outlineLevel="0" collapsed="false">
      <c r="A1305" s="5" t="n">
        <v>1304</v>
      </c>
      <c r="B1305" s="5" t="s">
        <v>3266</v>
      </c>
      <c r="C1305" s="5" t="s">
        <v>171</v>
      </c>
      <c r="D1305" s="5" t="s">
        <v>172</v>
      </c>
      <c r="E1305" s="5" t="n">
        <v>82</v>
      </c>
      <c r="F1305" s="5" t="s">
        <v>3267</v>
      </c>
      <c r="G1305" s="5" t="n">
        <v>4</v>
      </c>
      <c r="H1305" s="5" t="s">
        <v>53</v>
      </c>
      <c r="I1305" s="5" t="s">
        <v>54</v>
      </c>
      <c r="J1305" s="5" t="s">
        <v>181</v>
      </c>
      <c r="K1305" s="5" t="s">
        <v>235</v>
      </c>
      <c r="L1305" s="5" t="n">
        <v>5</v>
      </c>
      <c r="M1305" s="5" t="n">
        <v>4</v>
      </c>
      <c r="N1305" s="5" t="n">
        <v>7</v>
      </c>
      <c r="O1305" s="5" t="n">
        <v>4</v>
      </c>
      <c r="P1305" s="5" t="n">
        <v>1.5</v>
      </c>
      <c r="Q1305" s="5" t="n">
        <v>0.5</v>
      </c>
      <c r="R1305" s="5" t="n">
        <v>5</v>
      </c>
      <c r="S1305" s="5" t="n">
        <v>7</v>
      </c>
      <c r="T1305" s="5" t="s">
        <v>945</v>
      </c>
      <c r="U1305" s="6"/>
      <c r="V1305" s="6"/>
      <c r="W1305" s="6"/>
      <c r="X1305" s="6"/>
      <c r="Y1305" s="7" t="str">
        <f aca="false">IF(COUNT(U1305:X1305)=4,(W1305-X1305)/2,"")</f>
        <v/>
      </c>
      <c r="Z1305" s="7" t="str">
        <f aca="false">IF(COUNT(U1305:X1305)=4,(U1305-V1305)/2,"")</f>
        <v/>
      </c>
      <c r="AA1305" s="7" t="str">
        <f aca="false">IF(COUNT(U1305:X1305)=4,MAX(1,MIN(10,ROUNDUP(5-Z1305,0))),"")</f>
        <v/>
      </c>
      <c r="AB1305" s="7" t="str">
        <f aca="false">IF(COUNT(U1305:X1305)=4,MAX(1,MIN(10,ROUNDUP(Y1305+5,0))),"")</f>
        <v/>
      </c>
      <c r="AC1305" s="6"/>
      <c r="AD1305" s="6"/>
    </row>
    <row r="1306" customFormat="false" ht="15" hidden="false" customHeight="true" outlineLevel="0" collapsed="false">
      <c r="A1306" s="5" t="n">
        <v>1305</v>
      </c>
      <c r="B1306" s="5" t="s">
        <v>3268</v>
      </c>
      <c r="C1306" s="5" t="s">
        <v>145</v>
      </c>
      <c r="D1306" s="5" t="s">
        <v>51</v>
      </c>
      <c r="E1306" s="5" t="n">
        <v>82</v>
      </c>
      <c r="F1306" s="5" t="s">
        <v>3269</v>
      </c>
      <c r="G1306" s="5" t="n">
        <v>4</v>
      </c>
      <c r="H1306" s="5" t="s">
        <v>53</v>
      </c>
      <c r="I1306" s="5" t="s">
        <v>54</v>
      </c>
      <c r="J1306" s="5" t="s">
        <v>55</v>
      </c>
      <c r="K1306" s="5" t="s">
        <v>55</v>
      </c>
      <c r="L1306" s="5" t="n">
        <v>5</v>
      </c>
      <c r="M1306" s="5" t="n">
        <v>2</v>
      </c>
      <c r="N1306" s="5" t="n">
        <v>5</v>
      </c>
      <c r="O1306" s="5" t="n">
        <v>8</v>
      </c>
      <c r="P1306" s="5" t="n">
        <v>-1.5</v>
      </c>
      <c r="Q1306" s="5" t="n">
        <v>1.5</v>
      </c>
      <c r="R1306" s="5" t="n">
        <v>4</v>
      </c>
      <c r="S1306" s="5" t="n">
        <v>4</v>
      </c>
      <c r="T1306" s="5" t="s">
        <v>3270</v>
      </c>
      <c r="U1306" s="6"/>
      <c r="V1306" s="6"/>
      <c r="W1306" s="6"/>
      <c r="X1306" s="6"/>
      <c r="Y1306" s="7" t="str">
        <f aca="false">IF(COUNT(U1306:X1306)=4,(W1306-X1306)/2,"")</f>
        <v/>
      </c>
      <c r="Z1306" s="7" t="str">
        <f aca="false">IF(COUNT(U1306:X1306)=4,(U1306-V1306)/2,"")</f>
        <v/>
      </c>
      <c r="AA1306" s="7" t="str">
        <f aca="false">IF(COUNT(U1306:X1306)=4,MAX(1,MIN(10,ROUNDUP(5-Z1306,0))),"")</f>
        <v/>
      </c>
      <c r="AB1306" s="7" t="str">
        <f aca="false">IF(COUNT(U1306:X1306)=4,MAX(1,MIN(10,ROUNDUP(Y1306+5,0))),"")</f>
        <v/>
      </c>
      <c r="AC1306" s="6"/>
      <c r="AD1306" s="6"/>
    </row>
    <row r="1307" customFormat="false" ht="15" hidden="false" customHeight="true" outlineLevel="0" collapsed="false">
      <c r="A1307" s="5" t="n">
        <v>1306</v>
      </c>
      <c r="B1307" s="5" t="s">
        <v>3271</v>
      </c>
      <c r="C1307" s="5" t="s">
        <v>203</v>
      </c>
      <c r="D1307" s="5" t="s">
        <v>204</v>
      </c>
      <c r="E1307" s="5" t="n">
        <v>82</v>
      </c>
      <c r="F1307" s="5" t="s">
        <v>3272</v>
      </c>
      <c r="G1307" s="5" t="n">
        <v>4</v>
      </c>
      <c r="H1307" s="5" t="s">
        <v>53</v>
      </c>
      <c r="I1307" s="5" t="s">
        <v>54</v>
      </c>
      <c r="J1307" s="5" t="s">
        <v>117</v>
      </c>
      <c r="K1307" s="5" t="s">
        <v>117</v>
      </c>
      <c r="L1307" s="5" t="n">
        <v>6</v>
      </c>
      <c r="M1307" s="5" t="n">
        <v>1</v>
      </c>
      <c r="N1307" s="5" t="n">
        <v>2</v>
      </c>
      <c r="O1307" s="5" t="n">
        <v>8</v>
      </c>
      <c r="P1307" s="5" t="n">
        <v>-3</v>
      </c>
      <c r="Q1307" s="5" t="n">
        <v>2.5</v>
      </c>
      <c r="R1307" s="5" t="n">
        <v>3</v>
      </c>
      <c r="S1307" s="5" t="n">
        <v>2</v>
      </c>
      <c r="T1307" s="5" t="s">
        <v>940</v>
      </c>
      <c r="U1307" s="6"/>
      <c r="V1307" s="6"/>
      <c r="W1307" s="6"/>
      <c r="X1307" s="6"/>
      <c r="Y1307" s="7" t="str">
        <f aca="false">IF(COUNT(U1307:X1307)=4,(W1307-X1307)/2,"")</f>
        <v/>
      </c>
      <c r="Z1307" s="7" t="str">
        <f aca="false">IF(COUNT(U1307:X1307)=4,(U1307-V1307)/2,"")</f>
        <v/>
      </c>
      <c r="AA1307" s="7" t="str">
        <f aca="false">IF(COUNT(U1307:X1307)=4,MAX(1,MIN(10,ROUNDUP(5-Z1307,0))),"")</f>
        <v/>
      </c>
      <c r="AB1307" s="7" t="str">
        <f aca="false">IF(COUNT(U1307:X1307)=4,MAX(1,MIN(10,ROUNDUP(Y1307+5,0))),"")</f>
        <v/>
      </c>
      <c r="AC1307" s="6"/>
      <c r="AD1307" s="6"/>
    </row>
    <row r="1308" customFormat="false" ht="15" hidden="false" customHeight="true" outlineLevel="0" collapsed="false">
      <c r="A1308" s="5" t="n">
        <v>1307</v>
      </c>
      <c r="B1308" s="5" t="s">
        <v>3273</v>
      </c>
      <c r="C1308" s="5" t="s">
        <v>203</v>
      </c>
      <c r="D1308" s="5" t="s">
        <v>204</v>
      </c>
      <c r="E1308" s="5" t="n">
        <v>82</v>
      </c>
      <c r="F1308" s="5" t="s">
        <v>3274</v>
      </c>
      <c r="G1308" s="5" t="n">
        <v>4</v>
      </c>
      <c r="H1308" s="5" t="s">
        <v>53</v>
      </c>
      <c r="I1308" s="5" t="s">
        <v>54</v>
      </c>
      <c r="J1308" s="5" t="s">
        <v>117</v>
      </c>
      <c r="K1308" s="5" t="s">
        <v>117</v>
      </c>
      <c r="L1308" s="5" t="n">
        <v>3</v>
      </c>
      <c r="M1308" s="5" t="n">
        <v>1</v>
      </c>
      <c r="N1308" s="5" t="n">
        <v>7</v>
      </c>
      <c r="O1308" s="5" t="n">
        <v>3</v>
      </c>
      <c r="P1308" s="5" t="n">
        <v>2</v>
      </c>
      <c r="Q1308" s="5" t="n">
        <v>1</v>
      </c>
      <c r="R1308" s="5" t="n">
        <v>4</v>
      </c>
      <c r="S1308" s="5" t="n">
        <v>7</v>
      </c>
      <c r="T1308" s="5" t="s">
        <v>3275</v>
      </c>
      <c r="U1308" s="6"/>
      <c r="V1308" s="6"/>
      <c r="W1308" s="6"/>
      <c r="X1308" s="6"/>
      <c r="Y1308" s="7" t="str">
        <f aca="false">IF(COUNT(U1308:X1308)=4,(W1308-X1308)/2,"")</f>
        <v/>
      </c>
      <c r="Z1308" s="7" t="str">
        <f aca="false">IF(COUNT(U1308:X1308)=4,(U1308-V1308)/2,"")</f>
        <v/>
      </c>
      <c r="AA1308" s="7" t="str">
        <f aca="false">IF(COUNT(U1308:X1308)=4,MAX(1,MIN(10,ROUNDUP(5-Z1308,0))),"")</f>
        <v/>
      </c>
      <c r="AB1308" s="7" t="str">
        <f aca="false">IF(COUNT(U1308:X1308)=4,MAX(1,MIN(10,ROUNDUP(Y1308+5,0))),"")</f>
        <v/>
      </c>
      <c r="AC1308" s="6"/>
      <c r="AD1308" s="6"/>
    </row>
    <row r="1309" customFormat="false" ht="15" hidden="false" customHeight="true" outlineLevel="0" collapsed="false">
      <c r="A1309" s="5" t="n">
        <v>1308</v>
      </c>
      <c r="B1309" s="5" t="s">
        <v>3276</v>
      </c>
      <c r="C1309" s="5" t="s">
        <v>203</v>
      </c>
      <c r="D1309" s="5" t="s">
        <v>204</v>
      </c>
      <c r="E1309" s="5" t="n">
        <v>82</v>
      </c>
      <c r="F1309" s="5" t="s">
        <v>3276</v>
      </c>
      <c r="G1309" s="5" t="n">
        <v>4</v>
      </c>
      <c r="H1309" s="5" t="s">
        <v>53</v>
      </c>
      <c r="I1309" s="5" t="s">
        <v>54</v>
      </c>
      <c r="J1309" s="5" t="s">
        <v>117</v>
      </c>
      <c r="K1309" s="5" t="s">
        <v>117</v>
      </c>
      <c r="L1309" s="5" t="n">
        <v>5</v>
      </c>
      <c r="M1309" s="5" t="n">
        <v>2</v>
      </c>
      <c r="N1309" s="5" t="n">
        <v>7</v>
      </c>
      <c r="O1309" s="5" t="n">
        <v>3</v>
      </c>
      <c r="P1309" s="5" t="n">
        <v>2</v>
      </c>
      <c r="Q1309" s="5" t="n">
        <v>1.5</v>
      </c>
      <c r="R1309" s="5" t="n">
        <v>4</v>
      </c>
      <c r="S1309" s="5" t="n">
        <v>7</v>
      </c>
      <c r="T1309" s="5" t="s">
        <v>2680</v>
      </c>
      <c r="U1309" s="6"/>
      <c r="V1309" s="6"/>
      <c r="W1309" s="6"/>
      <c r="X1309" s="6"/>
      <c r="Y1309" s="7" t="str">
        <f aca="false">IF(COUNT(U1309:X1309)=4,(W1309-X1309)/2,"")</f>
        <v/>
      </c>
      <c r="Z1309" s="7" t="str">
        <f aca="false">IF(COUNT(U1309:X1309)=4,(U1309-V1309)/2,"")</f>
        <v/>
      </c>
      <c r="AA1309" s="7" t="str">
        <f aca="false">IF(COUNT(U1309:X1309)=4,MAX(1,MIN(10,ROUNDUP(5-Z1309,0))),"")</f>
        <v/>
      </c>
      <c r="AB1309" s="7" t="str">
        <f aca="false">IF(COUNT(U1309:X1309)=4,MAX(1,MIN(10,ROUNDUP(Y1309+5,0))),"")</f>
        <v/>
      </c>
      <c r="AC1309" s="6"/>
      <c r="AD1309" s="6"/>
    </row>
    <row r="1310" customFormat="false" ht="15" hidden="false" customHeight="true" outlineLevel="0" collapsed="false">
      <c r="A1310" s="5" t="n">
        <v>1309</v>
      </c>
      <c r="B1310" s="5" t="s">
        <v>3277</v>
      </c>
      <c r="C1310" s="5" t="s">
        <v>145</v>
      </c>
      <c r="D1310" s="5" t="s">
        <v>51</v>
      </c>
      <c r="E1310" s="5" t="n">
        <v>82</v>
      </c>
      <c r="F1310" s="5" t="s">
        <v>3278</v>
      </c>
      <c r="G1310" s="5" t="n">
        <v>4</v>
      </c>
      <c r="H1310" s="5" t="s">
        <v>53</v>
      </c>
      <c r="I1310" s="5" t="s">
        <v>54</v>
      </c>
      <c r="J1310" s="5" t="s">
        <v>55</v>
      </c>
      <c r="K1310" s="5" t="s">
        <v>55</v>
      </c>
      <c r="L1310" s="5" t="n">
        <v>5</v>
      </c>
      <c r="M1310" s="5" t="n">
        <v>2</v>
      </c>
      <c r="N1310" s="5" t="n">
        <v>3</v>
      </c>
      <c r="O1310" s="5" t="n">
        <v>8</v>
      </c>
      <c r="P1310" s="5" t="n">
        <v>-2.5</v>
      </c>
      <c r="Q1310" s="5" t="n">
        <v>1.5</v>
      </c>
      <c r="R1310" s="5" t="n">
        <v>4</v>
      </c>
      <c r="S1310" s="5" t="n">
        <v>3</v>
      </c>
      <c r="T1310" s="5" t="s">
        <v>2506</v>
      </c>
      <c r="U1310" s="6"/>
      <c r="V1310" s="6"/>
      <c r="W1310" s="6"/>
      <c r="X1310" s="6"/>
      <c r="Y1310" s="7" t="str">
        <f aca="false">IF(COUNT(U1310:X1310)=4,(W1310-X1310)/2,"")</f>
        <v/>
      </c>
      <c r="Z1310" s="7" t="str">
        <f aca="false">IF(COUNT(U1310:X1310)=4,(U1310-V1310)/2,"")</f>
        <v/>
      </c>
      <c r="AA1310" s="7" t="str">
        <f aca="false">IF(COUNT(U1310:X1310)=4,MAX(1,MIN(10,ROUNDUP(5-Z1310,0))),"")</f>
        <v/>
      </c>
      <c r="AB1310" s="7" t="str">
        <f aca="false">IF(COUNT(U1310:X1310)=4,MAX(1,MIN(10,ROUNDUP(Y1310+5,0))),"")</f>
        <v/>
      </c>
      <c r="AC1310" s="6"/>
      <c r="AD1310" s="6"/>
    </row>
    <row r="1311" customFormat="false" ht="15" hidden="false" customHeight="true" outlineLevel="0" collapsed="false">
      <c r="A1311" s="5" t="n">
        <v>1310</v>
      </c>
      <c r="B1311" s="5" t="s">
        <v>3279</v>
      </c>
      <c r="C1311" s="5" t="s">
        <v>203</v>
      </c>
      <c r="D1311" s="5" t="s">
        <v>204</v>
      </c>
      <c r="E1311" s="5" t="n">
        <v>82</v>
      </c>
      <c r="F1311" s="5" t="s">
        <v>3279</v>
      </c>
      <c r="G1311" s="5" t="n">
        <v>4</v>
      </c>
      <c r="H1311" s="5" t="s">
        <v>53</v>
      </c>
      <c r="I1311" s="5" t="s">
        <v>54</v>
      </c>
      <c r="J1311" s="5" t="s">
        <v>117</v>
      </c>
      <c r="K1311" s="5" t="s">
        <v>117</v>
      </c>
      <c r="L1311" s="5" t="n">
        <v>5</v>
      </c>
      <c r="M1311" s="5" t="n">
        <v>1</v>
      </c>
      <c r="N1311" s="5" t="n">
        <v>1</v>
      </c>
      <c r="O1311" s="5" t="n">
        <v>9</v>
      </c>
      <c r="P1311" s="5" t="n">
        <v>-4</v>
      </c>
      <c r="Q1311" s="5" t="n">
        <v>2</v>
      </c>
      <c r="R1311" s="5" t="n">
        <v>3</v>
      </c>
      <c r="S1311" s="5" t="n">
        <v>1</v>
      </c>
      <c r="T1311" s="5" t="s">
        <v>3280</v>
      </c>
      <c r="U1311" s="6"/>
      <c r="V1311" s="6"/>
      <c r="W1311" s="6"/>
      <c r="X1311" s="6"/>
      <c r="Y1311" s="7" t="str">
        <f aca="false">IF(COUNT(U1311:X1311)=4,(W1311-X1311)/2,"")</f>
        <v/>
      </c>
      <c r="Z1311" s="7" t="str">
        <f aca="false">IF(COUNT(U1311:X1311)=4,(U1311-V1311)/2,"")</f>
        <v/>
      </c>
      <c r="AA1311" s="7" t="str">
        <f aca="false">IF(COUNT(U1311:X1311)=4,MAX(1,MIN(10,ROUNDUP(5-Z1311,0))),"")</f>
        <v/>
      </c>
      <c r="AB1311" s="7" t="str">
        <f aca="false">IF(COUNT(U1311:X1311)=4,MAX(1,MIN(10,ROUNDUP(Y1311+5,0))),"")</f>
        <v/>
      </c>
      <c r="AC1311" s="6"/>
      <c r="AD1311" s="6"/>
    </row>
    <row r="1312" customFormat="false" ht="15" hidden="false" customHeight="true" outlineLevel="0" collapsed="false">
      <c r="A1312" s="5" t="n">
        <v>1311</v>
      </c>
      <c r="B1312" s="5" t="s">
        <v>3281</v>
      </c>
      <c r="C1312" s="5" t="s">
        <v>171</v>
      </c>
      <c r="D1312" s="5" t="s">
        <v>172</v>
      </c>
      <c r="E1312" s="5" t="n">
        <v>82</v>
      </c>
      <c r="F1312" s="5" t="s">
        <v>3282</v>
      </c>
      <c r="G1312" s="5" t="n">
        <v>4</v>
      </c>
      <c r="H1312" s="5" t="s">
        <v>53</v>
      </c>
      <c r="I1312" s="5" t="s">
        <v>54</v>
      </c>
      <c r="J1312" s="5" t="s">
        <v>181</v>
      </c>
      <c r="K1312" s="5" t="s">
        <v>333</v>
      </c>
      <c r="L1312" s="5" t="n">
        <v>2</v>
      </c>
      <c r="M1312" s="5" t="n">
        <v>4</v>
      </c>
      <c r="N1312" s="5" t="n">
        <v>8</v>
      </c>
      <c r="O1312" s="5" t="n">
        <v>2</v>
      </c>
      <c r="P1312" s="5" t="n">
        <v>3</v>
      </c>
      <c r="Q1312" s="5" t="n">
        <v>-1</v>
      </c>
      <c r="R1312" s="5" t="n">
        <v>6</v>
      </c>
      <c r="S1312" s="5" t="n">
        <v>8</v>
      </c>
      <c r="T1312" s="5" t="s">
        <v>3283</v>
      </c>
      <c r="U1312" s="6"/>
      <c r="V1312" s="6"/>
      <c r="W1312" s="6"/>
      <c r="X1312" s="6"/>
      <c r="Y1312" s="7" t="str">
        <f aca="false">IF(COUNT(U1312:X1312)=4,(W1312-X1312)/2,"")</f>
        <v/>
      </c>
      <c r="Z1312" s="7" t="str">
        <f aca="false">IF(COUNT(U1312:X1312)=4,(U1312-V1312)/2,"")</f>
        <v/>
      </c>
      <c r="AA1312" s="7" t="str">
        <f aca="false">IF(COUNT(U1312:X1312)=4,MAX(1,MIN(10,ROUNDUP(5-Z1312,0))),"")</f>
        <v/>
      </c>
      <c r="AB1312" s="7" t="str">
        <f aca="false">IF(COUNT(U1312:X1312)=4,MAX(1,MIN(10,ROUNDUP(Y1312+5,0))),"")</f>
        <v/>
      </c>
      <c r="AC1312" s="6"/>
      <c r="AD1312" s="6"/>
    </row>
    <row r="1313" customFormat="false" ht="15" hidden="false" customHeight="true" outlineLevel="0" collapsed="false">
      <c r="A1313" s="5" t="n">
        <v>1312</v>
      </c>
      <c r="B1313" s="5" t="s">
        <v>3284</v>
      </c>
      <c r="C1313" s="5" t="s">
        <v>171</v>
      </c>
      <c r="D1313" s="5" t="s">
        <v>172</v>
      </c>
      <c r="E1313" s="5" t="n">
        <v>82</v>
      </c>
      <c r="F1313" s="5" t="s">
        <v>3285</v>
      </c>
      <c r="G1313" s="5" t="n">
        <v>4</v>
      </c>
      <c r="H1313" s="5" t="s">
        <v>53</v>
      </c>
      <c r="I1313" s="5" t="s">
        <v>54</v>
      </c>
      <c r="J1313" s="5" t="s">
        <v>181</v>
      </c>
      <c r="K1313" s="5" t="s">
        <v>673</v>
      </c>
      <c r="L1313" s="5" t="n">
        <v>4</v>
      </c>
      <c r="M1313" s="5" t="n">
        <v>4</v>
      </c>
      <c r="N1313" s="5" t="n">
        <v>5</v>
      </c>
      <c r="O1313" s="5" t="n">
        <v>6</v>
      </c>
      <c r="P1313" s="5" t="n">
        <v>-0.5</v>
      </c>
      <c r="Q1313" s="5" t="n">
        <v>0</v>
      </c>
      <c r="R1313" s="5" t="n">
        <v>5</v>
      </c>
      <c r="S1313" s="5" t="n">
        <v>5</v>
      </c>
      <c r="T1313" s="5" t="s">
        <v>1010</v>
      </c>
      <c r="U1313" s="6"/>
      <c r="V1313" s="6"/>
      <c r="W1313" s="6"/>
      <c r="X1313" s="6"/>
      <c r="Y1313" s="7" t="str">
        <f aca="false">IF(COUNT(U1313:X1313)=4,(W1313-X1313)/2,"")</f>
        <v/>
      </c>
      <c r="Z1313" s="7" t="str">
        <f aca="false">IF(COUNT(U1313:X1313)=4,(U1313-V1313)/2,"")</f>
        <v/>
      </c>
      <c r="AA1313" s="7" t="str">
        <f aca="false">IF(COUNT(U1313:X1313)=4,MAX(1,MIN(10,ROUNDUP(5-Z1313,0))),"")</f>
        <v/>
      </c>
      <c r="AB1313" s="7" t="str">
        <f aca="false">IF(COUNT(U1313:X1313)=4,MAX(1,MIN(10,ROUNDUP(Y1313+5,0))),"")</f>
        <v/>
      </c>
      <c r="AC1313" s="6"/>
      <c r="AD1313" s="6"/>
    </row>
    <row r="1314" customFormat="false" ht="15" hidden="false" customHeight="true" outlineLevel="0" collapsed="false">
      <c r="A1314" s="5" t="n">
        <v>1313</v>
      </c>
      <c r="B1314" s="5" t="s">
        <v>3286</v>
      </c>
      <c r="C1314" s="5" t="s">
        <v>145</v>
      </c>
      <c r="D1314" s="5" t="s">
        <v>51</v>
      </c>
      <c r="E1314" s="5" t="n">
        <v>82</v>
      </c>
      <c r="F1314" s="5" t="s">
        <v>3287</v>
      </c>
      <c r="G1314" s="5" t="n">
        <v>4</v>
      </c>
      <c r="H1314" s="5" t="s">
        <v>53</v>
      </c>
      <c r="I1314" s="5" t="s">
        <v>54</v>
      </c>
      <c r="J1314" s="5" t="s">
        <v>55</v>
      </c>
      <c r="K1314" s="5" t="s">
        <v>55</v>
      </c>
      <c r="L1314" s="5" t="n">
        <v>6</v>
      </c>
      <c r="M1314" s="5" t="n">
        <v>2</v>
      </c>
      <c r="N1314" s="5" t="n">
        <v>3</v>
      </c>
      <c r="O1314" s="5" t="n">
        <v>8</v>
      </c>
      <c r="P1314" s="5" t="n">
        <v>-2.5</v>
      </c>
      <c r="Q1314" s="5" t="n">
        <v>2</v>
      </c>
      <c r="R1314" s="5" t="n">
        <v>3</v>
      </c>
      <c r="S1314" s="5" t="n">
        <v>3</v>
      </c>
      <c r="T1314" s="5" t="s">
        <v>3288</v>
      </c>
      <c r="U1314" s="6"/>
      <c r="V1314" s="6"/>
      <c r="W1314" s="6"/>
      <c r="X1314" s="6"/>
      <c r="Y1314" s="7" t="str">
        <f aca="false">IF(COUNT(U1314:X1314)=4,(W1314-X1314)/2,"")</f>
        <v/>
      </c>
      <c r="Z1314" s="7" t="str">
        <f aca="false">IF(COUNT(U1314:X1314)=4,(U1314-V1314)/2,"")</f>
        <v/>
      </c>
      <c r="AA1314" s="7" t="str">
        <f aca="false">IF(COUNT(U1314:X1314)=4,MAX(1,MIN(10,ROUNDUP(5-Z1314,0))),"")</f>
        <v/>
      </c>
      <c r="AB1314" s="7" t="str">
        <f aca="false">IF(COUNT(U1314:X1314)=4,MAX(1,MIN(10,ROUNDUP(Y1314+5,0))),"")</f>
        <v/>
      </c>
      <c r="AC1314" s="6"/>
      <c r="AD1314" s="6"/>
    </row>
    <row r="1315" customFormat="false" ht="15" hidden="false" customHeight="true" outlineLevel="0" collapsed="false">
      <c r="A1315" s="5" t="n">
        <v>1314</v>
      </c>
      <c r="B1315" s="5" t="s">
        <v>3289</v>
      </c>
      <c r="C1315" s="5" t="s">
        <v>171</v>
      </c>
      <c r="D1315" s="5" t="s">
        <v>172</v>
      </c>
      <c r="E1315" s="5" t="n">
        <v>82</v>
      </c>
      <c r="F1315" s="5" t="s">
        <v>3290</v>
      </c>
      <c r="G1315" s="5" t="n">
        <v>4</v>
      </c>
      <c r="H1315" s="5" t="s">
        <v>53</v>
      </c>
      <c r="I1315" s="5" t="s">
        <v>54</v>
      </c>
      <c r="J1315" s="5" t="s">
        <v>181</v>
      </c>
      <c r="K1315" s="5" t="s">
        <v>333</v>
      </c>
      <c r="L1315" s="5" t="n">
        <v>2</v>
      </c>
      <c r="M1315" s="5" t="n">
        <v>4</v>
      </c>
      <c r="N1315" s="5" t="n">
        <v>8</v>
      </c>
      <c r="O1315" s="5" t="n">
        <v>2</v>
      </c>
      <c r="P1315" s="5" t="n">
        <v>3</v>
      </c>
      <c r="Q1315" s="5" t="n">
        <v>-1</v>
      </c>
      <c r="R1315" s="5" t="n">
        <v>6</v>
      </c>
      <c r="S1315" s="5" t="n">
        <v>8</v>
      </c>
      <c r="T1315" s="5" t="s">
        <v>3291</v>
      </c>
      <c r="U1315" s="6"/>
      <c r="V1315" s="6"/>
      <c r="W1315" s="6"/>
      <c r="X1315" s="6"/>
      <c r="Y1315" s="7" t="str">
        <f aca="false">IF(COUNT(U1315:X1315)=4,(W1315-X1315)/2,"")</f>
        <v/>
      </c>
      <c r="Z1315" s="7" t="str">
        <f aca="false">IF(COUNT(U1315:X1315)=4,(U1315-V1315)/2,"")</f>
        <v/>
      </c>
      <c r="AA1315" s="7" t="str">
        <f aca="false">IF(COUNT(U1315:X1315)=4,MAX(1,MIN(10,ROUNDUP(5-Z1315,0))),"")</f>
        <v/>
      </c>
      <c r="AB1315" s="7" t="str">
        <f aca="false">IF(COUNT(U1315:X1315)=4,MAX(1,MIN(10,ROUNDUP(Y1315+5,0))),"")</f>
        <v/>
      </c>
      <c r="AC1315" s="6"/>
      <c r="AD1315" s="6"/>
    </row>
    <row r="1316" customFormat="false" ht="15" hidden="false" customHeight="true" outlineLevel="0" collapsed="false">
      <c r="A1316" s="5" t="n">
        <v>1315</v>
      </c>
      <c r="B1316" s="5" t="s">
        <v>3292</v>
      </c>
      <c r="C1316" s="5" t="s">
        <v>145</v>
      </c>
      <c r="D1316" s="5" t="s">
        <v>51</v>
      </c>
      <c r="E1316" s="5" t="n">
        <v>82</v>
      </c>
      <c r="F1316" s="5" t="s">
        <v>3293</v>
      </c>
      <c r="G1316" s="5" t="n">
        <v>4</v>
      </c>
      <c r="H1316" s="5" t="s">
        <v>53</v>
      </c>
      <c r="I1316" s="5" t="s">
        <v>54</v>
      </c>
      <c r="J1316" s="5" t="s">
        <v>55</v>
      </c>
      <c r="K1316" s="5" t="s">
        <v>55</v>
      </c>
      <c r="L1316" s="5" t="n">
        <v>5</v>
      </c>
      <c r="M1316" s="5" t="n">
        <v>3</v>
      </c>
      <c r="N1316" s="5" t="n">
        <v>4</v>
      </c>
      <c r="O1316" s="5" t="n">
        <v>8</v>
      </c>
      <c r="P1316" s="5" t="n">
        <v>-2</v>
      </c>
      <c r="Q1316" s="5" t="n">
        <v>1</v>
      </c>
      <c r="R1316" s="5" t="n">
        <v>4</v>
      </c>
      <c r="S1316" s="5" t="n">
        <v>3</v>
      </c>
      <c r="T1316" s="5" t="s">
        <v>3294</v>
      </c>
      <c r="U1316" s="6"/>
      <c r="V1316" s="6"/>
      <c r="W1316" s="6"/>
      <c r="X1316" s="6"/>
      <c r="Y1316" s="7" t="str">
        <f aca="false">IF(COUNT(U1316:X1316)=4,(W1316-X1316)/2,"")</f>
        <v/>
      </c>
      <c r="Z1316" s="7" t="str">
        <f aca="false">IF(COUNT(U1316:X1316)=4,(U1316-V1316)/2,"")</f>
        <v/>
      </c>
      <c r="AA1316" s="7" t="str">
        <f aca="false">IF(COUNT(U1316:X1316)=4,MAX(1,MIN(10,ROUNDUP(5-Z1316,0))),"")</f>
        <v/>
      </c>
      <c r="AB1316" s="7" t="str">
        <f aca="false">IF(COUNT(U1316:X1316)=4,MAX(1,MIN(10,ROUNDUP(Y1316+5,0))),"")</f>
        <v/>
      </c>
      <c r="AC1316" s="6"/>
      <c r="AD1316" s="6"/>
    </row>
    <row r="1317" customFormat="false" ht="15" hidden="false" customHeight="true" outlineLevel="0" collapsed="false">
      <c r="A1317" s="5" t="n">
        <v>1316</v>
      </c>
      <c r="B1317" s="5" t="s">
        <v>3295</v>
      </c>
      <c r="C1317" s="5" t="s">
        <v>171</v>
      </c>
      <c r="D1317" s="5" t="s">
        <v>172</v>
      </c>
      <c r="E1317" s="5" t="n">
        <v>82</v>
      </c>
      <c r="F1317" s="5" t="s">
        <v>3296</v>
      </c>
      <c r="G1317" s="5" t="n">
        <v>4</v>
      </c>
      <c r="H1317" s="5" t="s">
        <v>53</v>
      </c>
      <c r="I1317" s="5" t="s">
        <v>54</v>
      </c>
      <c r="J1317" s="5" t="s">
        <v>181</v>
      </c>
      <c r="K1317" s="5" t="s">
        <v>443</v>
      </c>
      <c r="L1317" s="5" t="n">
        <v>5</v>
      </c>
      <c r="M1317" s="5" t="n">
        <v>3</v>
      </c>
      <c r="N1317" s="5" t="n">
        <v>4</v>
      </c>
      <c r="O1317" s="5" t="n">
        <v>8</v>
      </c>
      <c r="P1317" s="5" t="n">
        <v>-2</v>
      </c>
      <c r="Q1317" s="5" t="n">
        <v>1</v>
      </c>
      <c r="R1317" s="5" t="n">
        <v>4</v>
      </c>
      <c r="S1317" s="5" t="n">
        <v>3</v>
      </c>
      <c r="T1317" s="5" t="s">
        <v>3297</v>
      </c>
      <c r="U1317" s="6"/>
      <c r="V1317" s="6"/>
      <c r="W1317" s="6"/>
      <c r="X1317" s="6"/>
      <c r="Y1317" s="7" t="str">
        <f aca="false">IF(COUNT(U1317:X1317)=4,(W1317-X1317)/2,"")</f>
        <v/>
      </c>
      <c r="Z1317" s="7" t="str">
        <f aca="false">IF(COUNT(U1317:X1317)=4,(U1317-V1317)/2,"")</f>
        <v/>
      </c>
      <c r="AA1317" s="7" t="str">
        <f aca="false">IF(COUNT(U1317:X1317)=4,MAX(1,MIN(10,ROUNDUP(5-Z1317,0))),"")</f>
        <v/>
      </c>
      <c r="AB1317" s="7" t="str">
        <f aca="false">IF(COUNT(U1317:X1317)=4,MAX(1,MIN(10,ROUNDUP(Y1317+5,0))),"")</f>
        <v/>
      </c>
      <c r="AC1317" s="6"/>
      <c r="AD1317" s="6"/>
    </row>
    <row r="1318" customFormat="false" ht="15" hidden="false" customHeight="true" outlineLevel="0" collapsed="false">
      <c r="A1318" s="5" t="n">
        <v>1317</v>
      </c>
      <c r="B1318" s="5" t="s">
        <v>3298</v>
      </c>
      <c r="C1318" s="5" t="s">
        <v>171</v>
      </c>
      <c r="D1318" s="5" t="s">
        <v>172</v>
      </c>
      <c r="E1318" s="5" t="n">
        <v>82</v>
      </c>
      <c r="F1318" s="5" t="s">
        <v>3299</v>
      </c>
      <c r="G1318" s="5" t="n">
        <v>4</v>
      </c>
      <c r="H1318" s="5" t="s">
        <v>53</v>
      </c>
      <c r="I1318" s="5" t="s">
        <v>54</v>
      </c>
      <c r="J1318" s="5" t="s">
        <v>181</v>
      </c>
      <c r="K1318" s="5" t="s">
        <v>413</v>
      </c>
      <c r="L1318" s="5" t="n">
        <v>7</v>
      </c>
      <c r="M1318" s="5" t="n">
        <v>3</v>
      </c>
      <c r="N1318" s="5" t="n">
        <v>3</v>
      </c>
      <c r="O1318" s="5" t="n">
        <v>8</v>
      </c>
      <c r="P1318" s="5" t="n">
        <v>-2.5</v>
      </c>
      <c r="Q1318" s="5" t="n">
        <v>2</v>
      </c>
      <c r="R1318" s="5" t="n">
        <v>3</v>
      </c>
      <c r="S1318" s="5" t="n">
        <v>3</v>
      </c>
      <c r="T1318" s="5" t="s">
        <v>1190</v>
      </c>
      <c r="U1318" s="6"/>
      <c r="V1318" s="6"/>
      <c r="W1318" s="6"/>
      <c r="X1318" s="6"/>
      <c r="Y1318" s="7" t="str">
        <f aca="false">IF(COUNT(U1318:X1318)=4,(W1318-X1318)/2,"")</f>
        <v/>
      </c>
      <c r="Z1318" s="7" t="str">
        <f aca="false">IF(COUNT(U1318:X1318)=4,(U1318-V1318)/2,"")</f>
        <v/>
      </c>
      <c r="AA1318" s="7" t="str">
        <f aca="false">IF(COUNT(U1318:X1318)=4,MAX(1,MIN(10,ROUNDUP(5-Z1318,0))),"")</f>
        <v/>
      </c>
      <c r="AB1318" s="7" t="str">
        <f aca="false">IF(COUNT(U1318:X1318)=4,MAX(1,MIN(10,ROUNDUP(Y1318+5,0))),"")</f>
        <v/>
      </c>
      <c r="AC1318" s="6"/>
      <c r="AD1318" s="6"/>
    </row>
    <row r="1319" customFormat="false" ht="15" hidden="false" customHeight="true" outlineLevel="0" collapsed="false">
      <c r="A1319" s="5" t="n">
        <v>1318</v>
      </c>
      <c r="B1319" s="5" t="s">
        <v>3300</v>
      </c>
      <c r="C1319" s="5" t="s">
        <v>58</v>
      </c>
      <c r="D1319" s="5" t="s">
        <v>59</v>
      </c>
      <c r="E1319" s="5" t="n">
        <v>78</v>
      </c>
      <c r="F1319" s="5" t="s">
        <v>3300</v>
      </c>
      <c r="G1319" s="5" t="n">
        <v>1</v>
      </c>
      <c r="H1319" s="5" t="s">
        <v>47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 t="s">
        <v>3301</v>
      </c>
      <c r="U1319" s="6"/>
      <c r="V1319" s="6"/>
      <c r="W1319" s="6"/>
      <c r="X1319" s="6"/>
      <c r="Y1319" s="7" t="str">
        <f aca="false">IF(COUNT(U1319:X1319)=4,(W1319-X1319)/2,"")</f>
        <v/>
      </c>
      <c r="Z1319" s="7" t="str">
        <f aca="false">IF(COUNT(U1319:X1319)=4,(U1319-V1319)/2,"")</f>
        <v/>
      </c>
      <c r="AA1319" s="7" t="str">
        <f aca="false">IF(COUNT(U1319:X1319)=4,MAX(1,MIN(10,ROUNDUP(5-Z1319,0))),"")</f>
        <v/>
      </c>
      <c r="AB1319" s="7" t="str">
        <f aca="false">IF(COUNT(U1319:X1319)=4,MAX(1,MIN(10,ROUNDUP(Y1319+5,0))),"")</f>
        <v/>
      </c>
      <c r="AC1319" s="6"/>
      <c r="AD1319" s="6"/>
    </row>
    <row r="1320" customFormat="false" ht="15" hidden="false" customHeight="true" outlineLevel="0" collapsed="false">
      <c r="A1320" s="5" t="n">
        <v>1319</v>
      </c>
      <c r="B1320" s="5" t="s">
        <v>3302</v>
      </c>
      <c r="C1320" s="5" t="s">
        <v>62</v>
      </c>
      <c r="D1320" s="5" t="s">
        <v>63</v>
      </c>
      <c r="E1320" s="5" t="n">
        <v>72</v>
      </c>
      <c r="F1320" s="5" t="s">
        <v>3302</v>
      </c>
      <c r="G1320" s="5" t="n">
        <v>3</v>
      </c>
      <c r="H1320" s="5" t="s">
        <v>53</v>
      </c>
      <c r="I1320" s="5" t="s">
        <v>64</v>
      </c>
      <c r="J1320" s="5"/>
      <c r="K1320" s="5"/>
      <c r="L1320" s="5" t="n">
        <v>3</v>
      </c>
      <c r="M1320" s="5" t="n">
        <v>1</v>
      </c>
      <c r="N1320" s="5" t="n">
        <v>2</v>
      </c>
      <c r="O1320" s="5" t="n">
        <v>8</v>
      </c>
      <c r="P1320" s="5" t="n">
        <v>-3</v>
      </c>
      <c r="Q1320" s="5" t="n">
        <v>1</v>
      </c>
      <c r="R1320" s="5" t="n">
        <v>4</v>
      </c>
      <c r="S1320" s="5" t="n">
        <v>2</v>
      </c>
      <c r="T1320" s="5" t="s">
        <v>3303</v>
      </c>
      <c r="U1320" s="6"/>
      <c r="V1320" s="6"/>
      <c r="W1320" s="6"/>
      <c r="X1320" s="6"/>
      <c r="Y1320" s="7" t="str">
        <f aca="false">IF(COUNT(U1320:X1320)=4,(W1320-X1320)/2,"")</f>
        <v/>
      </c>
      <c r="Z1320" s="7" t="str">
        <f aca="false">IF(COUNT(U1320:X1320)=4,(U1320-V1320)/2,"")</f>
        <v/>
      </c>
      <c r="AA1320" s="7" t="str">
        <f aca="false">IF(COUNT(U1320:X1320)=4,MAX(1,MIN(10,ROUNDUP(5-Z1320,0))),"")</f>
        <v/>
      </c>
      <c r="AB1320" s="7" t="str">
        <f aca="false">IF(COUNT(U1320:X1320)=4,MAX(1,MIN(10,ROUNDUP(Y1320+5,0))),"")</f>
        <v/>
      </c>
      <c r="AC1320" s="6"/>
      <c r="AD1320" s="6"/>
    </row>
    <row r="1321" customFormat="false" ht="15" hidden="false" customHeight="true" outlineLevel="0" collapsed="false">
      <c r="A1321" s="5" t="n">
        <v>1320</v>
      </c>
      <c r="B1321" s="5" t="s">
        <v>3304</v>
      </c>
      <c r="C1321" s="5" t="s">
        <v>79</v>
      </c>
      <c r="D1321" s="5" t="s">
        <v>80</v>
      </c>
      <c r="E1321" s="5" t="n">
        <v>67</v>
      </c>
      <c r="F1321" s="5" t="s">
        <v>3304</v>
      </c>
      <c r="G1321" s="5" t="n">
        <v>3</v>
      </c>
      <c r="H1321" s="5" t="s">
        <v>53</v>
      </c>
      <c r="I1321" s="5" t="s">
        <v>81</v>
      </c>
      <c r="J1321" s="5" t="s">
        <v>79</v>
      </c>
      <c r="K1321" s="5" t="s">
        <v>137</v>
      </c>
      <c r="L1321" s="5" t="n">
        <v>6</v>
      </c>
      <c r="M1321" s="5" t="n">
        <v>2</v>
      </c>
      <c r="N1321" s="5" t="n">
        <v>0</v>
      </c>
      <c r="O1321" s="5" t="n">
        <v>10</v>
      </c>
      <c r="P1321" s="5" t="n">
        <v>-5</v>
      </c>
      <c r="Q1321" s="5" t="n">
        <v>2</v>
      </c>
      <c r="R1321" s="5" t="n">
        <v>3</v>
      </c>
      <c r="S1321" s="5" t="n">
        <v>1</v>
      </c>
      <c r="T1321" s="5" t="s">
        <v>3305</v>
      </c>
      <c r="U1321" s="6"/>
      <c r="V1321" s="6"/>
      <c r="W1321" s="6"/>
      <c r="X1321" s="6"/>
      <c r="Y1321" s="7" t="str">
        <f aca="false">IF(COUNT(U1321:X1321)=4,(W1321-X1321)/2,"")</f>
        <v/>
      </c>
      <c r="Z1321" s="7" t="str">
        <f aca="false">IF(COUNT(U1321:X1321)=4,(U1321-V1321)/2,"")</f>
        <v/>
      </c>
      <c r="AA1321" s="7" t="str">
        <f aca="false">IF(COUNT(U1321:X1321)=4,MAX(1,MIN(10,ROUNDUP(5-Z1321,0))),"")</f>
        <v/>
      </c>
      <c r="AB1321" s="7" t="str">
        <f aca="false">IF(COUNT(U1321:X1321)=4,MAX(1,MIN(10,ROUNDUP(Y1321+5,0))),"")</f>
        <v/>
      </c>
      <c r="AC1321" s="6"/>
      <c r="AD1321" s="6"/>
    </row>
    <row r="1322" customFormat="false" ht="15" hidden="false" customHeight="true" outlineLevel="0" collapsed="false">
      <c r="A1322" s="5" t="n">
        <v>1321</v>
      </c>
      <c r="B1322" s="5" t="s">
        <v>3306</v>
      </c>
      <c r="C1322" s="5" t="s">
        <v>79</v>
      </c>
      <c r="D1322" s="5" t="s">
        <v>80</v>
      </c>
      <c r="E1322" s="5" t="n">
        <v>66</v>
      </c>
      <c r="F1322" s="5" t="s">
        <v>3306</v>
      </c>
      <c r="G1322" s="5" t="n">
        <v>3</v>
      </c>
      <c r="H1322" s="5" t="s">
        <v>53</v>
      </c>
      <c r="I1322" s="5" t="s">
        <v>81</v>
      </c>
      <c r="J1322" s="5" t="s">
        <v>79</v>
      </c>
      <c r="K1322" s="5" t="s">
        <v>152</v>
      </c>
      <c r="L1322" s="5" t="n">
        <v>10</v>
      </c>
      <c r="M1322" s="5" t="n">
        <v>0</v>
      </c>
      <c r="N1322" s="5" t="n">
        <v>5</v>
      </c>
      <c r="O1322" s="5" t="n">
        <v>5</v>
      </c>
      <c r="P1322" s="5" t="n">
        <v>0</v>
      </c>
      <c r="Q1322" s="5" t="n">
        <v>5</v>
      </c>
      <c r="R1322" s="5" t="n">
        <v>1</v>
      </c>
      <c r="S1322" s="5" t="n">
        <v>5</v>
      </c>
      <c r="T1322" s="5" t="s">
        <v>848</v>
      </c>
      <c r="U1322" s="6"/>
      <c r="V1322" s="6"/>
      <c r="W1322" s="6"/>
      <c r="X1322" s="6"/>
      <c r="Y1322" s="7" t="str">
        <f aca="false">IF(COUNT(U1322:X1322)=4,(W1322-X1322)/2,"")</f>
        <v/>
      </c>
      <c r="Z1322" s="7" t="str">
        <f aca="false">IF(COUNT(U1322:X1322)=4,(U1322-V1322)/2,"")</f>
        <v/>
      </c>
      <c r="AA1322" s="7" t="str">
        <f aca="false">IF(COUNT(U1322:X1322)=4,MAX(1,MIN(10,ROUNDUP(5-Z1322,0))),"")</f>
        <v/>
      </c>
      <c r="AB1322" s="7" t="str">
        <f aca="false">IF(COUNT(U1322:X1322)=4,MAX(1,MIN(10,ROUNDUP(Y1322+5,0))),"")</f>
        <v/>
      </c>
      <c r="AC1322" s="6"/>
      <c r="AD1322" s="6"/>
    </row>
    <row r="1323" customFormat="false" ht="15" hidden="false" customHeight="true" outlineLevel="0" collapsed="false">
      <c r="A1323" s="5" t="n">
        <v>1322</v>
      </c>
      <c r="B1323" s="5" t="s">
        <v>3307</v>
      </c>
      <c r="C1323" s="5" t="s">
        <v>58</v>
      </c>
      <c r="D1323" s="5" t="s">
        <v>59</v>
      </c>
      <c r="E1323" s="5" t="n">
        <v>64</v>
      </c>
      <c r="F1323" s="5" t="s">
        <v>3307</v>
      </c>
      <c r="G1323" s="5" t="n">
        <v>1</v>
      </c>
      <c r="H1323" s="5" t="s">
        <v>47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 t="s">
        <v>3308</v>
      </c>
      <c r="U1323" s="6"/>
      <c r="V1323" s="6"/>
      <c r="W1323" s="6"/>
      <c r="X1323" s="6"/>
      <c r="Y1323" s="7" t="str">
        <f aca="false">IF(COUNT(U1323:X1323)=4,(W1323-X1323)/2,"")</f>
        <v/>
      </c>
      <c r="Z1323" s="7" t="str">
        <f aca="false">IF(COUNT(U1323:X1323)=4,(U1323-V1323)/2,"")</f>
        <v/>
      </c>
      <c r="AA1323" s="7" t="str">
        <f aca="false">IF(COUNT(U1323:X1323)=4,MAX(1,MIN(10,ROUNDUP(5-Z1323,0))),"")</f>
        <v/>
      </c>
      <c r="AB1323" s="7" t="str">
        <f aca="false">IF(COUNT(U1323:X1323)=4,MAX(1,MIN(10,ROUNDUP(Y1323+5,0))),"")</f>
        <v/>
      </c>
      <c r="AC1323" s="6"/>
      <c r="AD1323" s="6"/>
    </row>
    <row r="1324" customFormat="false" ht="15" hidden="false" customHeight="true" outlineLevel="0" collapsed="false">
      <c r="A1324" s="5" t="n">
        <v>1323</v>
      </c>
      <c r="B1324" s="5" t="s">
        <v>3309</v>
      </c>
      <c r="C1324" s="5" t="s">
        <v>58</v>
      </c>
      <c r="D1324" s="5" t="s">
        <v>59</v>
      </c>
      <c r="E1324" s="5" t="n">
        <v>62</v>
      </c>
      <c r="F1324" s="5" t="s">
        <v>3309</v>
      </c>
      <c r="G1324" s="5" t="n">
        <v>1</v>
      </c>
      <c r="H1324" s="5" t="s">
        <v>47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 t="s">
        <v>3310</v>
      </c>
      <c r="U1324" s="6"/>
      <c r="V1324" s="6"/>
      <c r="W1324" s="6"/>
      <c r="X1324" s="6"/>
      <c r="Y1324" s="7" t="str">
        <f aca="false">IF(COUNT(U1324:X1324)=4,(W1324-X1324)/2,"")</f>
        <v/>
      </c>
      <c r="Z1324" s="7" t="str">
        <f aca="false">IF(COUNT(U1324:X1324)=4,(U1324-V1324)/2,"")</f>
        <v/>
      </c>
      <c r="AA1324" s="7" t="str">
        <f aca="false">IF(COUNT(U1324:X1324)=4,MAX(1,MIN(10,ROUNDUP(5-Z1324,0))),"")</f>
        <v/>
      </c>
      <c r="AB1324" s="7" t="str">
        <f aca="false">IF(COUNT(U1324:X1324)=4,MAX(1,MIN(10,ROUNDUP(Y1324+5,0))),"")</f>
        <v/>
      </c>
      <c r="AC1324" s="6"/>
      <c r="AD1324" s="6"/>
    </row>
    <row r="1325" customFormat="false" ht="15" hidden="false" customHeight="true" outlineLevel="0" collapsed="false">
      <c r="A1325" s="5" t="n">
        <v>1324</v>
      </c>
      <c r="B1325" s="5" t="s">
        <v>3311</v>
      </c>
      <c r="C1325" s="5" t="s">
        <v>58</v>
      </c>
      <c r="D1325" s="5" t="s">
        <v>59</v>
      </c>
      <c r="E1325" s="5" t="n">
        <v>60</v>
      </c>
      <c r="F1325" s="5" t="s">
        <v>3311</v>
      </c>
      <c r="G1325" s="5" t="n">
        <v>1</v>
      </c>
      <c r="H1325" s="5" t="s">
        <v>47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 t="s">
        <v>3312</v>
      </c>
      <c r="U1325" s="6"/>
      <c r="V1325" s="6"/>
      <c r="W1325" s="6"/>
      <c r="X1325" s="6"/>
      <c r="Y1325" s="7" t="str">
        <f aca="false">IF(COUNT(U1325:X1325)=4,(W1325-X1325)/2,"")</f>
        <v/>
      </c>
      <c r="Z1325" s="7" t="str">
        <f aca="false">IF(COUNT(U1325:X1325)=4,(U1325-V1325)/2,"")</f>
        <v/>
      </c>
      <c r="AA1325" s="7" t="str">
        <f aca="false">IF(COUNT(U1325:X1325)=4,MAX(1,MIN(10,ROUNDUP(5-Z1325,0))),"")</f>
        <v/>
      </c>
      <c r="AB1325" s="7" t="str">
        <f aca="false">IF(COUNT(U1325:X1325)=4,MAX(1,MIN(10,ROUNDUP(Y1325+5,0))),"")</f>
        <v/>
      </c>
      <c r="AC1325" s="6"/>
      <c r="AD1325" s="6"/>
    </row>
    <row r="1326" customFormat="false" ht="15" hidden="false" customHeight="true" outlineLevel="0" collapsed="false">
      <c r="A1326" s="5" t="n">
        <v>1325</v>
      </c>
      <c r="B1326" s="5" t="s">
        <v>3313</v>
      </c>
      <c r="C1326" s="5" t="s">
        <v>58</v>
      </c>
      <c r="D1326" s="5" t="s">
        <v>59</v>
      </c>
      <c r="E1326" s="5" t="n">
        <v>57</v>
      </c>
      <c r="F1326" s="5" t="s">
        <v>3313</v>
      </c>
      <c r="G1326" s="5" t="n">
        <v>1</v>
      </c>
      <c r="H1326" s="5" t="s">
        <v>47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 t="s">
        <v>3314</v>
      </c>
      <c r="U1326" s="6"/>
      <c r="V1326" s="6"/>
      <c r="W1326" s="6"/>
      <c r="X1326" s="6"/>
      <c r="Y1326" s="7" t="str">
        <f aca="false">IF(COUNT(U1326:X1326)=4,(W1326-X1326)/2,"")</f>
        <v/>
      </c>
      <c r="Z1326" s="7" t="str">
        <f aca="false">IF(COUNT(U1326:X1326)=4,(U1326-V1326)/2,"")</f>
        <v/>
      </c>
      <c r="AA1326" s="7" t="str">
        <f aca="false">IF(COUNT(U1326:X1326)=4,MAX(1,MIN(10,ROUNDUP(5-Z1326,0))),"")</f>
        <v/>
      </c>
      <c r="AB1326" s="7" t="str">
        <f aca="false">IF(COUNT(U1326:X1326)=4,MAX(1,MIN(10,ROUNDUP(Y1326+5,0))),"")</f>
        <v/>
      </c>
      <c r="AC1326" s="6"/>
      <c r="AD1326" s="6"/>
    </row>
    <row r="1327" customFormat="false" ht="15" hidden="false" customHeight="true" outlineLevel="0" collapsed="false">
      <c r="A1327" s="5" t="n">
        <v>1326</v>
      </c>
      <c r="B1327" s="5" t="s">
        <v>3315</v>
      </c>
      <c r="C1327" s="5" t="s">
        <v>58</v>
      </c>
      <c r="D1327" s="5" t="s">
        <v>59</v>
      </c>
      <c r="E1327" s="5" t="n">
        <v>50</v>
      </c>
      <c r="F1327" s="5" t="s">
        <v>3316</v>
      </c>
      <c r="G1327" s="5" t="n">
        <v>3</v>
      </c>
      <c r="H1327" s="5" t="s">
        <v>53</v>
      </c>
      <c r="I1327" s="5" t="s">
        <v>64</v>
      </c>
      <c r="J1327" s="5"/>
      <c r="K1327" s="5"/>
      <c r="L1327" s="5" t="n">
        <v>1</v>
      </c>
      <c r="M1327" s="5" t="n">
        <v>6</v>
      </c>
      <c r="N1327" s="5" t="n">
        <v>2</v>
      </c>
      <c r="O1327" s="5" t="n">
        <v>7</v>
      </c>
      <c r="P1327" s="5" t="n">
        <v>-2.5</v>
      </c>
      <c r="Q1327" s="5" t="n">
        <v>-2.5</v>
      </c>
      <c r="R1327" s="5" t="n">
        <v>8</v>
      </c>
      <c r="S1327" s="5" t="n">
        <v>3</v>
      </c>
      <c r="T1327" s="5" t="s">
        <v>3317</v>
      </c>
      <c r="U1327" s="6"/>
      <c r="V1327" s="6"/>
      <c r="W1327" s="6"/>
      <c r="X1327" s="6"/>
      <c r="Y1327" s="7" t="str">
        <f aca="false">IF(COUNT(U1327:X1327)=4,(W1327-X1327)/2,"")</f>
        <v/>
      </c>
      <c r="Z1327" s="7" t="str">
        <f aca="false">IF(COUNT(U1327:X1327)=4,(U1327-V1327)/2,"")</f>
        <v/>
      </c>
      <c r="AA1327" s="7" t="str">
        <f aca="false">IF(COUNT(U1327:X1327)=4,MAX(1,MIN(10,ROUNDUP(5-Z1327,0))),"")</f>
        <v/>
      </c>
      <c r="AB1327" s="7" t="str">
        <f aca="false">IF(COUNT(U1327:X1327)=4,MAX(1,MIN(10,ROUNDUP(Y1327+5,0))),"")</f>
        <v/>
      </c>
      <c r="AC1327" s="6"/>
      <c r="AD1327" s="6"/>
    </row>
    <row r="1328" customFormat="false" ht="15" hidden="false" customHeight="true" outlineLevel="0" collapsed="false">
      <c r="A1328" s="5" t="n">
        <v>1327</v>
      </c>
      <c r="B1328" s="5" t="s">
        <v>3318</v>
      </c>
      <c r="C1328" s="5" t="s">
        <v>58</v>
      </c>
      <c r="D1328" s="5" t="s">
        <v>59</v>
      </c>
      <c r="E1328" s="5" t="n">
        <v>42</v>
      </c>
      <c r="F1328" s="5" t="s">
        <v>3318</v>
      </c>
      <c r="G1328" s="5" t="n">
        <v>3</v>
      </c>
      <c r="H1328" s="5" t="s">
        <v>53</v>
      </c>
      <c r="I1328" s="5" t="s">
        <v>54</v>
      </c>
      <c r="J1328" s="5" t="s">
        <v>117</v>
      </c>
      <c r="K1328" s="5" t="s">
        <v>117</v>
      </c>
      <c r="L1328" s="5" t="n">
        <v>4</v>
      </c>
      <c r="M1328" s="5" t="n">
        <v>4</v>
      </c>
      <c r="N1328" s="5" t="n">
        <v>1</v>
      </c>
      <c r="O1328" s="5" t="n">
        <v>9</v>
      </c>
      <c r="P1328" s="5" t="n">
        <v>-4</v>
      </c>
      <c r="Q1328" s="5" t="n">
        <v>0</v>
      </c>
      <c r="R1328" s="5" t="n">
        <v>5</v>
      </c>
      <c r="S1328" s="5" t="n">
        <v>1</v>
      </c>
      <c r="T1328" s="5" t="s">
        <v>3319</v>
      </c>
      <c r="U1328" s="6"/>
      <c r="V1328" s="6"/>
      <c r="W1328" s="6"/>
      <c r="X1328" s="6"/>
      <c r="Y1328" s="7" t="str">
        <f aca="false">IF(COUNT(U1328:X1328)=4,(W1328-X1328)/2,"")</f>
        <v/>
      </c>
      <c r="Z1328" s="7" t="str">
        <f aca="false">IF(COUNT(U1328:X1328)=4,(U1328-V1328)/2,"")</f>
        <v/>
      </c>
      <c r="AA1328" s="7" t="str">
        <f aca="false">IF(COUNT(U1328:X1328)=4,MAX(1,MIN(10,ROUNDUP(5-Z1328,0))),"")</f>
        <v/>
      </c>
      <c r="AB1328" s="7" t="str">
        <f aca="false">IF(COUNT(U1328:X1328)=4,MAX(1,MIN(10,ROUNDUP(Y1328+5,0))),"")</f>
        <v/>
      </c>
      <c r="AC1328" s="6"/>
      <c r="AD1328" s="6"/>
    </row>
    <row r="1329" customFormat="false" ht="15" hidden="false" customHeight="true" outlineLevel="0" collapsed="false">
      <c r="A1329" s="5" t="n">
        <v>1328</v>
      </c>
      <c r="B1329" s="5" t="s">
        <v>3320</v>
      </c>
      <c r="C1329" s="5" t="s">
        <v>58</v>
      </c>
      <c r="D1329" s="5" t="s">
        <v>59</v>
      </c>
      <c r="E1329" s="5" t="n">
        <v>41</v>
      </c>
      <c r="F1329" s="5" t="s">
        <v>3320</v>
      </c>
      <c r="G1329" s="5" t="n">
        <v>3</v>
      </c>
      <c r="H1329" s="5" t="s">
        <v>53</v>
      </c>
      <c r="I1329" s="5" t="s">
        <v>64</v>
      </c>
      <c r="J1329" s="5"/>
      <c r="K1329" s="5"/>
      <c r="L1329" s="5" t="n">
        <v>3</v>
      </c>
      <c r="M1329" s="5" t="n">
        <v>5</v>
      </c>
      <c r="N1329" s="5" t="n">
        <v>2</v>
      </c>
      <c r="O1329" s="5" t="n">
        <v>8</v>
      </c>
      <c r="P1329" s="5" t="n">
        <v>-3</v>
      </c>
      <c r="Q1329" s="5" t="n">
        <v>-1</v>
      </c>
      <c r="R1329" s="5" t="n">
        <v>6</v>
      </c>
      <c r="S1329" s="5" t="n">
        <v>2</v>
      </c>
      <c r="T1329" s="5"/>
      <c r="U1329" s="6"/>
      <c r="V1329" s="6"/>
      <c r="W1329" s="6"/>
      <c r="X1329" s="6"/>
      <c r="Y1329" s="7" t="str">
        <f aca="false">IF(COUNT(U1329:X1329)=4,(W1329-X1329)/2,"")</f>
        <v/>
      </c>
      <c r="Z1329" s="7" t="str">
        <f aca="false">IF(COUNT(U1329:X1329)=4,(U1329-V1329)/2,"")</f>
        <v/>
      </c>
      <c r="AA1329" s="7" t="str">
        <f aca="false">IF(COUNT(U1329:X1329)=4,MAX(1,MIN(10,ROUNDUP(5-Z1329,0))),"")</f>
        <v/>
      </c>
      <c r="AB1329" s="7" t="str">
        <f aca="false">IF(COUNT(U1329:X1329)=4,MAX(1,MIN(10,ROUNDUP(Y1329+5,0))),"")</f>
        <v/>
      </c>
      <c r="AC1329" s="6"/>
      <c r="AD1329" s="6"/>
    </row>
    <row r="1330" customFormat="false" ht="15" hidden="false" customHeight="true" outlineLevel="0" collapsed="false">
      <c r="A1330" s="5" t="n">
        <v>1329</v>
      </c>
      <c r="B1330" s="5" t="s">
        <v>3321</v>
      </c>
      <c r="C1330" s="5" t="s">
        <v>58</v>
      </c>
      <c r="D1330" s="5" t="s">
        <v>59</v>
      </c>
      <c r="E1330" s="5" t="n">
        <v>37</v>
      </c>
      <c r="F1330" s="5" t="s">
        <v>3321</v>
      </c>
      <c r="G1330" s="5" t="n">
        <v>3</v>
      </c>
      <c r="H1330" s="5" t="s">
        <v>53</v>
      </c>
      <c r="I1330" s="5" t="s">
        <v>64</v>
      </c>
      <c r="J1330" s="5"/>
      <c r="K1330" s="5"/>
      <c r="L1330" s="5" t="n">
        <v>5</v>
      </c>
      <c r="M1330" s="5" t="n">
        <v>3</v>
      </c>
      <c r="N1330" s="5" t="n">
        <v>2</v>
      </c>
      <c r="O1330" s="5" t="n">
        <v>8</v>
      </c>
      <c r="P1330" s="5" t="n">
        <v>-3</v>
      </c>
      <c r="Q1330" s="5" t="n">
        <v>1</v>
      </c>
      <c r="R1330" s="5" t="n">
        <v>4</v>
      </c>
      <c r="S1330" s="5" t="n">
        <v>2</v>
      </c>
      <c r="T1330" s="5" t="s">
        <v>3322</v>
      </c>
      <c r="U1330" s="6"/>
      <c r="V1330" s="6"/>
      <c r="W1330" s="6"/>
      <c r="X1330" s="6"/>
      <c r="Y1330" s="7" t="str">
        <f aca="false">IF(COUNT(U1330:X1330)=4,(W1330-X1330)/2,"")</f>
        <v/>
      </c>
      <c r="Z1330" s="7" t="str">
        <f aca="false">IF(COUNT(U1330:X1330)=4,(U1330-V1330)/2,"")</f>
        <v/>
      </c>
      <c r="AA1330" s="7" t="str">
        <f aca="false">IF(COUNT(U1330:X1330)=4,MAX(1,MIN(10,ROUNDUP(5-Z1330,0))),"")</f>
        <v/>
      </c>
      <c r="AB1330" s="7" t="str">
        <f aca="false">IF(COUNT(U1330:X1330)=4,MAX(1,MIN(10,ROUNDUP(Y1330+5,0))),"")</f>
        <v/>
      </c>
      <c r="AC1330" s="6"/>
      <c r="AD1330" s="6"/>
    </row>
    <row r="1331" customFormat="false" ht="15" hidden="false" customHeight="true" outlineLevel="0" collapsed="false">
      <c r="A1331" s="5" t="n">
        <v>1330</v>
      </c>
      <c r="B1331" s="5" t="s">
        <v>3323</v>
      </c>
      <c r="C1331" s="5" t="s">
        <v>50</v>
      </c>
      <c r="D1331" s="5" t="s">
        <v>172</v>
      </c>
      <c r="E1331" s="5" t="n">
        <v>13</v>
      </c>
      <c r="F1331" s="5" t="s">
        <v>3323</v>
      </c>
      <c r="G1331" s="5" t="n">
        <v>1</v>
      </c>
      <c r="H1331" s="5" t="s">
        <v>47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 t="s">
        <v>3324</v>
      </c>
      <c r="U1331" s="6"/>
      <c r="V1331" s="6"/>
      <c r="W1331" s="6"/>
      <c r="X1331" s="6"/>
      <c r="Y1331" s="7" t="str">
        <f aca="false">IF(COUNT(U1331:X1331)=4,(W1331-X1331)/2,"")</f>
        <v/>
      </c>
      <c r="Z1331" s="7" t="str">
        <f aca="false">IF(COUNT(U1331:X1331)=4,(U1331-V1331)/2,"")</f>
        <v/>
      </c>
      <c r="AA1331" s="7" t="str">
        <f aca="false">IF(COUNT(U1331:X1331)=4,MAX(1,MIN(10,ROUNDUP(5-Z1331,0))),"")</f>
        <v/>
      </c>
      <c r="AB1331" s="7" t="str">
        <f aca="false">IF(COUNT(U1331:X1331)=4,MAX(1,MIN(10,ROUNDUP(Y1331+5,0))),"")</f>
        <v/>
      </c>
      <c r="AC1331" s="6"/>
      <c r="AD1331" s="6"/>
    </row>
  </sheetData>
  <autoFilter ref="A1:AD1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9"/>
    <col collapsed="false" customWidth="true" hidden="false" outlineLevel="0" max="6" min="6" style="1" width="90"/>
  </cols>
  <sheetData>
    <row r="1" customFormat="false" ht="23.25" hidden="false" customHeight="true" outlineLevel="0" collapsed="false">
      <c r="A1" s="8" t="s">
        <v>3325</v>
      </c>
      <c r="B1" s="8" t="s">
        <v>3326</v>
      </c>
      <c r="C1" s="8" t="s">
        <v>3327</v>
      </c>
      <c r="D1" s="8" t="s">
        <v>3328</v>
      </c>
      <c r="E1" s="8" t="s">
        <v>3329</v>
      </c>
      <c r="F1" s="8" t="s">
        <v>3330</v>
      </c>
    </row>
    <row r="2" customFormat="false" ht="23.25" hidden="false" customHeight="true" outlineLevel="0" collapsed="false">
      <c r="A2" s="3" t="s">
        <v>25</v>
      </c>
      <c r="B2" s="3" t="s">
        <v>3331</v>
      </c>
      <c r="C2" s="3" t="s">
        <v>3332</v>
      </c>
      <c r="D2" s="3" t="s">
        <v>3333</v>
      </c>
      <c r="E2" s="3" t="s">
        <v>3334</v>
      </c>
      <c r="F2" s="3" t="s">
        <v>3335</v>
      </c>
    </row>
    <row r="3" customFormat="false" ht="23.25" hidden="false" customHeight="true" outlineLevel="0" collapsed="false">
      <c r="A3" s="3" t="s">
        <v>26</v>
      </c>
      <c r="B3" s="3" t="s">
        <v>3336</v>
      </c>
      <c r="C3" s="3" t="s">
        <v>3337</v>
      </c>
      <c r="D3" s="3" t="s">
        <v>3338</v>
      </c>
      <c r="E3" s="3" t="s">
        <v>3339</v>
      </c>
      <c r="F3" s="3" t="s">
        <v>3340</v>
      </c>
    </row>
    <row r="4" customFormat="false" ht="23.25" hidden="false" customHeight="true" outlineLevel="0" collapsed="false">
      <c r="A4" s="3" t="s">
        <v>27</v>
      </c>
      <c r="B4" s="3" t="s">
        <v>3341</v>
      </c>
      <c r="C4" s="3" t="s">
        <v>3342</v>
      </c>
      <c r="D4" s="3" t="s">
        <v>26</v>
      </c>
      <c r="E4" s="3" t="s">
        <v>3343</v>
      </c>
      <c r="F4" s="3" t="s">
        <v>3344</v>
      </c>
    </row>
    <row r="5" customFormat="false" ht="23.25" hidden="false" customHeight="true" outlineLevel="0" collapsed="false">
      <c r="A5" s="3" t="s">
        <v>28</v>
      </c>
      <c r="B5" s="3" t="s">
        <v>3345</v>
      </c>
      <c r="C5" s="3" t="s">
        <v>3346</v>
      </c>
      <c r="D5" s="3" t="s">
        <v>3347</v>
      </c>
      <c r="E5" s="3" t="s">
        <v>3348</v>
      </c>
      <c r="F5" s="3" t="s">
        <v>3349</v>
      </c>
    </row>
    <row r="7" customFormat="false" ht="43.5" hidden="false" customHeight="true" outlineLevel="0" collapsed="false">
      <c r="A7" s="9" t="s">
        <v>3350</v>
      </c>
      <c r="B7" s="9"/>
      <c r="C7" s="9"/>
      <c r="D7" s="9"/>
      <c r="E7" s="9"/>
      <c r="F7" s="9"/>
    </row>
    <row r="8" customFormat="false" ht="43.5" hidden="false" customHeight="true" outlineLevel="0" collapsed="false">
      <c r="A8" s="9" t="s">
        <v>3351</v>
      </c>
      <c r="B8" s="9"/>
      <c r="C8" s="9"/>
      <c r="D8" s="9"/>
      <c r="E8" s="9"/>
      <c r="F8" s="9"/>
    </row>
    <row r="9" customFormat="false" ht="43.5" hidden="false" customHeight="true" outlineLevel="0" collapsed="false">
      <c r="A9" s="9" t="s">
        <v>3352</v>
      </c>
      <c r="B9" s="9"/>
      <c r="C9" s="9"/>
      <c r="D9" s="9"/>
      <c r="E9" s="9"/>
      <c r="F9" s="9"/>
    </row>
    <row r="10" customFormat="false" ht="43.5" hidden="false" customHeight="true" outlineLevel="0" collapsed="false">
      <c r="A10" s="9" t="s">
        <v>3353</v>
      </c>
      <c r="B10" s="9"/>
      <c r="C10" s="9"/>
      <c r="D10" s="9"/>
      <c r="E10" s="9"/>
      <c r="F10" s="9"/>
    </row>
    <row r="11" customFormat="false" ht="43.5" hidden="false" customHeight="true" outlineLevel="0" collapsed="false">
      <c r="A11" s="9" t="s">
        <v>3354</v>
      </c>
      <c r="B11" s="9"/>
      <c r="C11" s="9"/>
      <c r="D11" s="9"/>
      <c r="E11" s="9"/>
      <c r="F11" s="9"/>
    </row>
    <row r="12" customFormat="false" ht="43.5" hidden="false" customHeight="true" outlineLevel="0" collapsed="false">
      <c r="A12" s="9" t="s">
        <v>3355</v>
      </c>
      <c r="B12" s="9"/>
      <c r="C12" s="9"/>
      <c r="D12" s="9"/>
      <c r="E12" s="9"/>
      <c r="F12" s="9"/>
    </row>
    <row r="13" customFormat="false" ht="43.5" hidden="false" customHeight="true" outlineLevel="0" collapsed="false">
      <c r="A13" s="9" t="s">
        <v>3356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3357</v>
      </c>
      <c r="B15" s="8" t="s">
        <v>25</v>
      </c>
      <c r="C15" s="8" t="s">
        <v>26</v>
      </c>
      <c r="D15" s="8" t="s">
        <v>27</v>
      </c>
      <c r="E15" s="8" t="s">
        <v>28</v>
      </c>
      <c r="F15" s="8" t="s">
        <v>3358</v>
      </c>
    </row>
    <row r="16" customFormat="false" ht="15" hidden="false" customHeight="true" outlineLevel="0" collapsed="false">
      <c r="A16" s="3" t="s">
        <v>3359</v>
      </c>
      <c r="B16" s="3" t="n">
        <v>10</v>
      </c>
      <c r="C16" s="3" t="n">
        <v>0</v>
      </c>
      <c r="D16" s="3" t="n">
        <v>5</v>
      </c>
      <c r="E16" s="3" t="n">
        <v>5</v>
      </c>
      <c r="F16" s="3" t="s">
        <v>3360</v>
      </c>
    </row>
    <row r="17" customFormat="false" ht="15" hidden="false" customHeight="true" outlineLevel="0" collapsed="false">
      <c r="A17" s="3" t="s">
        <v>3361</v>
      </c>
      <c r="B17" s="3" t="n">
        <v>0</v>
      </c>
      <c r="C17" s="3" t="n">
        <v>10</v>
      </c>
      <c r="D17" s="3" t="n">
        <v>5</v>
      </c>
      <c r="E17" s="3" t="n">
        <v>5</v>
      </c>
      <c r="F17" s="3" t="s">
        <v>3362</v>
      </c>
    </row>
    <row r="18" customFormat="false" ht="15" hidden="false" customHeight="true" outlineLevel="0" collapsed="false">
      <c r="A18" s="3" t="s">
        <v>3363</v>
      </c>
      <c r="B18" s="3" t="n">
        <v>6</v>
      </c>
      <c r="C18" s="3" t="n">
        <v>2</v>
      </c>
      <c r="D18" s="3" t="n">
        <v>10</v>
      </c>
      <c r="E18" s="3" t="n">
        <v>0</v>
      </c>
      <c r="F18" s="3" t="s">
        <v>3364</v>
      </c>
    </row>
    <row r="19" customFormat="false" ht="15" hidden="false" customHeight="true" outlineLevel="0" collapsed="false">
      <c r="A19" s="3" t="s">
        <v>3365</v>
      </c>
      <c r="B19" s="3" t="n">
        <v>6</v>
      </c>
      <c r="C19" s="3" t="n">
        <v>2</v>
      </c>
      <c r="D19" s="3" t="n">
        <v>0</v>
      </c>
      <c r="E19" s="3" t="n">
        <v>10</v>
      </c>
      <c r="F19" s="3" t="s">
        <v>3366</v>
      </c>
    </row>
    <row r="20" customFormat="false" ht="15" hidden="false" customHeight="true" outlineLevel="0" collapsed="false">
      <c r="A20" s="3" t="s">
        <v>3367</v>
      </c>
      <c r="B20" s="3" t="n">
        <v>6</v>
      </c>
      <c r="C20" s="3" t="n">
        <v>2</v>
      </c>
      <c r="D20" s="3" t="n">
        <v>10</v>
      </c>
      <c r="E20" s="3" t="n">
        <v>0</v>
      </c>
      <c r="F20" s="3" t="s">
        <v>3364</v>
      </c>
    </row>
    <row r="21" customFormat="false" ht="15" hidden="false" customHeight="true" outlineLevel="0" collapsed="false">
      <c r="A21" s="3" t="s">
        <v>3368</v>
      </c>
      <c r="B21" s="3" t="n">
        <v>7</v>
      </c>
      <c r="C21" s="3" t="n">
        <v>2</v>
      </c>
      <c r="D21" s="3" t="n">
        <v>3</v>
      </c>
      <c r="E21" s="3" t="n">
        <v>7</v>
      </c>
      <c r="F21" s="3" t="s">
        <v>3369</v>
      </c>
    </row>
    <row r="22" customFormat="false" ht="15" hidden="false" customHeight="true" outlineLevel="0" collapsed="false">
      <c r="A22" s="3" t="s">
        <v>3370</v>
      </c>
      <c r="B22" s="3" t="n">
        <v>3</v>
      </c>
      <c r="C22" s="3" t="n">
        <v>6</v>
      </c>
      <c r="D22" s="3" t="n">
        <v>4</v>
      </c>
      <c r="E22" s="3" t="n">
        <v>8</v>
      </c>
      <c r="F22" s="3" t="s">
        <v>3371</v>
      </c>
    </row>
    <row r="23" customFormat="false" ht="15" hidden="false" customHeight="true" outlineLevel="0" collapsed="false">
      <c r="A23" s="3" t="s">
        <v>3372</v>
      </c>
      <c r="B23" s="3" t="n">
        <v>5</v>
      </c>
      <c r="C23" s="3" t="n">
        <v>2</v>
      </c>
      <c r="D23" s="3" t="n">
        <v>4</v>
      </c>
      <c r="E23" s="3" t="n">
        <v>8</v>
      </c>
      <c r="F23" s="3" t="s">
        <v>3373</v>
      </c>
    </row>
    <row r="24" customFormat="false" ht="15" hidden="false" customHeight="true" outlineLevel="0" collapsed="false">
      <c r="A24" s="3" t="s">
        <v>3374</v>
      </c>
      <c r="B24" s="3" t="n">
        <v>7</v>
      </c>
      <c r="C24" s="3" t="n">
        <v>2</v>
      </c>
      <c r="D24" s="3" t="n">
        <v>3</v>
      </c>
      <c r="E24" s="3" t="n">
        <v>7</v>
      </c>
      <c r="F24" s="3" t="s">
        <v>3369</v>
      </c>
    </row>
    <row r="25" customFormat="false" ht="15" hidden="false" customHeight="true" outlineLevel="0" collapsed="false">
      <c r="A25" s="3" t="s">
        <v>3375</v>
      </c>
      <c r="B25" s="3" t="n">
        <v>3</v>
      </c>
      <c r="C25" s="3" t="n">
        <v>2</v>
      </c>
      <c r="D25" s="3" t="n">
        <v>2</v>
      </c>
      <c r="E25" s="3" t="n">
        <v>7</v>
      </c>
      <c r="F25" s="3" t="s">
        <v>3376</v>
      </c>
    </row>
    <row r="26" customFormat="false" ht="15" hidden="false" customHeight="true" outlineLevel="0" collapsed="false">
      <c r="A26" s="3" t="s">
        <v>3377</v>
      </c>
      <c r="B26" s="3" t="n">
        <v>3</v>
      </c>
      <c r="C26" s="3" t="n">
        <v>1</v>
      </c>
      <c r="D26" s="3" t="n">
        <v>1</v>
      </c>
      <c r="E26" s="3" t="n">
        <v>9</v>
      </c>
      <c r="F26" s="3" t="s">
        <v>3378</v>
      </c>
    </row>
    <row r="27" customFormat="false" ht="15" hidden="false" customHeight="true" outlineLevel="0" collapsed="false">
      <c r="A27" s="3" t="s">
        <v>3379</v>
      </c>
      <c r="B27" s="3" t="n">
        <v>3</v>
      </c>
      <c r="C27" s="3" t="n">
        <v>5</v>
      </c>
      <c r="D27" s="3" t="n">
        <v>2</v>
      </c>
      <c r="E27" s="3" t="n">
        <v>8</v>
      </c>
      <c r="F27" s="3" t="s">
        <v>3380</v>
      </c>
    </row>
    <row r="28" customFormat="false" ht="15" hidden="false" customHeight="true" outlineLevel="0" collapsed="false">
      <c r="A28" s="3" t="s">
        <v>3381</v>
      </c>
      <c r="B28" s="3" t="n">
        <v>3</v>
      </c>
      <c r="C28" s="3" t="n">
        <v>5</v>
      </c>
      <c r="D28" s="3" t="n">
        <v>2</v>
      </c>
      <c r="E28" s="3" t="n">
        <v>8</v>
      </c>
      <c r="F28" s="3" t="s">
        <v>3380</v>
      </c>
    </row>
    <row r="29" customFormat="false" ht="15" hidden="false" customHeight="true" outlineLevel="0" collapsed="false">
      <c r="A29" s="3" t="s">
        <v>3382</v>
      </c>
      <c r="B29" s="3" t="n">
        <v>1</v>
      </c>
      <c r="C29" s="3" t="n">
        <v>8</v>
      </c>
      <c r="D29" s="3" t="n">
        <v>3</v>
      </c>
      <c r="E29" s="3" t="n">
        <v>6</v>
      </c>
      <c r="F29" s="3" t="s">
        <v>3383</v>
      </c>
    </row>
    <row r="30" customFormat="false" ht="15" hidden="false" customHeight="true" outlineLevel="0" collapsed="false">
      <c r="A30" s="3" t="s">
        <v>3384</v>
      </c>
      <c r="B30" s="3" t="n">
        <v>9</v>
      </c>
      <c r="C30" s="3" t="n">
        <v>1</v>
      </c>
      <c r="D30" s="3" t="n">
        <v>3</v>
      </c>
      <c r="E30" s="3" t="n">
        <v>6</v>
      </c>
      <c r="F30" s="3" t="s">
        <v>3385</v>
      </c>
    </row>
    <row r="31" customFormat="false" ht="15" hidden="false" customHeight="true" outlineLevel="0" collapsed="false">
      <c r="A31" s="3" t="s">
        <v>3386</v>
      </c>
      <c r="B31" s="3" t="n">
        <v>3</v>
      </c>
      <c r="C31" s="3" t="n">
        <v>1</v>
      </c>
      <c r="D31" s="3" t="n">
        <v>2</v>
      </c>
      <c r="E31" s="3" t="n">
        <v>8</v>
      </c>
      <c r="F31" s="3" t="s">
        <v>3387</v>
      </c>
    </row>
    <row r="32" customFormat="false" ht="15" hidden="false" customHeight="true" outlineLevel="0" collapsed="false">
      <c r="A32" s="3" t="s">
        <v>3388</v>
      </c>
      <c r="B32" s="3" t="n">
        <v>4</v>
      </c>
      <c r="C32" s="3" t="n">
        <v>3</v>
      </c>
      <c r="D32" s="3" t="n">
        <v>2</v>
      </c>
      <c r="E32" s="3" t="n">
        <v>8</v>
      </c>
      <c r="F32" s="3" t="s">
        <v>3389</v>
      </c>
    </row>
    <row r="34" customFormat="false" ht="23.25" hidden="false" customHeight="true" outlineLevel="0" collapsed="false">
      <c r="A34" s="8" t="s">
        <v>3390</v>
      </c>
      <c r="B34" s="8" t="s">
        <v>25</v>
      </c>
      <c r="C34" s="8" t="s">
        <v>26</v>
      </c>
      <c r="D34" s="8" t="s">
        <v>27</v>
      </c>
      <c r="E34" s="8" t="s">
        <v>28</v>
      </c>
      <c r="F34" s="8" t="s">
        <v>3391</v>
      </c>
    </row>
    <row r="35" customFormat="false" ht="15" hidden="false" customHeight="true" outlineLevel="0" collapsed="false">
      <c r="A35" s="3" t="s">
        <v>70</v>
      </c>
      <c r="B35" s="3" t="n">
        <v>8</v>
      </c>
      <c r="C35" s="3" t="n">
        <v>2</v>
      </c>
      <c r="D35" s="3" t="n">
        <v>5</v>
      </c>
      <c r="E35" s="3" t="n">
        <v>5</v>
      </c>
      <c r="F35" s="3" t="s">
        <v>3392</v>
      </c>
    </row>
    <row r="36" customFormat="false" ht="15" hidden="false" customHeight="true" outlineLevel="0" collapsed="false">
      <c r="A36" s="3" t="s">
        <v>44</v>
      </c>
      <c r="B36" s="3" t="n">
        <v>3</v>
      </c>
      <c r="C36" s="3" t="n">
        <v>7</v>
      </c>
      <c r="D36" s="3" t="n">
        <v>5</v>
      </c>
      <c r="E36" s="3" t="n">
        <v>5</v>
      </c>
      <c r="F36" s="3" t="s">
        <v>3393</v>
      </c>
    </row>
    <row r="37" customFormat="false" ht="15" hidden="false" customHeight="true" outlineLevel="0" collapsed="false">
      <c r="A37" s="3" t="s">
        <v>147</v>
      </c>
      <c r="B37" s="3" t="n">
        <v>2</v>
      </c>
      <c r="C37" s="3" t="n">
        <v>8</v>
      </c>
      <c r="D37" s="3" t="n">
        <v>2</v>
      </c>
      <c r="E37" s="3" t="n">
        <v>6</v>
      </c>
      <c r="F37" s="3" t="s">
        <v>3394</v>
      </c>
    </row>
    <row r="39" customFormat="false" ht="23.25" hidden="false" customHeight="true" outlineLevel="0" collapsed="false">
      <c r="A39" s="8" t="s">
        <v>3395</v>
      </c>
      <c r="B39" s="8" t="s">
        <v>34</v>
      </c>
      <c r="C39" s="8" t="s">
        <v>35</v>
      </c>
      <c r="D39" s="8" t="s">
        <v>36</v>
      </c>
      <c r="E39" s="8" t="s">
        <v>37</v>
      </c>
      <c r="F39" s="8" t="s">
        <v>42</v>
      </c>
    </row>
    <row r="40" customFormat="false" ht="15" hidden="false" customHeight="true" outlineLevel="0" collapsed="false">
      <c r="A40" s="10" t="s">
        <v>147</v>
      </c>
      <c r="B40" s="10" t="n">
        <v>2</v>
      </c>
      <c r="C40" s="10" t="n">
        <v>8</v>
      </c>
      <c r="D40" s="10" t="n">
        <v>2</v>
      </c>
      <c r="E40" s="10" t="n">
        <v>6</v>
      </c>
      <c r="F40" s="10" t="s">
        <v>3396</v>
      </c>
    </row>
  </sheetData>
  <mergeCells count="7">
    <mergeCell ref="A7:F7"/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6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00"/>
  </cols>
  <sheetData>
    <row r="1" customFormat="false" ht="15" hidden="false" customHeight="true" outlineLevel="0" collapsed="false">
      <c r="A1" s="11" t="s">
        <v>22</v>
      </c>
      <c r="B1" s="11" t="s">
        <v>31</v>
      </c>
      <c r="C1" s="11" t="s">
        <v>32</v>
      </c>
      <c r="D1" s="11" t="s">
        <v>3397</v>
      </c>
      <c r="E1" s="11" t="s">
        <v>3398</v>
      </c>
      <c r="F1" s="11" t="s">
        <v>3399</v>
      </c>
    </row>
    <row r="2" customFormat="false" ht="15" hidden="false" customHeight="true" outlineLevel="0" collapsed="false">
      <c r="A2" s="5" t="s">
        <v>81</v>
      </c>
      <c r="B2" s="5" t="n">
        <v>2</v>
      </c>
      <c r="C2" s="5" t="n">
        <v>3</v>
      </c>
      <c r="D2" s="5" t="n">
        <v>498</v>
      </c>
      <c r="E2" s="12" t="n">
        <v>0.358</v>
      </c>
      <c r="F2" s="5" t="s">
        <v>3400</v>
      </c>
    </row>
    <row r="3" customFormat="false" ht="15" hidden="false" customHeight="true" outlineLevel="0" collapsed="false">
      <c r="A3" s="5" t="s">
        <v>81</v>
      </c>
      <c r="B3" s="5" t="n">
        <v>3</v>
      </c>
      <c r="C3" s="5" t="n">
        <v>3</v>
      </c>
      <c r="D3" s="5" t="n">
        <v>183</v>
      </c>
      <c r="E3" s="12" t="n">
        <v>0.132</v>
      </c>
      <c r="F3" s="5" t="s">
        <v>3401</v>
      </c>
    </row>
    <row r="4" customFormat="false" ht="15" hidden="false" customHeight="true" outlineLevel="0" collapsed="false">
      <c r="A4" s="5" t="s">
        <v>81</v>
      </c>
      <c r="B4" s="5" t="n">
        <v>2</v>
      </c>
      <c r="C4" s="5" t="n">
        <v>6</v>
      </c>
      <c r="D4" s="5" t="n">
        <v>153</v>
      </c>
      <c r="E4" s="12" t="n">
        <v>0.11</v>
      </c>
      <c r="F4" s="5" t="s">
        <v>3402</v>
      </c>
    </row>
    <row r="5" customFormat="false" ht="15" hidden="false" customHeight="true" outlineLevel="0" collapsed="false">
      <c r="A5" s="5" t="s">
        <v>81</v>
      </c>
      <c r="B5" s="5" t="n">
        <v>2</v>
      </c>
      <c r="C5" s="5" t="n">
        <v>1</v>
      </c>
      <c r="D5" s="5" t="n">
        <v>116</v>
      </c>
      <c r="E5" s="12" t="n">
        <v>0.083</v>
      </c>
      <c r="F5" s="5" t="s">
        <v>3403</v>
      </c>
    </row>
    <row r="6" customFormat="false" ht="15" hidden="false" customHeight="true" outlineLevel="0" collapsed="false">
      <c r="A6" s="5" t="s">
        <v>81</v>
      </c>
      <c r="B6" s="5" t="n">
        <v>1</v>
      </c>
      <c r="C6" s="5" t="n">
        <v>1</v>
      </c>
      <c r="D6" s="5" t="n">
        <v>91</v>
      </c>
      <c r="E6" s="12" t="n">
        <v>0.065</v>
      </c>
      <c r="F6" s="5" t="s">
        <v>3404</v>
      </c>
    </row>
    <row r="7" customFormat="false" ht="15" hidden="false" customHeight="true" outlineLevel="0" collapsed="false">
      <c r="A7" s="5" t="s">
        <v>81</v>
      </c>
      <c r="B7" s="5" t="n">
        <v>4</v>
      </c>
      <c r="C7" s="5" t="n">
        <v>9</v>
      </c>
      <c r="D7" s="5" t="n">
        <v>59</v>
      </c>
      <c r="E7" s="12" t="n">
        <v>0.042</v>
      </c>
      <c r="F7" s="5" t="s">
        <v>3405</v>
      </c>
    </row>
    <row r="8" customFormat="false" ht="15" hidden="false" customHeight="true" outlineLevel="0" collapsed="false">
      <c r="A8" s="5" t="s">
        <v>81</v>
      </c>
      <c r="B8" s="5" t="n">
        <v>3</v>
      </c>
      <c r="C8" s="5" t="n">
        <v>5</v>
      </c>
      <c r="D8" s="5" t="n">
        <v>51</v>
      </c>
      <c r="E8" s="12" t="n">
        <v>0.037</v>
      </c>
      <c r="F8" s="5" t="s">
        <v>3406</v>
      </c>
    </row>
    <row r="9" customFormat="false" ht="15" hidden="false" customHeight="true" outlineLevel="0" collapsed="false">
      <c r="A9" s="5" t="s">
        <v>81</v>
      </c>
      <c r="B9" s="5" t="n">
        <v>4</v>
      </c>
      <c r="C9" s="5" t="n">
        <v>3</v>
      </c>
      <c r="D9" s="5" t="n">
        <v>21</v>
      </c>
      <c r="E9" s="12" t="n">
        <v>0.015</v>
      </c>
      <c r="F9" s="5" t="s">
        <v>3407</v>
      </c>
    </row>
    <row r="10" customFormat="false" ht="15" hidden="false" customHeight="true" outlineLevel="0" collapsed="false">
      <c r="A10" s="5" t="s">
        <v>81</v>
      </c>
      <c r="B10" s="5" t="n">
        <v>3</v>
      </c>
      <c r="C10" s="5" t="n">
        <v>4</v>
      </c>
      <c r="D10" s="5" t="n">
        <v>20</v>
      </c>
      <c r="E10" s="12" t="n">
        <v>0.014</v>
      </c>
      <c r="F10" s="5" t="s">
        <v>3408</v>
      </c>
    </row>
    <row r="11" customFormat="false" ht="15" hidden="false" customHeight="true" outlineLevel="0" collapsed="false">
      <c r="A11" s="5" t="s">
        <v>81</v>
      </c>
      <c r="B11" s="5" t="n">
        <v>5</v>
      </c>
      <c r="C11" s="5" t="n">
        <v>7</v>
      </c>
      <c r="D11" s="5" t="n">
        <v>19</v>
      </c>
      <c r="E11" s="12" t="n">
        <v>0.014</v>
      </c>
      <c r="F11" s="5" t="s">
        <v>3409</v>
      </c>
    </row>
    <row r="12" customFormat="false" ht="15" hidden="false" customHeight="true" outlineLevel="0" collapsed="false">
      <c r="A12" s="5" t="s">
        <v>81</v>
      </c>
      <c r="B12" s="5" t="n">
        <v>4</v>
      </c>
      <c r="C12" s="5" t="n">
        <v>8</v>
      </c>
      <c r="D12" s="5" t="n">
        <v>13</v>
      </c>
      <c r="E12" s="12" t="n">
        <v>0.009</v>
      </c>
      <c r="F12" s="5" t="s">
        <v>3410</v>
      </c>
    </row>
    <row r="13" customFormat="false" ht="15" hidden="false" customHeight="true" outlineLevel="0" collapsed="false">
      <c r="A13" s="5" t="s">
        <v>81</v>
      </c>
      <c r="B13" s="5" t="n">
        <v>8</v>
      </c>
      <c r="C13" s="5" t="n">
        <v>5</v>
      </c>
      <c r="D13" s="5" t="n">
        <v>12</v>
      </c>
      <c r="E13" s="12" t="n">
        <v>0.009</v>
      </c>
      <c r="F13" s="5" t="s">
        <v>3411</v>
      </c>
    </row>
    <row r="14" customFormat="false" ht="15" hidden="false" customHeight="true" outlineLevel="0" collapsed="false">
      <c r="A14" s="5" t="s">
        <v>54</v>
      </c>
      <c r="B14" s="5" t="n">
        <v>4</v>
      </c>
      <c r="C14" s="5" t="n">
        <v>3</v>
      </c>
      <c r="D14" s="5" t="n">
        <v>1290</v>
      </c>
      <c r="E14" s="12" t="n">
        <v>0.168</v>
      </c>
      <c r="F14" s="5" t="s">
        <v>3412</v>
      </c>
    </row>
    <row r="15" customFormat="false" ht="15" hidden="false" customHeight="true" outlineLevel="0" collapsed="false">
      <c r="A15" s="5" t="s">
        <v>54</v>
      </c>
      <c r="B15" s="5" t="n">
        <v>5</v>
      </c>
      <c r="C15" s="5" t="n">
        <v>7</v>
      </c>
      <c r="D15" s="5" t="n">
        <v>469</v>
      </c>
      <c r="E15" s="12" t="n">
        <v>0.061</v>
      </c>
      <c r="F15" s="5" t="s">
        <v>3413</v>
      </c>
    </row>
    <row r="16" customFormat="false" ht="15" hidden="false" customHeight="true" outlineLevel="0" collapsed="false">
      <c r="A16" s="5" t="s">
        <v>54</v>
      </c>
      <c r="B16" s="5" t="n">
        <v>5</v>
      </c>
      <c r="C16" s="5" t="n">
        <v>4</v>
      </c>
      <c r="D16" s="5" t="n">
        <v>431</v>
      </c>
      <c r="E16" s="12" t="n">
        <v>0.056</v>
      </c>
      <c r="F16" s="5" t="s">
        <v>3414</v>
      </c>
    </row>
    <row r="17" customFormat="false" ht="15" hidden="false" customHeight="true" outlineLevel="0" collapsed="false">
      <c r="A17" s="5" t="s">
        <v>54</v>
      </c>
      <c r="B17" s="5" t="n">
        <v>6</v>
      </c>
      <c r="C17" s="5" t="n">
        <v>6</v>
      </c>
      <c r="D17" s="5" t="n">
        <v>361</v>
      </c>
      <c r="E17" s="12" t="n">
        <v>0.047</v>
      </c>
      <c r="F17" s="5" t="s">
        <v>3415</v>
      </c>
    </row>
    <row r="18" customFormat="false" ht="15" hidden="false" customHeight="true" outlineLevel="0" collapsed="false">
      <c r="A18" s="5" t="s">
        <v>54</v>
      </c>
      <c r="B18" s="5" t="n">
        <v>7</v>
      </c>
      <c r="C18" s="5" t="n">
        <v>6</v>
      </c>
      <c r="D18" s="5" t="n">
        <v>354</v>
      </c>
      <c r="E18" s="12" t="n">
        <v>0.046</v>
      </c>
      <c r="F18" s="5" t="s">
        <v>3416</v>
      </c>
    </row>
    <row r="19" customFormat="false" ht="15" hidden="false" customHeight="true" outlineLevel="0" collapsed="false">
      <c r="A19" s="5" t="s">
        <v>54</v>
      </c>
      <c r="B19" s="5" t="n">
        <v>4</v>
      </c>
      <c r="C19" s="5" t="n">
        <v>2</v>
      </c>
      <c r="D19" s="5" t="n">
        <v>343</v>
      </c>
      <c r="E19" s="12" t="n">
        <v>0.045</v>
      </c>
      <c r="F19" s="5" t="s">
        <v>3417</v>
      </c>
    </row>
    <row r="20" customFormat="false" ht="15" hidden="false" customHeight="true" outlineLevel="0" collapsed="false">
      <c r="A20" s="5" t="s">
        <v>54</v>
      </c>
      <c r="B20" s="5" t="n">
        <v>6</v>
      </c>
      <c r="C20" s="5" t="n">
        <v>8</v>
      </c>
      <c r="D20" s="5" t="n">
        <v>333</v>
      </c>
      <c r="E20" s="12" t="n">
        <v>0.043</v>
      </c>
      <c r="F20" s="5" t="s">
        <v>3418</v>
      </c>
    </row>
    <row r="21" customFormat="false" ht="15" hidden="false" customHeight="true" outlineLevel="0" collapsed="false">
      <c r="A21" s="5" t="s">
        <v>54</v>
      </c>
      <c r="B21" s="5" t="n">
        <v>5</v>
      </c>
      <c r="C21" s="5" t="n">
        <v>6</v>
      </c>
      <c r="D21" s="5" t="n">
        <v>315</v>
      </c>
      <c r="E21" s="12" t="n">
        <v>0.041</v>
      </c>
      <c r="F21" s="5" t="s">
        <v>3419</v>
      </c>
    </row>
    <row r="22" customFormat="false" ht="15" hidden="false" customHeight="true" outlineLevel="0" collapsed="false">
      <c r="A22" s="5" t="s">
        <v>54</v>
      </c>
      <c r="B22" s="5" t="n">
        <v>4</v>
      </c>
      <c r="C22" s="5" t="n">
        <v>8</v>
      </c>
      <c r="D22" s="5" t="n">
        <v>292</v>
      </c>
      <c r="E22" s="12" t="n">
        <v>0.038</v>
      </c>
      <c r="F22" s="5" t="s">
        <v>3420</v>
      </c>
    </row>
    <row r="23" customFormat="false" ht="15" hidden="false" customHeight="true" outlineLevel="0" collapsed="false">
      <c r="A23" s="5" t="s">
        <v>54</v>
      </c>
      <c r="B23" s="5" t="n">
        <v>4</v>
      </c>
      <c r="C23" s="5" t="n">
        <v>4</v>
      </c>
      <c r="D23" s="5" t="n">
        <v>276</v>
      </c>
      <c r="E23" s="12" t="n">
        <v>0.036</v>
      </c>
      <c r="F23" s="5" t="s">
        <v>3421</v>
      </c>
    </row>
    <row r="24" customFormat="false" ht="15" hidden="false" customHeight="true" outlineLevel="0" collapsed="false">
      <c r="A24" s="5" t="s">
        <v>54</v>
      </c>
      <c r="B24" s="5" t="n">
        <v>5</v>
      </c>
      <c r="C24" s="5" t="n">
        <v>9</v>
      </c>
      <c r="D24" s="5" t="n">
        <v>218</v>
      </c>
      <c r="E24" s="12" t="n">
        <v>0.028</v>
      </c>
      <c r="F24" s="5" t="s">
        <v>3422</v>
      </c>
    </row>
    <row r="25" customFormat="false" ht="15" hidden="false" customHeight="true" outlineLevel="0" collapsed="false">
      <c r="A25" s="5" t="s">
        <v>54</v>
      </c>
      <c r="B25" s="5" t="n">
        <v>5</v>
      </c>
      <c r="C25" s="5" t="n">
        <v>3</v>
      </c>
      <c r="D25" s="5" t="n">
        <v>200</v>
      </c>
      <c r="E25" s="12" t="n">
        <v>0.026</v>
      </c>
      <c r="F25" s="5" t="s">
        <v>3423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70"/>
  </cols>
  <sheetData>
    <row r="1" customFormat="false" ht="15" hidden="false" customHeight="true" outlineLevel="0" collapsed="false">
      <c r="A1" s="11" t="s">
        <v>309</v>
      </c>
      <c r="B1" s="11" t="s">
        <v>427</v>
      </c>
      <c r="C1" s="11" t="s">
        <v>3424</v>
      </c>
      <c r="D1" s="11" t="s">
        <v>3425</v>
      </c>
      <c r="E1" s="11" t="s">
        <v>3426</v>
      </c>
      <c r="F1" s="11" t="s">
        <v>3427</v>
      </c>
    </row>
    <row r="2" customFormat="false" ht="15" hidden="false" customHeight="true" outlineLevel="0" collapsed="false">
      <c r="A2" s="5" t="s">
        <v>3428</v>
      </c>
      <c r="B2" s="5" t="s">
        <v>3429</v>
      </c>
      <c r="C2" s="5" t="s">
        <v>3430</v>
      </c>
      <c r="D2" s="5" t="n">
        <v>2</v>
      </c>
      <c r="E2" s="5" t="s">
        <v>3431</v>
      </c>
      <c r="F2" s="5" t="s">
        <v>3432</v>
      </c>
    </row>
    <row r="3" customFormat="false" ht="15" hidden="false" customHeight="true" outlineLevel="0" collapsed="false">
      <c r="A3" s="5" t="s">
        <v>3428</v>
      </c>
      <c r="B3" s="5" t="s">
        <v>3433</v>
      </c>
      <c r="C3" s="5" t="s">
        <v>3430</v>
      </c>
      <c r="D3" s="5" t="n">
        <v>1</v>
      </c>
      <c r="E3" s="5" t="s">
        <v>3431</v>
      </c>
      <c r="F3" s="5" t="s">
        <v>3434</v>
      </c>
    </row>
    <row r="4" customFormat="false" ht="15" hidden="false" customHeight="true" outlineLevel="0" collapsed="false">
      <c r="A4" s="5" t="s">
        <v>3428</v>
      </c>
      <c r="B4" s="5" t="s">
        <v>3435</v>
      </c>
      <c r="C4" s="5" t="s">
        <v>3436</v>
      </c>
      <c r="D4" s="5" t="n">
        <v>5</v>
      </c>
      <c r="E4" s="5" t="s">
        <v>3437</v>
      </c>
      <c r="F4" s="5" t="s">
        <v>3438</v>
      </c>
    </row>
    <row r="5" customFormat="false" ht="15" hidden="false" customHeight="true" outlineLevel="0" collapsed="false">
      <c r="A5" s="5" t="s">
        <v>3428</v>
      </c>
      <c r="B5" s="5" t="s">
        <v>3439</v>
      </c>
      <c r="C5" s="5" t="s">
        <v>3436</v>
      </c>
      <c r="D5" s="5" t="n">
        <v>3</v>
      </c>
      <c r="E5" s="5" t="s">
        <v>3437</v>
      </c>
      <c r="F5" s="5" t="s">
        <v>3440</v>
      </c>
    </row>
    <row r="6" customFormat="false" ht="15" hidden="false" customHeight="true" outlineLevel="0" collapsed="false">
      <c r="A6" s="5" t="s">
        <v>3428</v>
      </c>
      <c r="B6" s="5" t="s">
        <v>3441</v>
      </c>
      <c r="C6" s="5"/>
      <c r="D6" s="5" t="n">
        <v>6</v>
      </c>
      <c r="E6" s="5" t="s">
        <v>3442</v>
      </c>
      <c r="F6" s="5" t="s">
        <v>3443</v>
      </c>
    </row>
    <row r="7" customFormat="false" ht="15" hidden="false" customHeight="true" outlineLevel="0" collapsed="false">
      <c r="A7" s="5" t="s">
        <v>3428</v>
      </c>
      <c r="B7" s="5" t="s">
        <v>3444</v>
      </c>
      <c r="C7" s="5"/>
      <c r="D7" s="5" t="n">
        <v>1</v>
      </c>
      <c r="E7" s="5" t="s">
        <v>3442</v>
      </c>
      <c r="F7" s="5" t="s">
        <v>3445</v>
      </c>
    </row>
    <row r="8" customFormat="false" ht="15" hidden="false" customHeight="true" outlineLevel="0" collapsed="false">
      <c r="A8" s="5" t="s">
        <v>3428</v>
      </c>
      <c r="B8" s="5" t="s">
        <v>3446</v>
      </c>
      <c r="C8" s="5"/>
      <c r="D8" s="5" t="n">
        <v>2</v>
      </c>
      <c r="E8" s="5" t="s">
        <v>3442</v>
      </c>
      <c r="F8" s="5" t="s">
        <v>3447</v>
      </c>
    </row>
    <row r="9" customFormat="false" ht="15" hidden="false" customHeight="true" outlineLevel="0" collapsed="false">
      <c r="A9" s="5" t="s">
        <v>3448</v>
      </c>
      <c r="B9" s="5" t="s">
        <v>3448</v>
      </c>
      <c r="C9" s="5" t="s">
        <v>3436</v>
      </c>
      <c r="D9" s="5" t="n">
        <v>4</v>
      </c>
      <c r="E9" s="5" t="s">
        <v>3449</v>
      </c>
      <c r="F9" s="5" t="s">
        <v>3450</v>
      </c>
    </row>
    <row r="10" customFormat="false" ht="15" hidden="false" customHeight="true" outlineLevel="0" collapsed="false">
      <c r="A10" s="5" t="s">
        <v>3448</v>
      </c>
      <c r="B10" s="5" t="s">
        <v>3451</v>
      </c>
      <c r="C10" s="5" t="s">
        <v>3436</v>
      </c>
      <c r="D10" s="5" t="n">
        <v>6</v>
      </c>
      <c r="E10" s="5" t="s">
        <v>3449</v>
      </c>
      <c r="F10" s="5" t="s">
        <v>3452</v>
      </c>
    </row>
    <row r="11" customFormat="false" ht="15" hidden="false" customHeight="true" outlineLevel="0" collapsed="false">
      <c r="A11" s="5" t="s">
        <v>3448</v>
      </c>
      <c r="B11" s="5" t="s">
        <v>2751</v>
      </c>
      <c r="C11" s="5"/>
      <c r="D11" s="5" t="n">
        <v>6</v>
      </c>
      <c r="E11" s="5" t="s">
        <v>3453</v>
      </c>
      <c r="F11" s="5" t="s">
        <v>3454</v>
      </c>
    </row>
    <row r="12" customFormat="false" ht="15" hidden="false" customHeight="true" outlineLevel="0" collapsed="false">
      <c r="A12" s="5" t="s">
        <v>3448</v>
      </c>
      <c r="B12" s="5" t="s">
        <v>3455</v>
      </c>
      <c r="C12" s="5" t="s">
        <v>3456</v>
      </c>
      <c r="D12" s="5" t="n">
        <v>9</v>
      </c>
      <c r="E12" s="5" t="s">
        <v>3457</v>
      </c>
      <c r="F12" s="5" t="s">
        <v>3458</v>
      </c>
    </row>
    <row r="13" customFormat="false" ht="15" hidden="false" customHeight="true" outlineLevel="0" collapsed="false">
      <c r="A13" s="5" t="s">
        <v>3448</v>
      </c>
      <c r="B13" s="5" t="s">
        <v>2054</v>
      </c>
      <c r="C13" s="5" t="s">
        <v>3430</v>
      </c>
      <c r="D13" s="5" t="n">
        <v>4</v>
      </c>
      <c r="E13" s="5" t="s">
        <v>3449</v>
      </c>
      <c r="F13" s="5" t="s">
        <v>3459</v>
      </c>
    </row>
    <row r="14" customFormat="false" ht="15" hidden="false" customHeight="true" outlineLevel="0" collapsed="false">
      <c r="A14" s="5" t="s">
        <v>3460</v>
      </c>
      <c r="B14" s="5" t="s">
        <v>933</v>
      </c>
      <c r="C14" s="5" t="s">
        <v>3436</v>
      </c>
      <c r="D14" s="5" t="n">
        <v>10</v>
      </c>
      <c r="E14" s="5" t="s">
        <v>3461</v>
      </c>
      <c r="F14" s="5" t="s">
        <v>3462</v>
      </c>
    </row>
    <row r="15" customFormat="false" ht="15" hidden="false" customHeight="true" outlineLevel="0" collapsed="false">
      <c r="A15" s="5" t="s">
        <v>3460</v>
      </c>
      <c r="B15" s="5" t="s">
        <v>938</v>
      </c>
      <c r="C15" s="5" t="s">
        <v>3430</v>
      </c>
      <c r="D15" s="5" t="n">
        <v>10</v>
      </c>
      <c r="E15" s="5" t="s">
        <v>3449</v>
      </c>
      <c r="F15" s="5" t="s">
        <v>3463</v>
      </c>
    </row>
    <row r="16" customFormat="false" ht="15" hidden="false" customHeight="true" outlineLevel="0" collapsed="false">
      <c r="A16" s="5" t="s">
        <v>3460</v>
      </c>
      <c r="B16" s="5" t="s">
        <v>3464</v>
      </c>
      <c r="C16" s="5"/>
      <c r="D16" s="5" t="n">
        <v>1</v>
      </c>
      <c r="E16" s="5" t="s">
        <v>3449</v>
      </c>
      <c r="F16" s="5" t="s">
        <v>2749</v>
      </c>
    </row>
    <row r="17" customFormat="false" ht="15" hidden="false" customHeight="true" outlineLevel="0" collapsed="false">
      <c r="A17" s="5" t="s">
        <v>3460</v>
      </c>
      <c r="B17" s="5" t="s">
        <v>3465</v>
      </c>
      <c r="C17" s="5" t="s">
        <v>3430</v>
      </c>
      <c r="D17" s="5" t="n">
        <v>1</v>
      </c>
      <c r="E17" s="5" t="s">
        <v>3449</v>
      </c>
      <c r="F17" s="5" t="s">
        <v>3466</v>
      </c>
    </row>
    <row r="18" customFormat="false" ht="15" hidden="false" customHeight="true" outlineLevel="0" collapsed="false">
      <c r="A18" s="5" t="s">
        <v>3460</v>
      </c>
      <c r="B18" s="5" t="s">
        <v>1188</v>
      </c>
      <c r="C18" s="5" t="s">
        <v>3430</v>
      </c>
      <c r="D18" s="5" t="n">
        <v>3</v>
      </c>
      <c r="E18" s="5" t="s">
        <v>3449</v>
      </c>
      <c r="F18" s="5" t="s">
        <v>3467</v>
      </c>
    </row>
    <row r="19" customFormat="false" ht="15" hidden="false" customHeight="true" outlineLevel="0" collapsed="false">
      <c r="A19" s="5" t="s">
        <v>3460</v>
      </c>
      <c r="B19" s="5" t="s">
        <v>3468</v>
      </c>
      <c r="C19" s="5" t="s">
        <v>3456</v>
      </c>
      <c r="D19" s="5" t="n">
        <v>2</v>
      </c>
      <c r="E19" s="5" t="s">
        <v>3449</v>
      </c>
      <c r="F19" s="5" t="s">
        <v>3469</v>
      </c>
    </row>
    <row r="20" customFormat="false" ht="15" hidden="false" customHeight="true" outlineLevel="0" collapsed="false">
      <c r="A20" s="5" t="s">
        <v>3460</v>
      </c>
      <c r="B20" s="5" t="s">
        <v>591</v>
      </c>
      <c r="C20" s="5"/>
      <c r="D20" s="5" t="n">
        <v>9</v>
      </c>
      <c r="E20" s="5" t="s">
        <v>3470</v>
      </c>
      <c r="F20" s="5" t="s">
        <v>3471</v>
      </c>
    </row>
    <row r="21" customFormat="false" ht="15" hidden="false" customHeight="true" outlineLevel="0" collapsed="false">
      <c r="A21" s="5" t="s">
        <v>3472</v>
      </c>
      <c r="B21" s="5" t="s">
        <v>3473</v>
      </c>
      <c r="C21" s="5" t="s">
        <v>3436</v>
      </c>
      <c r="D21" s="5" t="n">
        <v>4</v>
      </c>
      <c r="E21" s="5" t="s">
        <v>3474</v>
      </c>
      <c r="F21" s="5" t="s">
        <v>3475</v>
      </c>
    </row>
    <row r="22" customFormat="false" ht="15" hidden="false" customHeight="true" outlineLevel="0" collapsed="false">
      <c r="A22" s="5" t="s">
        <v>3472</v>
      </c>
      <c r="B22" s="5" t="s">
        <v>3476</v>
      </c>
      <c r="C22" s="5"/>
      <c r="D22" s="5" t="n">
        <v>9</v>
      </c>
      <c r="E22" s="5" t="s">
        <v>3477</v>
      </c>
      <c r="F22" s="5" t="s">
        <v>3478</v>
      </c>
    </row>
    <row r="23" customFormat="false" ht="15" hidden="false" customHeight="true" outlineLevel="0" collapsed="false">
      <c r="A23" s="5" t="s">
        <v>3472</v>
      </c>
      <c r="B23" s="5" t="s">
        <v>3479</v>
      </c>
      <c r="C23" s="5"/>
      <c r="D23" s="5" t="n">
        <v>3</v>
      </c>
      <c r="E23" s="5" t="s">
        <v>3480</v>
      </c>
      <c r="F23" s="5" t="s">
        <v>3481</v>
      </c>
    </row>
    <row r="24" customFormat="false" ht="15" hidden="false" customHeight="true" outlineLevel="0" collapsed="false">
      <c r="A24" s="5" t="s">
        <v>3472</v>
      </c>
      <c r="B24" s="5" t="s">
        <v>3482</v>
      </c>
      <c r="C24" s="5"/>
      <c r="D24" s="5" t="n">
        <v>3</v>
      </c>
      <c r="E24" s="5" t="s">
        <v>3483</v>
      </c>
      <c r="F24" s="5" t="s">
        <v>3484</v>
      </c>
    </row>
    <row r="25" customFormat="false" ht="15" hidden="false" customHeight="true" outlineLevel="0" collapsed="false">
      <c r="A25" s="5" t="s">
        <v>3472</v>
      </c>
      <c r="B25" s="5" t="s">
        <v>3485</v>
      </c>
      <c r="C25" s="5" t="s">
        <v>3486</v>
      </c>
      <c r="D25" s="5" t="n">
        <v>4</v>
      </c>
      <c r="E25" s="5" t="s">
        <v>3487</v>
      </c>
      <c r="F25" s="5" t="s">
        <v>3488</v>
      </c>
    </row>
    <row r="26" customFormat="false" ht="15" hidden="false" customHeight="true" outlineLevel="0" collapsed="false">
      <c r="A26" s="5" t="s">
        <v>3472</v>
      </c>
      <c r="B26" s="5" t="s">
        <v>3489</v>
      </c>
      <c r="C26" s="5" t="s">
        <v>3456</v>
      </c>
      <c r="D26" s="5" t="n">
        <v>2</v>
      </c>
      <c r="E26" s="5" t="s">
        <v>3487</v>
      </c>
      <c r="F26" s="5" t="s">
        <v>3490</v>
      </c>
    </row>
    <row r="27" customFormat="false" ht="15" hidden="false" customHeight="true" outlineLevel="0" collapsed="false">
      <c r="A27" s="5" t="s">
        <v>3472</v>
      </c>
      <c r="B27" s="5" t="s">
        <v>3491</v>
      </c>
      <c r="C27" s="5"/>
      <c r="D27" s="5" t="n">
        <v>8</v>
      </c>
      <c r="E27" s="5" t="s">
        <v>3457</v>
      </c>
      <c r="F27" s="5" t="s">
        <v>3492</v>
      </c>
    </row>
    <row r="28" customFormat="false" ht="15" hidden="false" customHeight="true" outlineLevel="0" collapsed="false">
      <c r="A28" s="5" t="s">
        <v>3472</v>
      </c>
      <c r="B28" s="5" t="s">
        <v>3493</v>
      </c>
      <c r="C28" s="5"/>
      <c r="D28" s="5" t="n">
        <v>6</v>
      </c>
      <c r="E28" s="5" t="s">
        <v>3449</v>
      </c>
      <c r="F28" s="5" t="s">
        <v>3494</v>
      </c>
    </row>
    <row r="29" customFormat="false" ht="15" hidden="false" customHeight="true" outlineLevel="0" collapsed="false">
      <c r="A29" s="5" t="s">
        <v>3472</v>
      </c>
      <c r="B29" s="5" t="s">
        <v>3495</v>
      </c>
      <c r="C29" s="5"/>
      <c r="D29" s="5" t="n">
        <v>8</v>
      </c>
      <c r="E29" s="5" t="s">
        <v>3487</v>
      </c>
      <c r="F29" s="5" t="s">
        <v>3496</v>
      </c>
    </row>
    <row r="30" customFormat="false" ht="15" hidden="false" customHeight="true" outlineLevel="0" collapsed="false">
      <c r="A30" s="5" t="s">
        <v>3472</v>
      </c>
      <c r="B30" s="5" t="s">
        <v>3497</v>
      </c>
      <c r="C30" s="5" t="s">
        <v>3430</v>
      </c>
      <c r="D30" s="5" t="n">
        <v>6</v>
      </c>
      <c r="E30" s="5" t="s">
        <v>3487</v>
      </c>
      <c r="F30" s="5" t="s">
        <v>3498</v>
      </c>
    </row>
    <row r="31" customFormat="false" ht="15" hidden="false" customHeight="true" outlineLevel="0" collapsed="false">
      <c r="A31" s="5" t="s">
        <v>3472</v>
      </c>
      <c r="B31" s="5" t="s">
        <v>3499</v>
      </c>
      <c r="C31" s="5"/>
      <c r="D31" s="5" t="n">
        <v>2</v>
      </c>
      <c r="E31" s="5" t="s">
        <v>3500</v>
      </c>
      <c r="F31" s="5" t="s">
        <v>3501</v>
      </c>
    </row>
    <row r="32" customFormat="false" ht="15" hidden="false" customHeight="true" outlineLevel="0" collapsed="false">
      <c r="A32" s="5" t="s">
        <v>3472</v>
      </c>
      <c r="B32" s="5" t="s">
        <v>3502</v>
      </c>
      <c r="C32" s="5"/>
      <c r="D32" s="5" t="n">
        <v>8</v>
      </c>
      <c r="E32" s="5" t="s">
        <v>3487</v>
      </c>
      <c r="F32" s="5" t="s">
        <v>3503</v>
      </c>
    </row>
    <row r="33" customFormat="false" ht="15" hidden="false" customHeight="true" outlineLevel="0" collapsed="false">
      <c r="A33" s="5" t="s">
        <v>3504</v>
      </c>
      <c r="B33" s="5" t="s">
        <v>3504</v>
      </c>
      <c r="C33" s="5"/>
      <c r="D33" s="5" t="n">
        <v>14</v>
      </c>
      <c r="E33" s="5" t="s">
        <v>3505</v>
      </c>
      <c r="F33" s="5" t="s">
        <v>3506</v>
      </c>
    </row>
    <row r="34" customFormat="false" ht="15" hidden="false" customHeight="true" outlineLevel="0" collapsed="false">
      <c r="A34" s="5" t="s">
        <v>3507</v>
      </c>
      <c r="B34" s="5" t="s">
        <v>3508</v>
      </c>
      <c r="C34" s="5" t="s">
        <v>3456</v>
      </c>
      <c r="D34" s="5" t="n">
        <v>6</v>
      </c>
      <c r="E34" s="5" t="s">
        <v>3509</v>
      </c>
      <c r="F34" s="5" t="s">
        <v>3510</v>
      </c>
    </row>
    <row r="35" customFormat="false" ht="15" hidden="false" customHeight="true" outlineLevel="0" collapsed="false">
      <c r="A35" s="5" t="s">
        <v>3507</v>
      </c>
      <c r="B35" s="5" t="s">
        <v>3511</v>
      </c>
      <c r="C35" s="5"/>
      <c r="D35" s="5" t="n">
        <v>2</v>
      </c>
      <c r="E35" s="5" t="s">
        <v>3483</v>
      </c>
      <c r="F35" s="5" t="s">
        <v>3512</v>
      </c>
    </row>
    <row r="36" customFormat="false" ht="15" hidden="false" customHeight="true" outlineLevel="0" collapsed="false">
      <c r="A36" s="5" t="s">
        <v>3507</v>
      </c>
      <c r="B36" s="5" t="s">
        <v>3513</v>
      </c>
      <c r="C36" s="5"/>
      <c r="D36" s="5" t="n">
        <v>2</v>
      </c>
      <c r="E36" s="5" t="s">
        <v>3483</v>
      </c>
      <c r="F36" s="5" t="s">
        <v>3514</v>
      </c>
    </row>
    <row r="37" customFormat="false" ht="15" hidden="false" customHeight="true" outlineLevel="0" collapsed="false">
      <c r="A37" s="5" t="s">
        <v>3507</v>
      </c>
      <c r="B37" s="5" t="s">
        <v>3515</v>
      </c>
      <c r="C37" s="5"/>
      <c r="D37" s="5" t="n">
        <v>2</v>
      </c>
      <c r="E37" s="5" t="s">
        <v>3483</v>
      </c>
      <c r="F37" s="5" t="s">
        <v>3516</v>
      </c>
    </row>
    <row r="38" customFormat="false" ht="15" hidden="false" customHeight="true" outlineLevel="0" collapsed="false">
      <c r="A38" s="5" t="s">
        <v>3507</v>
      </c>
      <c r="B38" s="5" t="s">
        <v>3517</v>
      </c>
      <c r="C38" s="5" t="s">
        <v>3436</v>
      </c>
      <c r="D38" s="5" t="n">
        <v>4</v>
      </c>
      <c r="E38" s="5" t="s">
        <v>3449</v>
      </c>
      <c r="F38" s="5" t="s">
        <v>3518</v>
      </c>
    </row>
    <row r="39" customFormat="false" ht="15" hidden="false" customHeight="true" outlineLevel="0" collapsed="false">
      <c r="A39" s="5" t="s">
        <v>3507</v>
      </c>
      <c r="B39" s="5" t="s">
        <v>3519</v>
      </c>
      <c r="C39" s="5"/>
      <c r="D39" s="5" t="n">
        <v>2</v>
      </c>
      <c r="E39" s="5" t="s">
        <v>3483</v>
      </c>
      <c r="F39" s="5" t="s">
        <v>3520</v>
      </c>
    </row>
    <row r="40" customFormat="false" ht="15" hidden="false" customHeight="true" outlineLevel="0" collapsed="false">
      <c r="A40" s="5" t="s">
        <v>3507</v>
      </c>
      <c r="B40" s="5" t="s">
        <v>3521</v>
      </c>
      <c r="C40" s="5" t="s">
        <v>3436</v>
      </c>
      <c r="D40" s="5" t="n">
        <v>4</v>
      </c>
      <c r="E40" s="5" t="s">
        <v>3449</v>
      </c>
      <c r="F40" s="5" t="s">
        <v>3522</v>
      </c>
    </row>
    <row r="41" customFormat="false" ht="15" hidden="false" customHeight="true" outlineLevel="0" collapsed="false">
      <c r="A41" s="5" t="s">
        <v>3507</v>
      </c>
      <c r="B41" s="5" t="s">
        <v>3523</v>
      </c>
      <c r="C41" s="5"/>
      <c r="D41" s="5" t="n">
        <v>5</v>
      </c>
      <c r="E41" s="5" t="s">
        <v>3483</v>
      </c>
      <c r="F41" s="5" t="s">
        <v>3524</v>
      </c>
    </row>
    <row r="42" customFormat="false" ht="15" hidden="false" customHeight="true" outlineLevel="0" collapsed="false">
      <c r="A42" s="5" t="s">
        <v>3507</v>
      </c>
      <c r="B42" s="5" t="s">
        <v>3525</v>
      </c>
      <c r="C42" s="5"/>
      <c r="D42" s="5" t="n">
        <v>7</v>
      </c>
      <c r="E42" s="5" t="s">
        <v>3487</v>
      </c>
      <c r="F42" s="5" t="s">
        <v>3526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2026-10-04T11:32:54Z</dcterms:created>
  <dc:creator>openpyxl</dc:creator>
  <dc:description/>
  <dc:language>en-US</dc:language>
  <cp:lastModifiedBy/>
  <dcterms:modified xsi:type="dcterms:W3CDTF">2026-10-22T06:34:12Z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